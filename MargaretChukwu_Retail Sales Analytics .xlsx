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omePC\Desktop\CAREER GROWTH 2026\My Project\CODSA PROJECT_SUBMISSION\"/>
    </mc:Choice>
  </mc:AlternateContent>
  <xr:revisionPtr revIDLastSave="0" documentId="13_ncr:1_{A3FD4FB0-ED21-4947-87EB-758B5D0E9F12}" xr6:coauthVersionLast="47" xr6:coauthVersionMax="47" xr10:uidLastSave="{00000000-0000-0000-0000-000000000000}"/>
  <bookViews>
    <workbookView xWindow="-110" yWindow="-110" windowWidth="19420" windowHeight="10300" firstSheet="2" activeTab="5" xr2:uid="{A8054790-0C0B-4743-918A-7DB493B4EFCA}"/>
  </bookViews>
  <sheets>
    <sheet name="BUSINESS QUESTION" sheetId="1" r:id="rId1"/>
    <sheet name="RETAIL_SALES_CLEANED" sheetId="6" r:id="rId2"/>
    <sheet name="ANALYSIS " sheetId="3" r:id="rId3"/>
    <sheet name="INTERPRETATION " sheetId="4" r:id="rId4"/>
    <sheet name="EXECUTIVE SUMMARY" sheetId="5" r:id="rId5"/>
    <sheet name="DASHBOARD" sheetId="9" r:id="rId6"/>
  </sheets>
  <definedNames>
    <definedName name="ExternalData_1" localSheetId="1" hidden="1">'RETAIL_SALES_CLEANED'!$A$1:$N$1998</definedName>
    <definedName name="Slicer_category">#N/A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1" i="3" l="1"/>
  <c r="N48" i="3"/>
  <c r="N49" i="3"/>
  <c r="N47" i="3"/>
  <c r="L48" i="3"/>
  <c r="L49" i="3"/>
  <c r="L47" i="3"/>
  <c r="K32" i="3"/>
  <c r="B10" i="3"/>
  <c r="P14" i="9"/>
  <c r="P6" i="9"/>
  <c r="AA7" i="9"/>
  <c r="AA3" i="9"/>
  <c r="AA8" i="9"/>
  <c r="P12" i="9"/>
  <c r="P10" i="9"/>
  <c r="AA6" i="9"/>
  <c r="D5" i="9" l="1"/>
  <c r="H5" i="9"/>
  <c r="K5" i="9"/>
  <c r="A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6D7814-30F3-4E42-92D9-70D089B70E9A}" keepAlive="1" name="Query - Retail_Sales" description="Connection to the 'Retail_Sales' query in the workbook." type="5" refreshedVersion="0" background="1">
    <dbPr connection="Provider=Microsoft.Mashup.OleDb.1;Data Source=$Workbook$;Location=Retail_Sales;Extended Properties=&quot;&quot;" command="SELECT * FROM [Retail_Sales]"/>
  </connection>
  <connection id="2" xr16:uid="{05E06E2A-3D91-4BDC-890B-2712AD3B8033}" keepAlive="1" name="Query - Retail_Sales_cleaned" description="Connection to the 'Retail_Sales_cleaned' query in the workbook." type="5" refreshedVersion="8" background="1" saveData="1">
    <dbPr connection="Provider=Microsoft.Mashup.OleDb.1;Data Source=$Workbook$;Location=Retail_Sales_cleaned;Extended Properties=&quot;&quot;" command="SELECT * FROM [Retail_Sales_cleaned]"/>
  </connection>
</connections>
</file>

<file path=xl/sharedStrings.xml><?xml version="1.0" encoding="utf-8"?>
<sst xmlns="http://schemas.openxmlformats.org/spreadsheetml/2006/main" count="8431" uniqueCount="301">
  <si>
    <t>RETAIL SALES PERFORMANCE AND CUSTOMER INSIGHTS ANALYSIS Using Excel and Power BI for Data-Driven Business Decision-Making</t>
  </si>
  <si>
    <t>transactions_id</t>
  </si>
  <si>
    <t>sale_date</t>
  </si>
  <si>
    <t>sale_time</t>
  </si>
  <si>
    <t>customer_id</t>
  </si>
  <si>
    <t>gender</t>
  </si>
  <si>
    <t>age</t>
  </si>
  <si>
    <t>category</t>
  </si>
  <si>
    <t>quantiy</t>
  </si>
  <si>
    <t>price_per_unit</t>
  </si>
  <si>
    <t>cogs</t>
  </si>
  <si>
    <t>total_sale</t>
  </si>
  <si>
    <t>Profit</t>
  </si>
  <si>
    <t>Profit_margin</t>
  </si>
  <si>
    <t>Age_group</t>
  </si>
  <si>
    <t>117</t>
  </si>
  <si>
    <t>Male</t>
  </si>
  <si>
    <t>Clothing</t>
  </si>
  <si>
    <t>36-45</t>
  </si>
  <si>
    <t>52</t>
  </si>
  <si>
    <t>Beauty</t>
  </si>
  <si>
    <t>46-55</t>
  </si>
  <si>
    <t>5</t>
  </si>
  <si>
    <t>Female</t>
  </si>
  <si>
    <t>85</t>
  </si>
  <si>
    <t>48</t>
  </si>
  <si>
    <t>49</t>
  </si>
  <si>
    <t>144</t>
  </si>
  <si>
    <t>56+</t>
  </si>
  <si>
    <t>54</t>
  </si>
  <si>
    <t>Electronics</t>
  </si>
  <si>
    <t>18-25</t>
  </si>
  <si>
    <t>66</t>
  </si>
  <si>
    <t>6</t>
  </si>
  <si>
    <t>120</t>
  </si>
  <si>
    <t>58</t>
  </si>
  <si>
    <t>59</t>
  </si>
  <si>
    <t>102</t>
  </si>
  <si>
    <t>137</t>
  </si>
  <si>
    <t>26-35</t>
  </si>
  <si>
    <t>1</t>
  </si>
  <si>
    <t>150</t>
  </si>
  <si>
    <t>50</t>
  </si>
  <si>
    <t>82</t>
  </si>
  <si>
    <t>12</t>
  </si>
  <si>
    <t>98</t>
  </si>
  <si>
    <t>123</t>
  </si>
  <si>
    <t>68</t>
  </si>
  <si>
    <t>17</t>
  </si>
  <si>
    <t>Unknown</t>
  </si>
  <si>
    <t>16</t>
  </si>
  <si>
    <t>130</t>
  </si>
  <si>
    <t>67</t>
  </si>
  <si>
    <t>89</t>
  </si>
  <si>
    <t>25</t>
  </si>
  <si>
    <t>77</t>
  </si>
  <si>
    <t>94</t>
  </si>
  <si>
    <t>116</t>
  </si>
  <si>
    <t>101</t>
  </si>
  <si>
    <t>147</t>
  </si>
  <si>
    <t>15</t>
  </si>
  <si>
    <t>145</t>
  </si>
  <si>
    <t>72</t>
  </si>
  <si>
    <t>115</t>
  </si>
  <si>
    <t>57</t>
  </si>
  <si>
    <t>128</t>
  </si>
  <si>
    <t>23</t>
  </si>
  <si>
    <t>71</t>
  </si>
  <si>
    <t>88</t>
  </si>
  <si>
    <t>114</t>
  </si>
  <si>
    <t>24</t>
  </si>
  <si>
    <t>135</t>
  </si>
  <si>
    <t>80</t>
  </si>
  <si>
    <t>22</t>
  </si>
  <si>
    <t>62</t>
  </si>
  <si>
    <t>39</t>
  </si>
  <si>
    <t>44</t>
  </si>
  <si>
    <t>41</t>
  </si>
  <si>
    <t>90</t>
  </si>
  <si>
    <t>152</t>
  </si>
  <si>
    <t>149</t>
  </si>
  <si>
    <t>3</t>
  </si>
  <si>
    <t>75</t>
  </si>
  <si>
    <t>55</t>
  </si>
  <si>
    <t>47</t>
  </si>
  <si>
    <t>8</t>
  </si>
  <si>
    <t>33</t>
  </si>
  <si>
    <t>20</t>
  </si>
  <si>
    <t>65</t>
  </si>
  <si>
    <t>61</t>
  </si>
  <si>
    <t>129</t>
  </si>
  <si>
    <t>29</t>
  </si>
  <si>
    <t>78</t>
  </si>
  <si>
    <t>86</t>
  </si>
  <si>
    <t>132</t>
  </si>
  <si>
    <t>69</t>
  </si>
  <si>
    <t>37</t>
  </si>
  <si>
    <t>51</t>
  </si>
  <si>
    <t>18</t>
  </si>
  <si>
    <t>31</t>
  </si>
  <si>
    <t>104</t>
  </si>
  <si>
    <t>28</t>
  </si>
  <si>
    <t>143</t>
  </si>
  <si>
    <t>138</t>
  </si>
  <si>
    <t>139</t>
  </si>
  <si>
    <t>7</t>
  </si>
  <si>
    <t>122</t>
  </si>
  <si>
    <t>81</t>
  </si>
  <si>
    <t>146</t>
  </si>
  <si>
    <t>106</t>
  </si>
  <si>
    <t>27</t>
  </si>
  <si>
    <t>97</t>
  </si>
  <si>
    <t>26</t>
  </si>
  <si>
    <t>136</t>
  </si>
  <si>
    <t>118</t>
  </si>
  <si>
    <t>40</t>
  </si>
  <si>
    <t>87</t>
  </si>
  <si>
    <t>111</t>
  </si>
  <si>
    <t>46</t>
  </si>
  <si>
    <t>56</t>
  </si>
  <si>
    <t>13</t>
  </si>
  <si>
    <t>10</t>
  </si>
  <si>
    <t>119</t>
  </si>
  <si>
    <t>42</t>
  </si>
  <si>
    <t>2</t>
  </si>
  <si>
    <t>125</t>
  </si>
  <si>
    <t>121</t>
  </si>
  <si>
    <t>105</t>
  </si>
  <si>
    <t>127</t>
  </si>
  <si>
    <t>21</t>
  </si>
  <si>
    <t>76</t>
  </si>
  <si>
    <t>43</t>
  </si>
  <si>
    <t>151</t>
  </si>
  <si>
    <t>155</t>
  </si>
  <si>
    <t>93</t>
  </si>
  <si>
    <t>95</t>
  </si>
  <si>
    <t>134</t>
  </si>
  <si>
    <t>60</t>
  </si>
  <si>
    <t>63</t>
  </si>
  <si>
    <t>142</t>
  </si>
  <si>
    <t>38</t>
  </si>
  <si>
    <t>36</t>
  </si>
  <si>
    <t>112</t>
  </si>
  <si>
    <t>45</t>
  </si>
  <si>
    <t>70</t>
  </si>
  <si>
    <t>74</t>
  </si>
  <si>
    <t>32</t>
  </si>
  <si>
    <t>148</t>
  </si>
  <si>
    <t>107</t>
  </si>
  <si>
    <t>99</t>
  </si>
  <si>
    <t>9</t>
  </si>
  <si>
    <t>11</t>
  </si>
  <si>
    <t>30</t>
  </si>
  <si>
    <t>124</t>
  </si>
  <si>
    <t>141</t>
  </si>
  <si>
    <t>153</t>
  </si>
  <si>
    <t>113</t>
  </si>
  <si>
    <t>96</t>
  </si>
  <si>
    <t>53</t>
  </si>
  <si>
    <t>4</t>
  </si>
  <si>
    <t>14</t>
  </si>
  <si>
    <t>131</t>
  </si>
  <si>
    <t>109</t>
  </si>
  <si>
    <t>35</t>
  </si>
  <si>
    <t>133</t>
  </si>
  <si>
    <t>103</t>
  </si>
  <si>
    <t>110</t>
  </si>
  <si>
    <t>64</t>
  </si>
  <si>
    <t>140</t>
  </si>
  <si>
    <t>19</t>
  </si>
  <si>
    <t>34</t>
  </si>
  <si>
    <t>108</t>
  </si>
  <si>
    <t>92</t>
  </si>
  <si>
    <t>91</t>
  </si>
  <si>
    <t>83</t>
  </si>
  <si>
    <t>126</t>
  </si>
  <si>
    <t>84</t>
  </si>
  <si>
    <t>100</t>
  </si>
  <si>
    <t>73</t>
  </si>
  <si>
    <t>154</t>
  </si>
  <si>
    <t>79</t>
  </si>
  <si>
    <t>Sum of total_sale</t>
  </si>
  <si>
    <t>Sum of Profit</t>
  </si>
  <si>
    <t>Sum of quantiy</t>
  </si>
  <si>
    <t>Count of transactions_id</t>
  </si>
  <si>
    <t>Values</t>
  </si>
  <si>
    <t>Row Labels</t>
  </si>
  <si>
    <t>2022</t>
  </si>
  <si>
    <t>2023</t>
  </si>
  <si>
    <t>Grand Total</t>
  </si>
  <si>
    <t>Jan</t>
  </si>
  <si>
    <t>Feb</t>
  </si>
  <si>
    <t>Mar</t>
  </si>
  <si>
    <t>Apr</t>
  </si>
  <si>
    <t>May</t>
  </si>
  <si>
    <t>Jun</t>
  </si>
  <si>
    <t>Oct</t>
  </si>
  <si>
    <t>Nov</t>
  </si>
  <si>
    <t>Dec</t>
  </si>
  <si>
    <t>Jul</t>
  </si>
  <si>
    <t>Aug</t>
  </si>
  <si>
    <t>Sep</t>
  </si>
  <si>
    <t>BQ 01. What is the overall sales, profit, transaction and profit-margin performance of the retail business?</t>
  </si>
  <si>
    <t>Sum of Profit_margin</t>
  </si>
  <si>
    <t>BQ 02.  How do sales and profit change over time, and which periods perform best or worst?</t>
  </si>
  <si>
    <t>Best and Worst Performing Periods</t>
  </si>
  <si>
    <t>Performance Indicator</t>
  </si>
  <si>
    <t>Period</t>
  </si>
  <si>
    <t>Value</t>
  </si>
  <si>
    <t>Highest Sales</t>
  </si>
  <si>
    <t>Lowest Sales</t>
  </si>
  <si>
    <t>Highest Profit</t>
  </si>
  <si>
    <t>Lowest Profit</t>
  </si>
  <si>
    <t>Table 1_2022</t>
  </si>
  <si>
    <t xml:space="preserve">Table 2_2023 </t>
  </si>
  <si>
    <t>BQ 04 How do customer demographics, particularly gender and age, influence sales and transaction activity?</t>
  </si>
  <si>
    <t>Highest-Performing Group</t>
  </si>
  <si>
    <t>Sales</t>
  </si>
  <si>
    <t>Transactions</t>
  </si>
  <si>
    <t>₦465,400</t>
  </si>
  <si>
    <t>46–55</t>
  </si>
  <si>
    <t>₦200,305</t>
  </si>
  <si>
    <t>Category</t>
  </si>
  <si>
    <t>Sales Contribution %</t>
  </si>
  <si>
    <t>Profit Contribution %</t>
  </si>
  <si>
    <t>Category Contribution to Overall Business Performance</t>
  </si>
  <si>
    <t>TOTAL</t>
  </si>
  <si>
    <t>Answer:</t>
  </si>
  <si>
    <t>BQ 01.  Overall Business Performance</t>
  </si>
  <si>
    <t>This indicates that the business achieved a strong overall profit performance, with a substantial proportion of its sales value converted into profit.</t>
  </si>
  <si>
    <t>The retail business recorded total sales of ₦911,720 from 1,997 transactions, generating a total profit of ₦721,957.30.</t>
  </si>
  <si>
    <t>The results provide a positive overall picture of the business's financial performance during the period analyzed.</t>
  </si>
  <si>
    <t>BQ 02.  Sales and Performance Trends Over Time</t>
  </si>
  <si>
    <t>The analysis shows that sales performance varied across the months and years. In 2022, the highest number of transactions was recorded in December (157),</t>
  </si>
  <si>
    <t>while July recorded the lowest (41). In 2023, September recorded the highest number of transactions (146), while February recorded the lowest (47).</t>
  </si>
  <si>
    <t>This variation indicates that customer purchasing activity was not consistent throughout the period,</t>
  </si>
  <si>
    <t>suggesting that seasonal factors and changing customer demand may influence the business's performance.</t>
  </si>
  <si>
    <t>BQ03 – Product Category Performance</t>
  </si>
  <si>
    <t>The analysis indicates that product categories performed differently across the key business measures. Electronics recorded the highest sales contribution,</t>
  </si>
  <si>
    <t>while Clothing recorded the highest quantity sold. Clothing and Electronics also generated almost equal profit contributions,</t>
  </si>
  <si>
    <t>showing that both categories are important to the overall profitability of the business.</t>
  </si>
  <si>
    <t>This suggests that the business should continue to support these strong-performing categories while identifying strategies to improve the performance of lower-performing products.</t>
  </si>
  <si>
    <t>BQ04 – Customer Demographic Performance</t>
  </si>
  <si>
    <t>The analysis shows that female customers contributed slightly more to the business's sales and transaction volume than male customers,</t>
  </si>
  <si>
    <t>generating ₦465,400 from 1,017 transactions compared with ₦446,320 from 980 transactions for male customers. Among the age groups,</t>
  </si>
  <si>
    <t>customers aged 46–55 recorded the highest sales of ₦200,305 and 455 transactions. This suggests that female customers and the 46–55 age group</t>
  </si>
  <si>
    <t>represent important customer segments that the business can prioritize when developing targeted marketing and customer engagement strategies.</t>
  </si>
  <si>
    <t>BQ06 – Actionable Recommendations</t>
  </si>
  <si>
    <t>The findings show that improving business performance requires attention to both customer segments and product categories.</t>
  </si>
  <si>
    <t>Female customers and the 46–55 age group demonstrated the strongest customer performance, while Electronics and Clothing were the leading product categories across key measures.</t>
  </si>
  <si>
    <t>These findings suggest that the business can improve sales and profitability by targeting high-performing customer groups, maintaining adequate stock of strong-performing products, promoting lower-performing categories such as Beauty, and</t>
  </si>
  <si>
    <t>using customer demographic information to develop more focused marketing strategies. Regular monitoring of sales, profit and customer trends will also support better business decision-making.</t>
  </si>
  <si>
    <t xml:space="preserve">                                            INTERPRETATION OF RESULT </t>
  </si>
  <si>
    <t xml:space="preserve">                                                                                              EXECUTIVE SUMMARY</t>
  </si>
  <si>
    <t>PURPOSE AND SCOPE</t>
  </si>
  <si>
    <t>KEY FINDINGS</t>
  </si>
  <si>
    <t>Sales and transaction activity varied across the periods analyzed, indicating changes in customer purchasing activity over time.</t>
  </si>
  <si>
    <t>RECOMMENDATION</t>
  </si>
  <si>
    <t>The business should maintain adequate stock and promotional support for high-performing categories such as Electronics and Clothing.</t>
  </si>
  <si>
    <t>the highest  sales, quantity sold and profit</t>
  </si>
  <si>
    <t xml:space="preserve">BQ 06.  What actionable recommendations can be made to improve sales, profitability and customer performance?  </t>
  </si>
  <si>
    <t>BQ 05. What is the average transaction value, and which product categories and customers contribute most to business revenue and profit?</t>
  </si>
  <si>
    <t>Dec-22</t>
  </si>
  <si>
    <t>72,880</t>
  </si>
  <si>
    <t>Average Transaction Value</t>
  </si>
  <si>
    <t>Total Sales</t>
  </si>
  <si>
    <t>Total Transactions</t>
  </si>
  <si>
    <t>BQ05: Average Transaction Value &amp; Key Contributors</t>
  </si>
  <si>
    <t>Result</t>
  </si>
  <si>
    <t>Top Category by Sales</t>
  </si>
  <si>
    <t>Electronics — ₦313,810 (34.42%)</t>
  </si>
  <si>
    <t>Top Category by Profit</t>
  </si>
  <si>
    <t>Clothing — ₦246,679.50 (34.17%)</t>
  </si>
  <si>
    <t>Top Customer by Sales</t>
  </si>
  <si>
    <t>Customer 3 — ₦38,440</t>
  </si>
  <si>
    <t>Top Customer by Profit</t>
  </si>
  <si>
    <t>Customer 3 — ₦32,860.85</t>
  </si>
  <si>
    <t xml:space="preserve"> finding</t>
  </si>
  <si>
    <t>Electronics generated the highest sales contribution at 34.42%, while Clothing generated the highest profit contribution at 34.17%. Customer 3 was the highest individual contributor,</t>
  </si>
  <si>
    <t>generating ₦38,440 in sales and ₦32,860.85 in profit. This indicates that Electronics is the strongest category for revenue, while Clothing has a slight advantage in profit contribution.</t>
  </si>
  <si>
    <t>1. Prioritize Electronics: Maintain adequate stock of Electronics because it generated the highest total sales of ₦313,810 (34.42% of sales).</t>
  </si>
  <si>
    <t>2. Strengthen Clothing Profitability: Continue investing in Clothing because it generated the highest profit of ₦246,679.50 (34.17% of total profit).</t>
  </si>
  <si>
    <t>3.Investigate Low-Performing Periods: Review the factors behind the lowest sales periods, particularly February 2022 and March 2023, and develop promotions or targeted campaigns for similar periods.</t>
  </si>
  <si>
    <t>4. Understand High-Value Customers: Monitor and retain high-contributing customers such as Customer 3, who generated ₦38,440 in sales and ₦32,860.85 in profit.</t>
  </si>
  <si>
    <t>5. Increase Transaction Value: Develop cross-selling, bundling, or promotional strategies to increase the current average transaction value of ₦456.39.</t>
  </si>
  <si>
    <t>product category performance, and customer demographics. The purpose is to identify important business patterns and</t>
  </si>
  <si>
    <t xml:space="preserve">This project analyzes the performance of a retail business using cleaned sales transaction data. The analysis covers overall sales, profit, transaction performance, sales trends over time, </t>
  </si>
  <si>
    <t>provide data-driven insights that can support better sales, profitability, and customer management decisions.</t>
  </si>
  <si>
    <t>At the category level, Electronics recorded the highest sales of ₦313,810 (34.42%). Clothing recorded the highest quantity sold with 1,785 units (35.57%) and the highest profit of ₦246,679.50.</t>
  </si>
  <si>
    <t>Customer demographic analysis showed that female customers recorded the highest sales of ₦465,400 and the highest number of transactions at 1,017.</t>
  </si>
  <si>
    <t>The 46–55 age group recorded the highest sales among the identified age groups, with ₦200,305 from 455 transactions.</t>
  </si>
  <si>
    <t>Targeted marketing should be developed for high-performing customer groups, particularly female customers and the 46–55 age group.</t>
  </si>
  <si>
    <t>Categories with relatively lower contributions, particularly Beauty, should receive targeted promotional strategies to improve their performance.</t>
  </si>
  <si>
    <t>Management should also regularly monitor sales, profit, transaction, and customer trends to support timely and informed business decisions.</t>
  </si>
  <si>
    <t>The retail business generated total sales of ₦911,720 from 1,997 transactions, giving an average transaction value of ₦456.54.</t>
  </si>
  <si>
    <t>The average transaction value was ₦456.54, indicating the average revenue generated per transaction.</t>
  </si>
  <si>
    <t>BQ05 – Average Transaction Value and Key Contributors</t>
  </si>
  <si>
    <t>BQ 03. Which product category generates the highest sales, quantity sold and profit?</t>
  </si>
  <si>
    <t xml:space="preserve">                </t>
  </si>
  <si>
    <t>RETAIL SALES ANALYSIS - PIVOT TABLES AND CHARTS</t>
  </si>
  <si>
    <t>Average of total_sale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</si>
</sst>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470]#,##0"/>
    <numFmt numFmtId="166" formatCode="[$₦-470]#,##0.00"/>
  </numFmts>
  <fonts count="19">
    <font>
      <sz val="11"/>
      <color theme="1"/>
      <name val="Calibri"/>
      <family val="2"/>
      <scheme val="minor"/>
    </font>
    <font>
      <sz val="11"/>
      <color theme="1"/>
      <name val="Calibri"/>
      <family val="2"/>
      <scheme val="minor"/>
    </font>
    <font>
      <b/>
      <sz val="11"/>
      <color theme="1"/>
      <name val="Calibri"/>
      <family val="2"/>
      <scheme val="minor"/>
    </font>
    <font>
      <b/>
      <sz val="18"/>
      <color theme="1"/>
      <name val="Times New Roman"/>
      <family val="1"/>
    </font>
    <font>
      <b/>
      <sz val="14"/>
      <color theme="1"/>
      <name val="Times New Roman"/>
      <family val="1"/>
    </font>
    <font>
      <sz val="11"/>
      <color theme="1"/>
      <name val="Times New Roman"/>
      <family val="1"/>
    </font>
    <font>
      <sz val="14"/>
      <color theme="1"/>
      <name val="Times New Roman"/>
      <family val="1"/>
    </font>
    <font>
      <b/>
      <sz val="12"/>
      <color theme="1"/>
      <name val="Times New Roman"/>
      <family val="1"/>
    </font>
    <font>
      <sz val="10"/>
      <color theme="1"/>
      <name val="Arial Unicode MS"/>
    </font>
    <font>
      <sz val="10"/>
      <color theme="1"/>
      <name val="Times New Roman"/>
      <family val="1"/>
    </font>
    <font>
      <sz val="12"/>
      <color theme="1"/>
      <name val="Times New Roman"/>
      <family val="1"/>
    </font>
    <font>
      <sz val="12"/>
      <color theme="1"/>
      <name val="Calibri"/>
      <family val="2"/>
      <scheme val="minor"/>
    </font>
    <font>
      <b/>
      <sz val="20"/>
      <color theme="1"/>
      <name val="Times New Roman"/>
      <family val="1"/>
    </font>
    <font>
      <b/>
      <sz val="11"/>
      <color theme="1"/>
      <name val="Times New Roman"/>
      <family val="1"/>
    </font>
    <font>
      <b/>
      <sz val="16"/>
      <color theme="1"/>
      <name val="Times New Roman"/>
      <family val="1"/>
    </font>
    <font>
      <sz val="16"/>
      <color theme="1"/>
      <name val="Times New Roman"/>
      <family val="1"/>
    </font>
    <font>
      <b/>
      <sz val="14"/>
      <name val="Times New Roman"/>
      <family val="1"/>
    </font>
    <font>
      <b/>
      <sz val="12"/>
      <name val="Times New Roman"/>
      <family val="1"/>
    </font>
    <font>
      <sz val="11"/>
      <color theme="0"/>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
      <patternFill patternType="solid">
        <fgColor theme="4" tint="-0.249977111117893"/>
        <bgColor indexed="64"/>
      </patternFill>
    </fill>
    <fill>
      <patternFill patternType="solid">
        <fgColor theme="0"/>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6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14" fontId="0" fillId="0" borderId="0" xfId="0" applyNumberFormat="1"/>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center"/>
    </xf>
    <xf numFmtId="0" fontId="0" fillId="0" borderId="0" xfId="0" applyAlignment="1">
      <alignment horizontal="right" vertical="center" wrapText="1"/>
    </xf>
    <xf numFmtId="0" fontId="2" fillId="0" borderId="0" xfId="0" applyFont="1" applyAlignment="1">
      <alignment horizontal="right" vertical="center" wrapText="1"/>
    </xf>
    <xf numFmtId="17" fontId="0" fillId="0" borderId="0" xfId="0" applyNumberFormat="1" applyAlignment="1">
      <alignment vertical="center" wrapText="1"/>
    </xf>
    <xf numFmtId="3" fontId="0" fillId="0" borderId="0" xfId="0" applyNumberFormat="1" applyAlignment="1">
      <alignment horizontal="right" vertical="center" wrapText="1"/>
    </xf>
    <xf numFmtId="4" fontId="0" fillId="0" borderId="0" xfId="0" applyNumberFormat="1" applyAlignment="1">
      <alignment horizontal="right" vertical="center" wrapText="1"/>
    </xf>
    <xf numFmtId="0" fontId="8" fillId="0" borderId="0" xfId="0" applyFont="1" applyAlignment="1">
      <alignment vertical="center"/>
    </xf>
    <xf numFmtId="0" fontId="2" fillId="2" borderId="1" xfId="0" applyFont="1" applyFill="1" applyBorder="1"/>
    <xf numFmtId="10" fontId="0" fillId="0" borderId="0" xfId="0" applyNumberFormat="1"/>
    <xf numFmtId="17" fontId="0" fillId="0" borderId="0" xfId="0" applyNumberFormat="1" applyAlignment="1">
      <alignment vertical="center"/>
    </xf>
    <xf numFmtId="4" fontId="0" fillId="0" borderId="0" xfId="0" applyNumberFormat="1" applyAlignment="1">
      <alignment horizontal="right" vertical="center"/>
    </xf>
    <xf numFmtId="0" fontId="7" fillId="0" borderId="0" xfId="0" applyFont="1"/>
    <xf numFmtId="0" fontId="2" fillId="0" borderId="0" xfId="0" applyFont="1"/>
    <xf numFmtId="0" fontId="0" fillId="0" borderId="0" xfId="0" applyAlignment="1">
      <alignment horizontal="left" vertical="center" indent="1"/>
    </xf>
    <xf numFmtId="0" fontId="5" fillId="0" borderId="0" xfId="0" applyFont="1"/>
    <xf numFmtId="0" fontId="9" fillId="0" borderId="0" xfId="0" applyFont="1"/>
    <xf numFmtId="0" fontId="10" fillId="0" borderId="0" xfId="0" applyFont="1"/>
    <xf numFmtId="0" fontId="11" fillId="0" borderId="0" xfId="0" applyFont="1"/>
    <xf numFmtId="0" fontId="13" fillId="0" borderId="0" xfId="0" applyFont="1"/>
    <xf numFmtId="0" fontId="0" fillId="3" borderId="0" xfId="0" applyFill="1"/>
    <xf numFmtId="0" fontId="3" fillId="3" borderId="0" xfId="0" applyFont="1" applyFill="1"/>
    <xf numFmtId="0" fontId="12" fillId="3" borderId="0" xfId="0" applyFont="1" applyFill="1"/>
    <xf numFmtId="0" fontId="4" fillId="3" borderId="0" xfId="0" applyFont="1" applyFill="1"/>
    <xf numFmtId="0" fontId="6" fillId="3" borderId="0" xfId="0" applyFont="1" applyFill="1"/>
    <xf numFmtId="0" fontId="7" fillId="3" borderId="0" xfId="0" applyFont="1" applyFill="1"/>
    <xf numFmtId="0" fontId="15" fillId="0" borderId="0" xfId="0" applyFont="1" applyAlignment="1">
      <alignment horizontal="center"/>
    </xf>
    <xf numFmtId="3" fontId="7" fillId="0" borderId="0" xfId="0" applyNumberFormat="1" applyFont="1" applyAlignment="1">
      <alignment horizontal="right" vertical="center"/>
    </xf>
    <xf numFmtId="0" fontId="7" fillId="0" borderId="0" xfId="0" applyFont="1" applyAlignment="1">
      <alignment vertical="center"/>
    </xf>
    <xf numFmtId="0" fontId="4" fillId="3" borderId="0" xfId="0" applyFont="1" applyFill="1" applyAlignment="1">
      <alignment horizontal="left"/>
    </xf>
    <xf numFmtId="0" fontId="17" fillId="0" borderId="0" xfId="0" applyFont="1"/>
    <xf numFmtId="0" fontId="17" fillId="0" borderId="0" xfId="0" applyFont="1" applyAlignment="1">
      <alignment horizontal="center"/>
    </xf>
    <xf numFmtId="0" fontId="2" fillId="0" borderId="2" xfId="0" applyFont="1" applyBorder="1" applyAlignment="1">
      <alignment horizontal="center" vertical="center" wrapText="1"/>
    </xf>
    <xf numFmtId="0" fontId="2" fillId="0" borderId="1" xfId="0" applyFont="1" applyBorder="1"/>
    <xf numFmtId="0" fontId="4" fillId="0" borderId="0" xfId="0" applyFont="1"/>
    <xf numFmtId="0" fontId="0" fillId="3" borderId="0" xfId="0" applyFill="1" applyAlignment="1">
      <alignment horizontal="left"/>
    </xf>
    <xf numFmtId="0" fontId="2" fillId="0" borderId="0" xfId="0" applyFont="1" applyAlignment="1">
      <alignment vertical="center" wrapText="1"/>
    </xf>
    <xf numFmtId="165" fontId="2" fillId="2" borderId="1" xfId="0" applyNumberFormat="1" applyFont="1" applyFill="1" applyBorder="1"/>
    <xf numFmtId="0" fontId="15" fillId="3" borderId="0" xfId="0" applyFont="1" applyFill="1" applyAlignment="1">
      <alignment horizontal="center"/>
    </xf>
    <xf numFmtId="3" fontId="0" fillId="0" borderId="0" xfId="0" applyNumberFormat="1"/>
    <xf numFmtId="0" fontId="0" fillId="0" borderId="0" xfId="0" applyAlignment="1">
      <alignment horizontal="center" vertical="center"/>
    </xf>
    <xf numFmtId="3" fontId="0" fillId="0" borderId="0" xfId="0" applyNumberFormat="1" applyAlignment="1">
      <alignment horizontal="center" vertical="center"/>
    </xf>
    <xf numFmtId="0" fontId="18" fillId="0" borderId="0" xfId="0" applyFont="1"/>
    <xf numFmtId="0" fontId="18" fillId="0" borderId="0" xfId="0" applyFont="1" applyAlignment="1">
      <alignment horizontal="center" vertical="center"/>
    </xf>
    <xf numFmtId="166" fontId="0" fillId="0" borderId="0" xfId="0" applyNumberFormat="1" applyAlignment="1">
      <alignment horizontal="center" vertical="center"/>
    </xf>
    <xf numFmtId="0" fontId="0" fillId="5" borderId="0" xfId="0" applyFill="1"/>
    <xf numFmtId="0" fontId="16" fillId="4" borderId="0" xfId="0" applyFont="1" applyFill="1"/>
    <xf numFmtId="0" fontId="7" fillId="0" borderId="0" xfId="0" applyFont="1"/>
    <xf numFmtId="0" fontId="14" fillId="3" borderId="0" xfId="0" applyFont="1" applyFill="1" applyAlignment="1">
      <alignment horizontal="center"/>
    </xf>
    <xf numFmtId="0" fontId="7" fillId="3" borderId="0" xfId="0" applyFont="1" applyFill="1"/>
    <xf numFmtId="0" fontId="4" fillId="3" borderId="0" xfId="0" applyFont="1" applyFill="1"/>
    <xf numFmtId="0" fontId="12" fillId="3" borderId="0" xfId="0" applyFont="1" applyFill="1" applyAlignment="1">
      <alignment horizontal="center"/>
    </xf>
    <xf numFmtId="0" fontId="0" fillId="0" borderId="0" xfId="0" applyAlignment="1">
      <alignment horizontal="center"/>
    </xf>
    <xf numFmtId="166" fontId="0" fillId="0" borderId="0" xfId="0" applyNumberFormat="1" applyAlignment="1">
      <alignment horizontal="center" vertical="center"/>
    </xf>
    <xf numFmtId="0" fontId="0" fillId="0" borderId="0" xfId="0" applyAlignment="1">
      <alignment horizontal="center" vertical="center"/>
    </xf>
    <xf numFmtId="3" fontId="0" fillId="0" borderId="0" xfId="0" applyNumberFormat="1" applyAlignment="1">
      <alignment horizontal="center" vertical="center"/>
    </xf>
    <xf numFmtId="0" fontId="12" fillId="0" borderId="0" xfId="0" applyFont="1" applyAlignment="1">
      <alignment horizontal="center"/>
    </xf>
    <xf numFmtId="0" fontId="2" fillId="0" borderId="0" xfId="0" applyFont="1" applyAlignment="1">
      <alignment horizontal="center"/>
    </xf>
    <xf numFmtId="0" fontId="12" fillId="0" borderId="0" xfId="0" applyFont="1" applyAlignment="1">
      <alignment horizontal="center" vertical="center"/>
    </xf>
    <xf numFmtId="0" fontId="0" fillId="0" borderId="0" xfId="0" applyNumberFormat="1"/>
  </cellXfs>
  <cellStyles count="2">
    <cellStyle name="Normal" xfId="0" builtinId="0"/>
    <cellStyle name="Percent" xfId="1" builtinId="5"/>
  </cellStyles>
  <dxfs count="3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right"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164" formatCode="[$-F400]h:mm:ss\ AM/PM"/>
    </dxf>
    <dxf>
      <numFmt numFmtId="19" formatCode="m/d/yyyy"/>
    </dxf>
    <dxf>
      <font>
        <b/>
        <color theme="1"/>
      </font>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SlicerStyleDark1 2" pivot="0" table="0" count="10" xr9:uid="{CC55A966-97B4-4EF2-8F6E-180E4671B534}">
      <tableStyleElement type="wholeTable" dxfId="31"/>
      <tableStyleElement type="headerRow" dxfId="30"/>
    </tableStyle>
    <tableStyle name="SlicerStyleDark1 3" pivot="0" table="0" count="10" xr9:uid="{43FC82B9-F9B7-4B3B-A2A8-E4D26D4C7940}">
      <tableStyleElement type="wholeTable" dxfId="29"/>
      <tableStyleElement type="headerRow" dxfId="28"/>
    </tableStyle>
    <tableStyle name="SlicerStyleDark1 4" pivot="0" table="0" count="10" xr9:uid="{CA90A85F-A8BA-4905-97DF-8C5937644FFB}">
      <tableStyleElement type="wholeTable" dxfId="27"/>
      <tableStyleElement type="headerRow" dxfId="26"/>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.xlsx]ANALYSIS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SALES, PROFIT, TRANSACTION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'!$B$6</c:f>
              <c:strCache>
                <c:ptCount val="1"/>
                <c:pt idx="0">
                  <c:v>Total</c:v>
                </c:pt>
              </c:strCache>
            </c:strRef>
          </c:tx>
          <c:spPr>
            <a:solidFill>
              <a:schemeClr val="accent1"/>
            </a:solidFill>
            <a:ln>
              <a:noFill/>
            </a:ln>
            <a:effectLst/>
          </c:spPr>
          <c:invertIfNegative val="0"/>
          <c:cat>
            <c:strRef>
              <c:f>'ANALYSIS '!$A$7:$A$9</c:f>
              <c:strCache>
                <c:ptCount val="3"/>
                <c:pt idx="0">
                  <c:v>Sum of total_sale</c:v>
                </c:pt>
                <c:pt idx="1">
                  <c:v>Sum of Profit</c:v>
                </c:pt>
                <c:pt idx="2">
                  <c:v>Count of transactions_id</c:v>
                </c:pt>
              </c:strCache>
            </c:strRef>
          </c:cat>
          <c:val>
            <c:numRef>
              <c:f>'ANALYSIS '!$B$7:$B$9</c:f>
              <c:numCache>
                <c:formatCode>General</c:formatCode>
                <c:ptCount val="3"/>
                <c:pt idx="0">
                  <c:v>911720</c:v>
                </c:pt>
                <c:pt idx="1">
                  <c:v>721957.30000000016</c:v>
                </c:pt>
                <c:pt idx="2">
                  <c:v>1997</c:v>
                </c:pt>
              </c:numCache>
            </c:numRef>
          </c:val>
          <c:extLst>
            <c:ext xmlns:c16="http://schemas.microsoft.com/office/drawing/2014/chart" uri="{C3380CC4-5D6E-409C-BE32-E72D297353CC}">
              <c16:uniqueId val="{00000000-0103-4C94-9A10-CAC5219C8435}"/>
            </c:ext>
          </c:extLst>
        </c:ser>
        <c:dLbls>
          <c:showLegendKey val="0"/>
          <c:showVal val="0"/>
          <c:showCatName val="0"/>
          <c:showSerName val="0"/>
          <c:showPercent val="0"/>
          <c:showBubbleSize val="0"/>
        </c:dLbls>
        <c:gapWidth val="219"/>
        <c:overlap val="-27"/>
        <c:axId val="2091615088"/>
        <c:axId val="1303539552"/>
      </c:barChart>
      <c:catAx>
        <c:axId val="209161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39552"/>
        <c:crosses val="autoZero"/>
        <c:auto val="1"/>
        <c:lblAlgn val="ctr"/>
        <c:lblOffset val="100"/>
        <c:noMultiLvlLbl val="0"/>
      </c:catAx>
      <c:valAx>
        <c:axId val="130353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1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.xlsx]ANALYSIS !Monthly sales and profit 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Monthly Sales and Profit Trend (2022–2023)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'!$B$22</c:f>
              <c:strCache>
                <c:ptCount val="1"/>
                <c:pt idx="0">
                  <c:v>Sum of total_sale</c:v>
                </c:pt>
              </c:strCache>
            </c:strRef>
          </c:tx>
          <c:spPr>
            <a:ln w="28575" cap="rnd">
              <a:solidFill>
                <a:schemeClr val="accent1"/>
              </a:solidFill>
              <a:round/>
            </a:ln>
            <a:effectLst/>
          </c:spPr>
          <c:marker>
            <c:symbol val="none"/>
          </c:marker>
          <c:cat>
            <c:multiLvlStrRef>
              <c:f>'ANALYSIS '!$A$23:$A$49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2022</c:v>
                  </c:pt>
                  <c:pt idx="12">
                    <c:v>2023</c:v>
                  </c:pt>
                </c:lvl>
              </c:multiLvlStrCache>
            </c:multiLvlStrRef>
          </c:cat>
          <c:val>
            <c:numRef>
              <c:f>'ANALYSIS '!$B$23:$B$49</c:f>
              <c:numCache>
                <c:formatCode>General</c:formatCode>
                <c:ptCount val="24"/>
                <c:pt idx="0">
                  <c:v>22635</c:v>
                </c:pt>
                <c:pt idx="1">
                  <c:v>16110</c:v>
                </c:pt>
                <c:pt idx="2">
                  <c:v>24505</c:v>
                </c:pt>
                <c:pt idx="3">
                  <c:v>28705</c:v>
                </c:pt>
                <c:pt idx="4">
                  <c:v>24980</c:v>
                </c:pt>
                <c:pt idx="5">
                  <c:v>20700</c:v>
                </c:pt>
                <c:pt idx="6">
                  <c:v>22195</c:v>
                </c:pt>
                <c:pt idx="7">
                  <c:v>21195</c:v>
                </c:pt>
                <c:pt idx="8">
                  <c:v>61770</c:v>
                </c:pt>
                <c:pt idx="9">
                  <c:v>68235</c:v>
                </c:pt>
                <c:pt idx="10">
                  <c:v>68915</c:v>
                </c:pt>
                <c:pt idx="11">
                  <c:v>72880</c:v>
                </c:pt>
                <c:pt idx="12">
                  <c:v>23790</c:v>
                </c:pt>
                <c:pt idx="13">
                  <c:v>25170</c:v>
                </c:pt>
                <c:pt idx="14">
                  <c:v>20530</c:v>
                </c:pt>
                <c:pt idx="15">
                  <c:v>21925</c:v>
                </c:pt>
                <c:pt idx="16">
                  <c:v>27010</c:v>
                </c:pt>
                <c:pt idx="17">
                  <c:v>24555</c:v>
                </c:pt>
                <c:pt idx="18">
                  <c:v>35925</c:v>
                </c:pt>
                <c:pt idx="19">
                  <c:v>28270</c:v>
                </c:pt>
                <c:pt idx="20">
                  <c:v>67560</c:v>
                </c:pt>
                <c:pt idx="21">
                  <c:v>57880</c:v>
                </c:pt>
                <c:pt idx="22">
                  <c:v>57135</c:v>
                </c:pt>
                <c:pt idx="23">
                  <c:v>69145</c:v>
                </c:pt>
              </c:numCache>
            </c:numRef>
          </c:val>
          <c:smooth val="0"/>
          <c:extLst>
            <c:ext xmlns:c16="http://schemas.microsoft.com/office/drawing/2014/chart" uri="{C3380CC4-5D6E-409C-BE32-E72D297353CC}">
              <c16:uniqueId val="{00000000-2AAF-471A-B409-A28875459B53}"/>
            </c:ext>
          </c:extLst>
        </c:ser>
        <c:ser>
          <c:idx val="1"/>
          <c:order val="1"/>
          <c:tx>
            <c:strRef>
              <c:f>'ANALYSIS '!$C$22</c:f>
              <c:strCache>
                <c:ptCount val="1"/>
                <c:pt idx="0">
                  <c:v>Sum of Profit</c:v>
                </c:pt>
              </c:strCache>
            </c:strRef>
          </c:tx>
          <c:spPr>
            <a:ln w="28575" cap="rnd">
              <a:solidFill>
                <a:schemeClr val="accent2"/>
              </a:solidFill>
              <a:round/>
            </a:ln>
            <a:effectLst/>
          </c:spPr>
          <c:marker>
            <c:symbol val="none"/>
          </c:marker>
          <c:cat>
            <c:multiLvlStrRef>
              <c:f>'ANALYSIS '!$A$23:$A$49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2022</c:v>
                  </c:pt>
                  <c:pt idx="12">
                    <c:v>2023</c:v>
                  </c:pt>
                </c:lvl>
              </c:multiLvlStrCache>
            </c:multiLvlStrRef>
          </c:cat>
          <c:val>
            <c:numRef>
              <c:f>'ANALYSIS '!$C$23:$C$49</c:f>
              <c:numCache>
                <c:formatCode>General</c:formatCode>
                <c:ptCount val="24"/>
                <c:pt idx="0">
                  <c:v>19428.3</c:v>
                </c:pt>
                <c:pt idx="1">
                  <c:v>13111.8</c:v>
                </c:pt>
                <c:pt idx="2">
                  <c:v>20929.750000000004</c:v>
                </c:pt>
                <c:pt idx="3">
                  <c:v>23671.100000000002</c:v>
                </c:pt>
                <c:pt idx="4">
                  <c:v>21028.199999999997</c:v>
                </c:pt>
                <c:pt idx="5">
                  <c:v>17138.949999999997</c:v>
                </c:pt>
                <c:pt idx="6">
                  <c:v>18403.3</c:v>
                </c:pt>
                <c:pt idx="7">
                  <c:v>18058.299999999996</c:v>
                </c:pt>
                <c:pt idx="8">
                  <c:v>47290.400000000001</c:v>
                </c:pt>
                <c:pt idx="9">
                  <c:v>49709.35</c:v>
                </c:pt>
                <c:pt idx="10">
                  <c:v>53119.249999999985</c:v>
                </c:pt>
                <c:pt idx="11">
                  <c:v>54926.9</c:v>
                </c:pt>
                <c:pt idx="12">
                  <c:v>20016.249999999996</c:v>
                </c:pt>
                <c:pt idx="13">
                  <c:v>21424.45</c:v>
                </c:pt>
                <c:pt idx="14">
                  <c:v>16809.349999999999</c:v>
                </c:pt>
                <c:pt idx="15">
                  <c:v>18563.55</c:v>
                </c:pt>
                <c:pt idx="16">
                  <c:v>22525.249999999996</c:v>
                </c:pt>
                <c:pt idx="17">
                  <c:v>20317.399999999998</c:v>
                </c:pt>
                <c:pt idx="18">
                  <c:v>30161.699999999997</c:v>
                </c:pt>
                <c:pt idx="19">
                  <c:v>23022.6</c:v>
                </c:pt>
                <c:pt idx="20">
                  <c:v>51755.80000000001</c:v>
                </c:pt>
                <c:pt idx="21">
                  <c:v>42040.549999999996</c:v>
                </c:pt>
                <c:pt idx="22">
                  <c:v>44396.200000000012</c:v>
                </c:pt>
                <c:pt idx="23">
                  <c:v>54108.600000000006</c:v>
                </c:pt>
              </c:numCache>
            </c:numRef>
          </c:val>
          <c:smooth val="0"/>
          <c:extLst>
            <c:ext xmlns:c16="http://schemas.microsoft.com/office/drawing/2014/chart" uri="{C3380CC4-5D6E-409C-BE32-E72D297353CC}">
              <c16:uniqueId val="{00000001-2AAF-471A-B409-A28875459B53}"/>
            </c:ext>
          </c:extLst>
        </c:ser>
        <c:dLbls>
          <c:showLegendKey val="0"/>
          <c:showVal val="0"/>
          <c:showCatName val="0"/>
          <c:showSerName val="0"/>
          <c:showPercent val="0"/>
          <c:showBubbleSize val="0"/>
        </c:dLbls>
        <c:smooth val="0"/>
        <c:axId val="613266687"/>
        <c:axId val="460964543"/>
      </c:lineChart>
      <c:catAx>
        <c:axId val="61326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64543"/>
        <c:crosses val="autoZero"/>
        <c:auto val="1"/>
        <c:lblAlgn val="ctr"/>
        <c:lblOffset val="100"/>
        <c:noMultiLvlLbl val="0"/>
      </c:catAx>
      <c:valAx>
        <c:axId val="46096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26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.xlsx]ANALYSIS !sales and profit performance by category</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Quantity and Profit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'!$B$58</c:f>
              <c:strCache>
                <c:ptCount val="1"/>
                <c:pt idx="0">
                  <c:v>Sum of total_sale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'!$A$59:$A$62</c:f>
              <c:strCache>
                <c:ptCount val="3"/>
                <c:pt idx="0">
                  <c:v>Beauty</c:v>
                </c:pt>
                <c:pt idx="1">
                  <c:v>Electronics</c:v>
                </c:pt>
                <c:pt idx="2">
                  <c:v>Clothing</c:v>
                </c:pt>
              </c:strCache>
            </c:strRef>
          </c:cat>
          <c:val>
            <c:numRef>
              <c:f>'ANALYSIS '!$B$59:$B$62</c:f>
              <c:numCache>
                <c:formatCode>General</c:formatCode>
                <c:ptCount val="3"/>
                <c:pt idx="0">
                  <c:v>286840</c:v>
                </c:pt>
                <c:pt idx="1">
                  <c:v>313810</c:v>
                </c:pt>
                <c:pt idx="2">
                  <c:v>311070</c:v>
                </c:pt>
              </c:numCache>
            </c:numRef>
          </c:val>
          <c:extLst>
            <c:ext xmlns:c16="http://schemas.microsoft.com/office/drawing/2014/chart" uri="{C3380CC4-5D6E-409C-BE32-E72D297353CC}">
              <c16:uniqueId val="{00000000-41F2-40F2-8B52-0A672A56FE1B}"/>
            </c:ext>
          </c:extLst>
        </c:ser>
        <c:ser>
          <c:idx val="1"/>
          <c:order val="1"/>
          <c:tx>
            <c:strRef>
              <c:f>'ANALYSIS '!$C$58</c:f>
              <c:strCache>
                <c:ptCount val="1"/>
                <c:pt idx="0">
                  <c:v>Sum of quantiy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'!$A$59:$A$62</c:f>
              <c:strCache>
                <c:ptCount val="3"/>
                <c:pt idx="0">
                  <c:v>Beauty</c:v>
                </c:pt>
                <c:pt idx="1">
                  <c:v>Electronics</c:v>
                </c:pt>
                <c:pt idx="2">
                  <c:v>Clothing</c:v>
                </c:pt>
              </c:strCache>
            </c:strRef>
          </c:cat>
          <c:val>
            <c:numRef>
              <c:f>'ANALYSIS '!$C$59:$C$62</c:f>
              <c:numCache>
                <c:formatCode>General</c:formatCode>
                <c:ptCount val="3"/>
                <c:pt idx="0">
                  <c:v>1535</c:v>
                </c:pt>
                <c:pt idx="1">
                  <c:v>1698</c:v>
                </c:pt>
                <c:pt idx="2">
                  <c:v>1785</c:v>
                </c:pt>
              </c:numCache>
            </c:numRef>
          </c:val>
          <c:extLst>
            <c:ext xmlns:c16="http://schemas.microsoft.com/office/drawing/2014/chart" uri="{C3380CC4-5D6E-409C-BE32-E72D297353CC}">
              <c16:uniqueId val="{00000001-41F2-40F2-8B52-0A672A56FE1B}"/>
            </c:ext>
          </c:extLst>
        </c:ser>
        <c:ser>
          <c:idx val="2"/>
          <c:order val="2"/>
          <c:tx>
            <c:strRef>
              <c:f>'ANALYSIS '!$D$58</c:f>
              <c:strCache>
                <c:ptCount val="1"/>
                <c:pt idx="0">
                  <c:v>Sum of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'!$A$59:$A$62</c:f>
              <c:strCache>
                <c:ptCount val="3"/>
                <c:pt idx="0">
                  <c:v>Beauty</c:v>
                </c:pt>
                <c:pt idx="1">
                  <c:v>Electronics</c:v>
                </c:pt>
                <c:pt idx="2">
                  <c:v>Clothing</c:v>
                </c:pt>
              </c:strCache>
            </c:strRef>
          </c:cat>
          <c:val>
            <c:numRef>
              <c:f>'ANALYSIS '!$D$59:$D$62</c:f>
              <c:numCache>
                <c:formatCode>General</c:formatCode>
                <c:ptCount val="3"/>
                <c:pt idx="0">
                  <c:v>228630.14999999991</c:v>
                </c:pt>
                <c:pt idx="1">
                  <c:v>246647.64999999997</c:v>
                </c:pt>
                <c:pt idx="2">
                  <c:v>246679.49999999991</c:v>
                </c:pt>
              </c:numCache>
            </c:numRef>
          </c:val>
          <c:extLst>
            <c:ext xmlns:c16="http://schemas.microsoft.com/office/drawing/2014/chart" uri="{C3380CC4-5D6E-409C-BE32-E72D297353CC}">
              <c16:uniqueId val="{00000002-41F2-40F2-8B52-0A672A56FE1B}"/>
            </c:ext>
          </c:extLst>
        </c:ser>
        <c:dLbls>
          <c:dLblPos val="outEnd"/>
          <c:showLegendKey val="0"/>
          <c:showVal val="1"/>
          <c:showCatName val="0"/>
          <c:showSerName val="0"/>
          <c:showPercent val="0"/>
          <c:showBubbleSize val="0"/>
        </c:dLbls>
        <c:gapWidth val="219"/>
        <c:overlap val="-27"/>
        <c:axId val="604221871"/>
        <c:axId val="617196927"/>
      </c:barChart>
      <c:catAx>
        <c:axId val="60422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96927"/>
        <c:crosses val="autoZero"/>
        <c:auto val="1"/>
        <c:lblAlgn val="ctr"/>
        <c:lblOffset val="100"/>
        <c:noMultiLvlLbl val="0"/>
      </c:catAx>
      <c:valAx>
        <c:axId val="61719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21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.xlsx]ANALYSIS !PivotTable11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Gender &amp;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'!$J$7</c:f>
              <c:strCache>
                <c:ptCount val="1"/>
                <c:pt idx="0">
                  <c:v>Total</c:v>
                </c:pt>
              </c:strCache>
            </c:strRef>
          </c:tx>
          <c:spPr>
            <a:solidFill>
              <a:schemeClr val="accent1"/>
            </a:solidFill>
            <a:ln>
              <a:noFill/>
            </a:ln>
            <a:effectLst/>
          </c:spPr>
          <c:invertIfNegative val="0"/>
          <c:cat>
            <c:multiLvlStrRef>
              <c:f>'ANALYSIS '!$I$8:$I$22</c:f>
              <c:multiLvlStrCache>
                <c:ptCount val="12"/>
                <c:lvl>
                  <c:pt idx="0">
                    <c:v>18-25</c:v>
                  </c:pt>
                  <c:pt idx="1">
                    <c:v>26-35</c:v>
                  </c:pt>
                  <c:pt idx="2">
                    <c:v>36-45</c:v>
                  </c:pt>
                  <c:pt idx="3">
                    <c:v>46-55</c:v>
                  </c:pt>
                  <c:pt idx="4">
                    <c:v>56+</c:v>
                  </c:pt>
                  <c:pt idx="5">
                    <c:v>Unknown</c:v>
                  </c:pt>
                  <c:pt idx="6">
                    <c:v>18-25</c:v>
                  </c:pt>
                  <c:pt idx="7">
                    <c:v>26-35</c:v>
                  </c:pt>
                  <c:pt idx="8">
                    <c:v>36-45</c:v>
                  </c:pt>
                  <c:pt idx="9">
                    <c:v>46-55</c:v>
                  </c:pt>
                  <c:pt idx="10">
                    <c:v>56+</c:v>
                  </c:pt>
                  <c:pt idx="11">
                    <c:v>Unknown</c:v>
                  </c:pt>
                </c:lvl>
                <c:lvl>
                  <c:pt idx="0">
                    <c:v>Female</c:v>
                  </c:pt>
                  <c:pt idx="6">
                    <c:v>Male</c:v>
                  </c:pt>
                </c:lvl>
              </c:multiLvlStrCache>
            </c:multiLvlStrRef>
          </c:cat>
          <c:val>
            <c:numRef>
              <c:f>'ANALYSIS '!$J$8:$J$22</c:f>
              <c:numCache>
                <c:formatCode>General</c:formatCode>
                <c:ptCount val="12"/>
                <c:pt idx="0">
                  <c:v>78850</c:v>
                </c:pt>
                <c:pt idx="1">
                  <c:v>110140</c:v>
                </c:pt>
                <c:pt idx="2">
                  <c:v>93470</c:v>
                </c:pt>
                <c:pt idx="3">
                  <c:v>106620</c:v>
                </c:pt>
                <c:pt idx="4">
                  <c:v>74030</c:v>
                </c:pt>
                <c:pt idx="5">
                  <c:v>2290</c:v>
                </c:pt>
                <c:pt idx="6">
                  <c:v>90110</c:v>
                </c:pt>
                <c:pt idx="7">
                  <c:v>86730</c:v>
                </c:pt>
                <c:pt idx="8">
                  <c:v>90195</c:v>
                </c:pt>
                <c:pt idx="9">
                  <c:v>93685</c:v>
                </c:pt>
                <c:pt idx="10">
                  <c:v>84400</c:v>
                </c:pt>
                <c:pt idx="11">
                  <c:v>1200</c:v>
                </c:pt>
              </c:numCache>
            </c:numRef>
          </c:val>
          <c:extLst>
            <c:ext xmlns:c16="http://schemas.microsoft.com/office/drawing/2014/chart" uri="{C3380CC4-5D6E-409C-BE32-E72D297353CC}">
              <c16:uniqueId val="{00000000-C4B0-48FD-BED5-09FB059A06E3}"/>
            </c:ext>
          </c:extLst>
        </c:ser>
        <c:dLbls>
          <c:showLegendKey val="0"/>
          <c:showVal val="0"/>
          <c:showCatName val="0"/>
          <c:showSerName val="0"/>
          <c:showPercent val="0"/>
          <c:showBubbleSize val="0"/>
        </c:dLbls>
        <c:gapWidth val="219"/>
        <c:overlap val="-27"/>
        <c:axId val="642488879"/>
        <c:axId val="617188287"/>
      </c:barChart>
      <c:catAx>
        <c:axId val="6424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88287"/>
        <c:crosses val="autoZero"/>
        <c:auto val="1"/>
        <c:lblAlgn val="ctr"/>
        <c:lblOffset val="100"/>
        <c:noMultiLvlLbl val="0"/>
      </c:catAx>
      <c:valAx>
        <c:axId val="61718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4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.xlsx]ANALYSIS !PivotTable1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Transactions by Gender and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'!$N$15</c:f>
              <c:strCache>
                <c:ptCount val="1"/>
                <c:pt idx="0">
                  <c:v>Total</c:v>
                </c:pt>
              </c:strCache>
            </c:strRef>
          </c:tx>
          <c:spPr>
            <a:solidFill>
              <a:schemeClr val="accent1"/>
            </a:solidFill>
            <a:ln>
              <a:noFill/>
            </a:ln>
            <a:effectLst/>
          </c:spPr>
          <c:invertIfNegative val="0"/>
          <c:cat>
            <c:multiLvlStrRef>
              <c:f>'ANALYSIS '!$M$16:$M$24</c:f>
              <c:multiLvlStrCache>
                <c:ptCount val="7"/>
                <c:lvl>
                  <c:pt idx="0">
                    <c:v>18-25</c:v>
                  </c:pt>
                  <c:pt idx="1">
                    <c:v>26-35</c:v>
                  </c:pt>
                  <c:pt idx="2">
                    <c:v>36-45</c:v>
                  </c:pt>
                  <c:pt idx="3">
                    <c:v>46-55</c:v>
                  </c:pt>
                  <c:pt idx="4">
                    <c:v>56+</c:v>
                  </c:pt>
                  <c:pt idx="5">
                    <c:v>Unknown</c:v>
                  </c:pt>
                </c:lvl>
                <c:lvl>
                  <c:pt idx="0">
                    <c:v>Female</c:v>
                  </c:pt>
                  <c:pt idx="6">
                    <c:v>Male</c:v>
                  </c:pt>
                </c:lvl>
              </c:multiLvlStrCache>
            </c:multiLvlStrRef>
          </c:cat>
          <c:val>
            <c:numRef>
              <c:f>'ANALYSIS '!$N$16:$N$24</c:f>
              <c:numCache>
                <c:formatCode>General</c:formatCode>
                <c:ptCount val="7"/>
                <c:pt idx="0">
                  <c:v>161</c:v>
                </c:pt>
                <c:pt idx="1">
                  <c:v>213</c:v>
                </c:pt>
                <c:pt idx="2">
                  <c:v>214</c:v>
                </c:pt>
                <c:pt idx="3">
                  <c:v>238</c:v>
                </c:pt>
                <c:pt idx="4">
                  <c:v>186</c:v>
                </c:pt>
                <c:pt idx="5">
                  <c:v>5</c:v>
                </c:pt>
                <c:pt idx="6">
                  <c:v>980</c:v>
                </c:pt>
              </c:numCache>
            </c:numRef>
          </c:val>
          <c:extLst>
            <c:ext xmlns:c16="http://schemas.microsoft.com/office/drawing/2014/chart" uri="{C3380CC4-5D6E-409C-BE32-E72D297353CC}">
              <c16:uniqueId val="{00000000-7A85-4954-9CE5-8722636B4610}"/>
            </c:ext>
          </c:extLst>
        </c:ser>
        <c:dLbls>
          <c:showLegendKey val="0"/>
          <c:showVal val="0"/>
          <c:showCatName val="0"/>
          <c:showSerName val="0"/>
          <c:showPercent val="0"/>
          <c:showBubbleSize val="0"/>
        </c:dLbls>
        <c:gapWidth val="219"/>
        <c:overlap val="-27"/>
        <c:axId val="638663311"/>
        <c:axId val="460959743"/>
      </c:barChart>
      <c:catAx>
        <c:axId val="63866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59743"/>
        <c:crosses val="autoZero"/>
        <c:auto val="1"/>
        <c:lblAlgn val="ctr"/>
        <c:lblOffset val="100"/>
        <c:noMultiLvlLbl val="0"/>
      </c:catAx>
      <c:valAx>
        <c:axId val="46095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6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.xlsx]ANALYSIS !PivotTable12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Sales and Profit Contribution by Category</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'!$K$37</c:f>
              <c:strCache>
                <c:ptCount val="1"/>
                <c:pt idx="0">
                  <c:v>Sum of total_sale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'!$J$38:$J$41</c:f>
              <c:strCache>
                <c:ptCount val="3"/>
                <c:pt idx="0">
                  <c:v>Beauty</c:v>
                </c:pt>
                <c:pt idx="1">
                  <c:v>Clothing</c:v>
                </c:pt>
                <c:pt idx="2">
                  <c:v>Electronics</c:v>
                </c:pt>
              </c:strCache>
            </c:strRef>
          </c:cat>
          <c:val>
            <c:numRef>
              <c:f>'ANALYSIS '!$K$38:$K$41</c:f>
              <c:numCache>
                <c:formatCode>General</c:formatCode>
                <c:ptCount val="3"/>
                <c:pt idx="0">
                  <c:v>286840</c:v>
                </c:pt>
                <c:pt idx="1">
                  <c:v>311070</c:v>
                </c:pt>
                <c:pt idx="2">
                  <c:v>313810</c:v>
                </c:pt>
              </c:numCache>
            </c:numRef>
          </c:val>
          <c:extLst>
            <c:ext xmlns:c16="http://schemas.microsoft.com/office/drawing/2014/chart" uri="{C3380CC4-5D6E-409C-BE32-E72D297353CC}">
              <c16:uniqueId val="{00000000-01CA-4A77-A769-18C8DA689120}"/>
            </c:ext>
          </c:extLst>
        </c:ser>
        <c:ser>
          <c:idx val="1"/>
          <c:order val="1"/>
          <c:tx>
            <c:strRef>
              <c:f>'ANALYSIS '!$L$37</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'!$J$38:$J$41</c:f>
              <c:strCache>
                <c:ptCount val="3"/>
                <c:pt idx="0">
                  <c:v>Beauty</c:v>
                </c:pt>
                <c:pt idx="1">
                  <c:v>Clothing</c:v>
                </c:pt>
                <c:pt idx="2">
                  <c:v>Electronics</c:v>
                </c:pt>
              </c:strCache>
            </c:strRef>
          </c:cat>
          <c:val>
            <c:numRef>
              <c:f>'ANALYSIS '!$L$38:$L$41</c:f>
              <c:numCache>
                <c:formatCode>General</c:formatCode>
                <c:ptCount val="3"/>
                <c:pt idx="0">
                  <c:v>228630.14999999991</c:v>
                </c:pt>
                <c:pt idx="1">
                  <c:v>246679.49999999991</c:v>
                </c:pt>
                <c:pt idx="2">
                  <c:v>246647.64999999997</c:v>
                </c:pt>
              </c:numCache>
            </c:numRef>
          </c:val>
          <c:extLst>
            <c:ext xmlns:c16="http://schemas.microsoft.com/office/drawing/2014/chart" uri="{C3380CC4-5D6E-409C-BE32-E72D297353CC}">
              <c16:uniqueId val="{00000001-01CA-4A77-A769-18C8DA689120}"/>
            </c:ext>
          </c:extLst>
        </c:ser>
        <c:dLbls>
          <c:dLblPos val="outEnd"/>
          <c:showLegendKey val="0"/>
          <c:showVal val="1"/>
          <c:showCatName val="0"/>
          <c:showSerName val="0"/>
          <c:showPercent val="0"/>
          <c:showBubbleSize val="0"/>
        </c:dLbls>
        <c:gapWidth val="219"/>
        <c:overlap val="-27"/>
        <c:axId val="633867183"/>
        <c:axId val="617185887"/>
      </c:barChart>
      <c:catAx>
        <c:axId val="6338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85887"/>
        <c:crosses val="autoZero"/>
        <c:auto val="1"/>
        <c:lblAlgn val="ctr"/>
        <c:lblOffset val="100"/>
        <c:noMultiLvlLbl val="0"/>
      </c:catAx>
      <c:valAx>
        <c:axId val="61718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8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.xlsx]DASHBOARD!PivotTable2</c:name>
    <c:fmtId val="4"/>
  </c:pivotSource>
  <c:chart>
    <c:title>
      <c:tx>
        <c:rich>
          <a:bodyPr rot="0" spcFirstLastPara="1" vertOverflow="ellipsis" vert="horz" wrap="square" anchor="ctr" anchorCtr="1"/>
          <a:lstStyle/>
          <a:p>
            <a:pPr algn="ct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Sales &amp; Profit by Period</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DASHBOARD!$S$9</c:f>
              <c:strCache>
                <c:ptCount val="1"/>
                <c:pt idx="0">
                  <c:v>Sum of total_sale</c:v>
                </c:pt>
              </c:strCache>
            </c:strRef>
          </c:tx>
          <c:spPr>
            <a:ln w="28575" cap="rnd">
              <a:solidFill>
                <a:schemeClr val="accent1"/>
              </a:solidFill>
              <a:round/>
            </a:ln>
            <a:effectLst/>
          </c:spPr>
          <c:marker>
            <c:symbol val="none"/>
          </c:marker>
          <c:cat>
            <c:multiLvlStrRef>
              <c:f>DASHBOARD!$R$10:$R$36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2022</c:v>
                  </c:pt>
                  <c:pt idx="12">
                    <c:v>2023</c:v>
                  </c:pt>
                </c:lvl>
              </c:multiLvlStrCache>
            </c:multiLvlStrRef>
          </c:cat>
          <c:val>
            <c:numRef>
              <c:f>DASHBOARD!$S$10:$S$36</c:f>
              <c:numCache>
                <c:formatCode>General</c:formatCode>
                <c:ptCount val="24"/>
                <c:pt idx="0">
                  <c:v>22635</c:v>
                </c:pt>
                <c:pt idx="1">
                  <c:v>16110</c:v>
                </c:pt>
                <c:pt idx="2">
                  <c:v>24505</c:v>
                </c:pt>
                <c:pt idx="3">
                  <c:v>28705</c:v>
                </c:pt>
                <c:pt idx="4">
                  <c:v>24980</c:v>
                </c:pt>
                <c:pt idx="5">
                  <c:v>20700</c:v>
                </c:pt>
                <c:pt idx="6">
                  <c:v>22195</c:v>
                </c:pt>
                <c:pt idx="7">
                  <c:v>21195</c:v>
                </c:pt>
                <c:pt idx="8">
                  <c:v>61770</c:v>
                </c:pt>
                <c:pt idx="9">
                  <c:v>68235</c:v>
                </c:pt>
                <c:pt idx="10">
                  <c:v>68915</c:v>
                </c:pt>
                <c:pt idx="11">
                  <c:v>72880</c:v>
                </c:pt>
                <c:pt idx="12">
                  <c:v>23790</c:v>
                </c:pt>
                <c:pt idx="13">
                  <c:v>25170</c:v>
                </c:pt>
                <c:pt idx="14">
                  <c:v>20530</c:v>
                </c:pt>
                <c:pt idx="15">
                  <c:v>21925</c:v>
                </c:pt>
                <c:pt idx="16">
                  <c:v>27010</c:v>
                </c:pt>
                <c:pt idx="17">
                  <c:v>24555</c:v>
                </c:pt>
                <c:pt idx="18">
                  <c:v>35925</c:v>
                </c:pt>
                <c:pt idx="19">
                  <c:v>28270</c:v>
                </c:pt>
                <c:pt idx="20">
                  <c:v>67560</c:v>
                </c:pt>
                <c:pt idx="21">
                  <c:v>57880</c:v>
                </c:pt>
                <c:pt idx="22">
                  <c:v>57135</c:v>
                </c:pt>
                <c:pt idx="23">
                  <c:v>69145</c:v>
                </c:pt>
              </c:numCache>
            </c:numRef>
          </c:val>
          <c:smooth val="0"/>
          <c:extLst>
            <c:ext xmlns:c16="http://schemas.microsoft.com/office/drawing/2014/chart" uri="{C3380CC4-5D6E-409C-BE32-E72D297353CC}">
              <c16:uniqueId val="{00000000-6CF9-4423-B752-977B6D99E160}"/>
            </c:ext>
          </c:extLst>
        </c:ser>
        <c:ser>
          <c:idx val="1"/>
          <c:order val="1"/>
          <c:tx>
            <c:strRef>
              <c:f>DASHBOARD!$T$9</c:f>
              <c:strCache>
                <c:ptCount val="1"/>
                <c:pt idx="0">
                  <c:v>Sum of Profit</c:v>
                </c:pt>
              </c:strCache>
            </c:strRef>
          </c:tx>
          <c:spPr>
            <a:ln w="28575" cap="rnd">
              <a:solidFill>
                <a:schemeClr val="accent2"/>
              </a:solidFill>
              <a:round/>
            </a:ln>
            <a:effectLst/>
          </c:spPr>
          <c:marker>
            <c:symbol val="none"/>
          </c:marker>
          <c:cat>
            <c:multiLvlStrRef>
              <c:f>DASHBOARD!$R$10:$R$36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2022</c:v>
                  </c:pt>
                  <c:pt idx="12">
                    <c:v>2023</c:v>
                  </c:pt>
                </c:lvl>
              </c:multiLvlStrCache>
            </c:multiLvlStrRef>
          </c:cat>
          <c:val>
            <c:numRef>
              <c:f>DASHBOARD!$T$10:$T$36</c:f>
              <c:numCache>
                <c:formatCode>General</c:formatCode>
                <c:ptCount val="24"/>
                <c:pt idx="0">
                  <c:v>19428.3</c:v>
                </c:pt>
                <c:pt idx="1">
                  <c:v>13111.8</c:v>
                </c:pt>
                <c:pt idx="2">
                  <c:v>20929.750000000004</c:v>
                </c:pt>
                <c:pt idx="3">
                  <c:v>23671.100000000002</c:v>
                </c:pt>
                <c:pt idx="4">
                  <c:v>21028.199999999997</c:v>
                </c:pt>
                <c:pt idx="5">
                  <c:v>17138.949999999997</c:v>
                </c:pt>
                <c:pt idx="6">
                  <c:v>18403.3</c:v>
                </c:pt>
                <c:pt idx="7">
                  <c:v>18058.299999999996</c:v>
                </c:pt>
                <c:pt idx="8">
                  <c:v>47290.400000000001</c:v>
                </c:pt>
                <c:pt idx="9">
                  <c:v>49709.35</c:v>
                </c:pt>
                <c:pt idx="10">
                  <c:v>53119.249999999985</c:v>
                </c:pt>
                <c:pt idx="11">
                  <c:v>54926.9</c:v>
                </c:pt>
                <c:pt idx="12">
                  <c:v>20016.249999999996</c:v>
                </c:pt>
                <c:pt idx="13">
                  <c:v>21424.45</c:v>
                </c:pt>
                <c:pt idx="14">
                  <c:v>16809.349999999999</c:v>
                </c:pt>
                <c:pt idx="15">
                  <c:v>18563.55</c:v>
                </c:pt>
                <c:pt idx="16">
                  <c:v>22525.249999999996</c:v>
                </c:pt>
                <c:pt idx="17">
                  <c:v>20317.399999999998</c:v>
                </c:pt>
                <c:pt idx="18">
                  <c:v>30161.699999999997</c:v>
                </c:pt>
                <c:pt idx="19">
                  <c:v>23022.6</c:v>
                </c:pt>
                <c:pt idx="20">
                  <c:v>51755.80000000001</c:v>
                </c:pt>
                <c:pt idx="21">
                  <c:v>42040.549999999996</c:v>
                </c:pt>
                <c:pt idx="22">
                  <c:v>44396.200000000012</c:v>
                </c:pt>
                <c:pt idx="23">
                  <c:v>54108.600000000006</c:v>
                </c:pt>
              </c:numCache>
            </c:numRef>
          </c:val>
          <c:smooth val="0"/>
          <c:extLst>
            <c:ext xmlns:c16="http://schemas.microsoft.com/office/drawing/2014/chart" uri="{C3380CC4-5D6E-409C-BE32-E72D297353CC}">
              <c16:uniqueId val="{00000001-6CF9-4423-B752-977B6D99E160}"/>
            </c:ext>
          </c:extLst>
        </c:ser>
        <c:dLbls>
          <c:showLegendKey val="0"/>
          <c:showVal val="0"/>
          <c:showCatName val="0"/>
          <c:showSerName val="0"/>
          <c:showPercent val="0"/>
          <c:showBubbleSize val="0"/>
        </c:dLbls>
        <c:smooth val="0"/>
        <c:axId val="898192912"/>
        <c:axId val="313287456"/>
      </c:lineChart>
      <c:catAx>
        <c:axId val="89819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87456"/>
        <c:crosses val="autoZero"/>
        <c:auto val="1"/>
        <c:lblAlgn val="ctr"/>
        <c:lblOffset val="100"/>
        <c:noMultiLvlLbl val="0"/>
      </c:catAx>
      <c:valAx>
        <c:axId val="313287456"/>
        <c:scaling>
          <c:orientation val="minMax"/>
        </c:scaling>
        <c:delete val="0"/>
        <c:axPos val="l"/>
        <c:majorGridlines>
          <c:spPr>
            <a:ln w="9525" cap="flat" cmpd="sng" algn="ctr">
              <a:solidFill>
                <a:schemeClr val="tx1">
                  <a:lumMod val="15000"/>
                  <a:lumOff val="85000"/>
                </a:schemeClr>
              </a:solidFill>
              <a:round/>
            </a:ln>
            <a:effectLst/>
          </c:spPr>
        </c:majorGridlines>
        <c:numFmt formatCode="[$₦-47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192912"/>
        <c:crosses val="autoZero"/>
        <c:crossBetween val="between"/>
      </c:valAx>
      <c:spPr>
        <a:noFill/>
        <a:ln>
          <a:noFill/>
        </a:ln>
        <a:effectLst/>
      </c:spPr>
    </c:plotArea>
    <c:legend>
      <c:legendPos val="r"/>
      <c:layout>
        <c:manualLayout>
          <c:xMode val="edge"/>
          <c:yMode val="edge"/>
          <c:x val="0.72632947208173315"/>
          <c:y val="0.34195656487324638"/>
          <c:w val="0.2496727257696163"/>
          <c:h val="0.235399649560876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.xlsx]DASHBOARD!PivotTable3</c:name>
    <c:fmtId val="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Sales, Quantity &amp; Profit by Category</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9352071446676583"/>
          <c:y val="0.115914403196603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DASHBOARD!$S$40</c:f>
              <c:strCache>
                <c:ptCount val="1"/>
                <c:pt idx="0">
                  <c:v>Sum of total_sale</c:v>
                </c:pt>
              </c:strCache>
            </c:strRef>
          </c:tx>
          <c:spPr>
            <a:solidFill>
              <a:schemeClr val="accent1"/>
            </a:solidFill>
            <a:ln>
              <a:noFill/>
            </a:ln>
            <a:effectLst/>
          </c:spPr>
          <c:invertIfNegative val="0"/>
          <c:cat>
            <c:strRef>
              <c:f>DASHBOARD!$R$41:$R$44</c:f>
              <c:strCache>
                <c:ptCount val="3"/>
                <c:pt idx="0">
                  <c:v>Beauty</c:v>
                </c:pt>
                <c:pt idx="1">
                  <c:v>Clothing</c:v>
                </c:pt>
                <c:pt idx="2">
                  <c:v>Electronics</c:v>
                </c:pt>
              </c:strCache>
            </c:strRef>
          </c:cat>
          <c:val>
            <c:numRef>
              <c:f>DASHBOARD!$S$41:$S$44</c:f>
              <c:numCache>
                <c:formatCode>General</c:formatCode>
                <c:ptCount val="3"/>
                <c:pt idx="0">
                  <c:v>286840</c:v>
                </c:pt>
                <c:pt idx="1">
                  <c:v>311070</c:v>
                </c:pt>
                <c:pt idx="2">
                  <c:v>313810</c:v>
                </c:pt>
              </c:numCache>
            </c:numRef>
          </c:val>
          <c:extLst>
            <c:ext xmlns:c16="http://schemas.microsoft.com/office/drawing/2014/chart" uri="{C3380CC4-5D6E-409C-BE32-E72D297353CC}">
              <c16:uniqueId val="{00000000-57C1-4ABC-B169-E507AB245DEB}"/>
            </c:ext>
          </c:extLst>
        </c:ser>
        <c:ser>
          <c:idx val="1"/>
          <c:order val="1"/>
          <c:tx>
            <c:strRef>
              <c:f>DASHBOARD!$T$40</c:f>
              <c:strCache>
                <c:ptCount val="1"/>
                <c:pt idx="0">
                  <c:v>Sum of quantiy</c:v>
                </c:pt>
              </c:strCache>
            </c:strRef>
          </c:tx>
          <c:spPr>
            <a:solidFill>
              <a:schemeClr val="accent2"/>
            </a:solidFill>
            <a:ln>
              <a:noFill/>
            </a:ln>
            <a:effectLst/>
          </c:spPr>
          <c:invertIfNegative val="0"/>
          <c:cat>
            <c:strRef>
              <c:f>DASHBOARD!$R$41:$R$44</c:f>
              <c:strCache>
                <c:ptCount val="3"/>
                <c:pt idx="0">
                  <c:v>Beauty</c:v>
                </c:pt>
                <c:pt idx="1">
                  <c:v>Clothing</c:v>
                </c:pt>
                <c:pt idx="2">
                  <c:v>Electronics</c:v>
                </c:pt>
              </c:strCache>
            </c:strRef>
          </c:cat>
          <c:val>
            <c:numRef>
              <c:f>DASHBOARD!$T$41:$T$44</c:f>
              <c:numCache>
                <c:formatCode>General</c:formatCode>
                <c:ptCount val="3"/>
                <c:pt idx="0">
                  <c:v>1535</c:v>
                </c:pt>
                <c:pt idx="1">
                  <c:v>1785</c:v>
                </c:pt>
                <c:pt idx="2">
                  <c:v>1698</c:v>
                </c:pt>
              </c:numCache>
            </c:numRef>
          </c:val>
          <c:extLst>
            <c:ext xmlns:c16="http://schemas.microsoft.com/office/drawing/2014/chart" uri="{C3380CC4-5D6E-409C-BE32-E72D297353CC}">
              <c16:uniqueId val="{00000001-57C1-4ABC-B169-E507AB245DEB}"/>
            </c:ext>
          </c:extLst>
        </c:ser>
        <c:ser>
          <c:idx val="2"/>
          <c:order val="2"/>
          <c:tx>
            <c:strRef>
              <c:f>DASHBOARD!$U$40</c:f>
              <c:strCache>
                <c:ptCount val="1"/>
                <c:pt idx="0">
                  <c:v>Sum of Profit</c:v>
                </c:pt>
              </c:strCache>
            </c:strRef>
          </c:tx>
          <c:spPr>
            <a:solidFill>
              <a:schemeClr val="accent3"/>
            </a:solidFill>
            <a:ln>
              <a:noFill/>
            </a:ln>
            <a:effectLst/>
          </c:spPr>
          <c:invertIfNegative val="0"/>
          <c:cat>
            <c:strRef>
              <c:f>DASHBOARD!$R$41:$R$44</c:f>
              <c:strCache>
                <c:ptCount val="3"/>
                <c:pt idx="0">
                  <c:v>Beauty</c:v>
                </c:pt>
                <c:pt idx="1">
                  <c:v>Clothing</c:v>
                </c:pt>
                <c:pt idx="2">
                  <c:v>Electronics</c:v>
                </c:pt>
              </c:strCache>
            </c:strRef>
          </c:cat>
          <c:val>
            <c:numRef>
              <c:f>DASHBOARD!$U$41:$U$44</c:f>
              <c:numCache>
                <c:formatCode>General</c:formatCode>
                <c:ptCount val="3"/>
                <c:pt idx="0">
                  <c:v>228630.14999999991</c:v>
                </c:pt>
                <c:pt idx="1">
                  <c:v>246679.49999999991</c:v>
                </c:pt>
                <c:pt idx="2">
                  <c:v>246647.64999999997</c:v>
                </c:pt>
              </c:numCache>
            </c:numRef>
          </c:val>
          <c:extLst>
            <c:ext xmlns:c16="http://schemas.microsoft.com/office/drawing/2014/chart" uri="{C3380CC4-5D6E-409C-BE32-E72D297353CC}">
              <c16:uniqueId val="{00000003-57C1-4ABC-B169-E507AB245DEB}"/>
            </c:ext>
          </c:extLst>
        </c:ser>
        <c:dLbls>
          <c:showLegendKey val="0"/>
          <c:showVal val="0"/>
          <c:showCatName val="0"/>
          <c:showSerName val="0"/>
          <c:showPercent val="0"/>
          <c:showBubbleSize val="0"/>
        </c:dLbls>
        <c:gapWidth val="219"/>
        <c:overlap val="-27"/>
        <c:axId val="956712768"/>
        <c:axId val="269240736"/>
      </c:barChart>
      <c:catAx>
        <c:axId val="95671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40736"/>
        <c:crosses val="autoZero"/>
        <c:auto val="1"/>
        <c:lblAlgn val="ctr"/>
        <c:lblOffset val="100"/>
        <c:noMultiLvlLbl val="0"/>
      </c:catAx>
      <c:valAx>
        <c:axId val="269240736"/>
        <c:scaling>
          <c:orientation val="minMax"/>
        </c:scaling>
        <c:delete val="0"/>
        <c:axPos val="l"/>
        <c:majorGridlines>
          <c:spPr>
            <a:ln w="9525" cap="flat" cmpd="sng" algn="ctr">
              <a:solidFill>
                <a:schemeClr val="tx1">
                  <a:lumMod val="15000"/>
                  <a:lumOff val="85000"/>
                </a:schemeClr>
              </a:solidFill>
              <a:round/>
            </a:ln>
            <a:effectLst/>
          </c:spPr>
        </c:majorGridlines>
        <c:numFmt formatCode="[$₦-47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1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.xlsx]DASHBOARD!PivotTable5</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Total Sales by Gender</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5011625983451"/>
          <c:y val="0.28733254084448651"/>
          <c:w val="0.76368535623818801"/>
          <c:h val="0.49167562805280957"/>
        </c:manualLayout>
      </c:layout>
      <c:barChart>
        <c:barDir val="col"/>
        <c:grouping val="clustered"/>
        <c:varyColors val="0"/>
        <c:ser>
          <c:idx val="0"/>
          <c:order val="0"/>
          <c:tx>
            <c:strRef>
              <c:f>DASHBOARD!$X$34</c:f>
              <c:strCache>
                <c:ptCount val="1"/>
                <c:pt idx="0">
                  <c:v>Total</c:v>
                </c:pt>
              </c:strCache>
            </c:strRef>
          </c:tx>
          <c:spPr>
            <a:solidFill>
              <a:schemeClr val="accent1"/>
            </a:solidFill>
            <a:ln>
              <a:noFill/>
            </a:ln>
            <a:effectLst/>
          </c:spPr>
          <c:invertIfNegative val="0"/>
          <c:cat>
            <c:strRef>
              <c:f>DASHBOARD!$W$35:$W$37</c:f>
              <c:strCache>
                <c:ptCount val="2"/>
                <c:pt idx="0">
                  <c:v>Female</c:v>
                </c:pt>
                <c:pt idx="1">
                  <c:v>Male</c:v>
                </c:pt>
              </c:strCache>
            </c:strRef>
          </c:cat>
          <c:val>
            <c:numRef>
              <c:f>DASHBOARD!$X$35:$X$37</c:f>
              <c:numCache>
                <c:formatCode>General</c:formatCode>
                <c:ptCount val="2"/>
                <c:pt idx="0">
                  <c:v>465400</c:v>
                </c:pt>
                <c:pt idx="1">
                  <c:v>446320</c:v>
                </c:pt>
              </c:numCache>
            </c:numRef>
          </c:val>
          <c:extLst>
            <c:ext xmlns:c16="http://schemas.microsoft.com/office/drawing/2014/chart" uri="{C3380CC4-5D6E-409C-BE32-E72D297353CC}">
              <c16:uniqueId val="{00000000-CB31-49FA-8E29-D08741CFAF11}"/>
            </c:ext>
          </c:extLst>
        </c:ser>
        <c:dLbls>
          <c:showLegendKey val="0"/>
          <c:showVal val="0"/>
          <c:showCatName val="0"/>
          <c:showSerName val="0"/>
          <c:showPercent val="0"/>
          <c:showBubbleSize val="0"/>
        </c:dLbls>
        <c:gapWidth val="219"/>
        <c:overlap val="-27"/>
        <c:axId val="866236416"/>
        <c:axId val="331025408"/>
      </c:barChart>
      <c:catAx>
        <c:axId val="86623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25408"/>
        <c:crosses val="autoZero"/>
        <c:auto val="1"/>
        <c:lblAlgn val="ctr"/>
        <c:lblOffset val="100"/>
        <c:noMultiLvlLbl val="0"/>
      </c:catAx>
      <c:valAx>
        <c:axId val="331025408"/>
        <c:scaling>
          <c:orientation val="minMax"/>
        </c:scaling>
        <c:delete val="0"/>
        <c:axPos val="l"/>
        <c:majorGridlines>
          <c:spPr>
            <a:ln w="9525" cap="flat" cmpd="sng" algn="ctr">
              <a:solidFill>
                <a:schemeClr val="tx1">
                  <a:lumMod val="15000"/>
                  <a:lumOff val="85000"/>
                </a:schemeClr>
              </a:solidFill>
              <a:round/>
            </a:ln>
            <a:effectLst/>
          </c:spPr>
        </c:majorGridlines>
        <c:numFmt formatCode="[$₦-47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23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.xlsx]DASHBOARD!PivotTable8</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Total Sales by Age Group</a:t>
            </a:r>
            <a:endParaRPr lang="en-US" b="1" i="0">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18255418192698"/>
          <c:y val="0.28683803575744693"/>
          <c:w val="0.77692001914193143"/>
          <c:h val="0.51308306731217723"/>
        </c:manualLayout>
      </c:layout>
      <c:barChart>
        <c:barDir val="col"/>
        <c:grouping val="clustered"/>
        <c:varyColors val="0"/>
        <c:ser>
          <c:idx val="0"/>
          <c:order val="0"/>
          <c:tx>
            <c:strRef>
              <c:f>DASHBOARD!$X$22</c:f>
              <c:strCache>
                <c:ptCount val="1"/>
                <c:pt idx="0">
                  <c:v>Total</c:v>
                </c:pt>
              </c:strCache>
            </c:strRef>
          </c:tx>
          <c:spPr>
            <a:solidFill>
              <a:schemeClr val="accent1"/>
            </a:solidFill>
            <a:ln>
              <a:noFill/>
            </a:ln>
            <a:effectLst/>
          </c:spPr>
          <c:invertIfNegative val="0"/>
          <c:cat>
            <c:strRef>
              <c:f>DASHBOARD!$W$23:$W$29</c:f>
              <c:strCache>
                <c:ptCount val="6"/>
                <c:pt idx="0">
                  <c:v>18-25</c:v>
                </c:pt>
                <c:pt idx="1">
                  <c:v>26-35</c:v>
                </c:pt>
                <c:pt idx="2">
                  <c:v>36-45</c:v>
                </c:pt>
                <c:pt idx="3">
                  <c:v>46-55</c:v>
                </c:pt>
                <c:pt idx="4">
                  <c:v>56+</c:v>
                </c:pt>
                <c:pt idx="5">
                  <c:v>Unknown</c:v>
                </c:pt>
              </c:strCache>
            </c:strRef>
          </c:cat>
          <c:val>
            <c:numRef>
              <c:f>DASHBOARD!$X$23:$X$29</c:f>
              <c:numCache>
                <c:formatCode>General</c:formatCode>
                <c:ptCount val="6"/>
                <c:pt idx="0">
                  <c:v>168960</c:v>
                </c:pt>
                <c:pt idx="1">
                  <c:v>196870</c:v>
                </c:pt>
                <c:pt idx="2">
                  <c:v>183665</c:v>
                </c:pt>
                <c:pt idx="3">
                  <c:v>200305</c:v>
                </c:pt>
                <c:pt idx="4">
                  <c:v>158430</c:v>
                </c:pt>
                <c:pt idx="5">
                  <c:v>3490</c:v>
                </c:pt>
              </c:numCache>
            </c:numRef>
          </c:val>
          <c:extLst>
            <c:ext xmlns:c16="http://schemas.microsoft.com/office/drawing/2014/chart" uri="{C3380CC4-5D6E-409C-BE32-E72D297353CC}">
              <c16:uniqueId val="{00000000-DF48-48DF-AEA3-7D36A95CFD15}"/>
            </c:ext>
          </c:extLst>
        </c:ser>
        <c:dLbls>
          <c:showLegendKey val="0"/>
          <c:showVal val="0"/>
          <c:showCatName val="0"/>
          <c:showSerName val="0"/>
          <c:showPercent val="0"/>
          <c:showBubbleSize val="0"/>
        </c:dLbls>
        <c:gapWidth val="219"/>
        <c:overlap val="-27"/>
        <c:axId val="956737360"/>
        <c:axId val="269234016"/>
      </c:barChart>
      <c:catAx>
        <c:axId val="95673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34016"/>
        <c:crosses val="autoZero"/>
        <c:auto val="1"/>
        <c:lblAlgn val="ctr"/>
        <c:lblOffset val="100"/>
        <c:noMultiLvlLbl val="0"/>
      </c:catAx>
      <c:valAx>
        <c:axId val="269234016"/>
        <c:scaling>
          <c:orientation val="minMax"/>
        </c:scaling>
        <c:delete val="0"/>
        <c:axPos val="l"/>
        <c:majorGridlines>
          <c:spPr>
            <a:ln w="9525" cap="flat" cmpd="sng" algn="ctr">
              <a:solidFill>
                <a:schemeClr val="tx1">
                  <a:lumMod val="15000"/>
                  <a:lumOff val="85000"/>
                </a:schemeClr>
              </a:solidFill>
              <a:round/>
            </a:ln>
            <a:effectLst/>
          </c:spPr>
        </c:majorGridlines>
        <c:numFmt formatCode="[$₦-47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3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[MargaretChukwu_Retail Sales Analytics .xlsx]DASHBOARD!PivotTable9</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Average Transaction Value</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DASHBOARD!$W$19</c:f>
              <c:strCache>
                <c:ptCount val="1"/>
                <c:pt idx="0">
                  <c:v>Total</c:v>
                </c:pt>
              </c:strCache>
            </c:strRef>
          </c:tx>
          <c:spPr>
            <a:solidFill>
              <a:schemeClr val="accent1"/>
            </a:solidFill>
            <a:ln>
              <a:noFill/>
            </a:ln>
            <a:effectLst/>
          </c:spPr>
          <c:invertIfNegative val="0"/>
          <c:cat>
            <c:strRef>
              <c:f>DASHBOARD!$W$20</c:f>
              <c:strCache>
                <c:ptCount val="1"/>
                <c:pt idx="0">
                  <c:v>Total</c:v>
                </c:pt>
              </c:strCache>
            </c:strRef>
          </c:cat>
          <c:val>
            <c:numRef>
              <c:f>DASHBOARD!$W$20</c:f>
              <c:numCache>
                <c:formatCode>General</c:formatCode>
                <c:ptCount val="1"/>
                <c:pt idx="0">
                  <c:v>456.54481722583876</c:v>
                </c:pt>
              </c:numCache>
            </c:numRef>
          </c:val>
          <c:extLst>
            <c:ext xmlns:c16="http://schemas.microsoft.com/office/drawing/2014/chart" uri="{C3380CC4-5D6E-409C-BE32-E72D297353CC}">
              <c16:uniqueId val="{00000000-FF5A-4BC9-A48A-D1BDDADD3762}"/>
            </c:ext>
          </c:extLst>
        </c:ser>
        <c:dLbls>
          <c:showLegendKey val="0"/>
          <c:showVal val="0"/>
          <c:showCatName val="0"/>
          <c:showSerName val="0"/>
          <c:showPercent val="0"/>
          <c:showBubbleSize val="0"/>
        </c:dLbls>
        <c:gapWidth val="219"/>
        <c:overlap val="-27"/>
        <c:axId val="956650128"/>
        <c:axId val="331031648"/>
      </c:barChart>
      <c:catAx>
        <c:axId val="95665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31648"/>
        <c:crosses val="autoZero"/>
        <c:auto val="1"/>
        <c:lblAlgn val="ctr"/>
        <c:lblOffset val="100"/>
        <c:noMultiLvlLbl val="0"/>
      </c:catAx>
      <c:valAx>
        <c:axId val="331031648"/>
        <c:scaling>
          <c:orientation val="minMax"/>
        </c:scaling>
        <c:delete val="0"/>
        <c:axPos val="l"/>
        <c:majorGridlines>
          <c:spPr>
            <a:ln w="9525" cap="flat" cmpd="sng" algn="ctr">
              <a:solidFill>
                <a:schemeClr val="tx1">
                  <a:lumMod val="15000"/>
                  <a:lumOff val="85000"/>
                </a:schemeClr>
              </a:solidFill>
              <a:round/>
            </a:ln>
            <a:effectLst/>
          </c:spPr>
        </c:majorGridlines>
        <c:numFmt formatCode="[$₦-47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5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6350</xdr:colOff>
      <xdr:row>2</xdr:row>
      <xdr:rowOff>25400</xdr:rowOff>
    </xdr:from>
    <xdr:to>
      <xdr:col>7</xdr:col>
      <xdr:colOff>603250</xdr:colOff>
      <xdr:row>22</xdr:row>
      <xdr:rowOff>171450</xdr:rowOff>
    </xdr:to>
    <xdr:sp macro="" textlink="">
      <xdr:nvSpPr>
        <xdr:cNvPr id="3" name="TextBox 2">
          <a:extLst>
            <a:ext uri="{FF2B5EF4-FFF2-40B4-BE49-F238E27FC236}">
              <a16:creationId xmlns:a16="http://schemas.microsoft.com/office/drawing/2014/main" id="{B33680AE-9932-5619-4231-A26E7DF9B051}"/>
            </a:ext>
          </a:extLst>
        </xdr:cNvPr>
        <xdr:cNvSpPr txBox="1"/>
      </xdr:nvSpPr>
      <xdr:spPr>
        <a:xfrm>
          <a:off x="6350" y="495300"/>
          <a:ext cx="6711950" cy="3956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t>BUSINESS QUESTION</a:t>
          </a:r>
          <a:br>
            <a:rPr lang="en-US" sz="1600" b="1" i="0" u="none" strike="noStrike">
              <a:solidFill>
                <a:schemeClr val="dk1"/>
              </a:solidFill>
              <a:effectLst/>
              <a:latin typeface="Times New Roman" panose="02020603050405020304" pitchFamily="18" charset="0"/>
              <a:ea typeface="+mn-ea"/>
              <a:cs typeface="Times New Roman" panose="02020603050405020304" pitchFamily="18" charset="0"/>
            </a:rPr>
          </a:br>
          <a:endParaRPr lang="en-US" sz="1100" b="0" i="0" u="none" strike="noStrike">
            <a:solidFill>
              <a:schemeClr val="dk1"/>
            </a:solidFill>
            <a:effectLst/>
            <a:latin typeface="+mn-lt"/>
            <a:ea typeface="+mn-ea"/>
            <a:cs typeface="+mn-cs"/>
          </a:endParaRPr>
        </a:p>
        <a:p>
          <a:pPr algn="l"/>
          <a:r>
            <a:rPr lang="en-US" sz="1400" b="1" i="0" u="none" strike="noStrike">
              <a:solidFill>
                <a:schemeClr val="dk1"/>
              </a:solidFill>
              <a:effectLst/>
              <a:latin typeface="Times New Roman" panose="02020603050405020304" pitchFamily="18" charset="0"/>
              <a:ea typeface="+mn-ea"/>
              <a:cs typeface="Times New Roman" panose="02020603050405020304" pitchFamily="18" charset="0"/>
            </a:rPr>
            <a:t>BQ01.</a:t>
          </a:r>
          <a:r>
            <a:rPr lang="en-US" sz="1400" b="1"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400" b="1">
              <a:effectLst/>
              <a:latin typeface="Times New Roman" panose="02020603050405020304" pitchFamily="18" charset="0"/>
              <a:cs typeface="Times New Roman" panose="02020603050405020304" pitchFamily="18" charset="0"/>
            </a:rPr>
            <a:t> </a:t>
          </a:r>
          <a:r>
            <a:rPr lang="en-US" sz="1400" b="0" i="0" u="none" strike="noStrike">
              <a:solidFill>
                <a:schemeClr val="dk1"/>
              </a:solidFill>
              <a:effectLst/>
              <a:latin typeface="Times New Roman" panose="02020603050405020304" pitchFamily="18" charset="0"/>
              <a:ea typeface="+mn-ea"/>
              <a:cs typeface="Times New Roman" panose="02020603050405020304" pitchFamily="18" charset="0"/>
            </a:rPr>
            <a:t>What is the overall sales, profit, transaction and profit-margin performance of the retail business?</a:t>
          </a:r>
          <a:r>
            <a:rPr lang="en-US" sz="1400">
              <a:effectLst/>
              <a:latin typeface="Times New Roman" panose="02020603050405020304" pitchFamily="18" charset="0"/>
              <a:cs typeface="Times New Roman" panose="02020603050405020304" pitchFamily="18" charset="0"/>
            </a:rPr>
            <a:t> </a:t>
          </a:r>
        </a:p>
        <a:p>
          <a:pPr algn="l"/>
          <a:endParaRPr lang="en-US" sz="1400">
            <a:effectLst/>
            <a:latin typeface="Times New Roman" panose="02020603050405020304" pitchFamily="18" charset="0"/>
            <a:cs typeface="Times New Roman" panose="02020603050405020304" pitchFamily="18" charset="0"/>
          </a:endParaRPr>
        </a:p>
        <a:p>
          <a:r>
            <a:rPr lang="en-US" sz="1400" b="1" i="0" u="none" strike="noStrike">
              <a:solidFill>
                <a:schemeClr val="dk1"/>
              </a:solidFill>
              <a:effectLst/>
              <a:latin typeface="Times New Roman" panose="02020603050405020304" pitchFamily="18" charset="0"/>
              <a:ea typeface="+mn-ea"/>
              <a:cs typeface="Times New Roman" panose="02020603050405020304" pitchFamily="18" charset="0"/>
            </a:rPr>
            <a:t>BQ02.</a:t>
          </a:r>
          <a:r>
            <a:rPr lang="en-US" sz="1400" b="1">
              <a:effectLst/>
              <a:latin typeface="Times New Roman" panose="02020603050405020304" pitchFamily="18" charset="0"/>
              <a:cs typeface="Times New Roman" panose="02020603050405020304" pitchFamily="18" charset="0"/>
            </a:rPr>
            <a:t> </a:t>
          </a:r>
          <a:r>
            <a:rPr lang="en-US" sz="1400" b="0" i="0" u="none" strike="noStrike">
              <a:solidFill>
                <a:schemeClr val="dk1"/>
              </a:solidFill>
              <a:effectLst/>
              <a:latin typeface="Times New Roman" panose="02020603050405020304" pitchFamily="18" charset="0"/>
              <a:ea typeface="+mn-ea"/>
              <a:cs typeface="Times New Roman" panose="02020603050405020304" pitchFamily="18" charset="0"/>
            </a:rPr>
            <a:t>How do sales and profit change over time, and which periods perform best or worst?</a:t>
          </a:r>
          <a:r>
            <a:rPr lang="en-US" sz="1400">
              <a:effectLst/>
              <a:latin typeface="Times New Roman" panose="02020603050405020304" pitchFamily="18" charset="0"/>
              <a:cs typeface="Times New Roman" panose="02020603050405020304" pitchFamily="18" charset="0"/>
            </a:rPr>
            <a:t> </a:t>
          </a:r>
        </a:p>
        <a:p>
          <a:endParaRPr lang="en-US" sz="1400">
            <a:effectLst/>
            <a:latin typeface="Times New Roman" panose="02020603050405020304" pitchFamily="18" charset="0"/>
            <a:cs typeface="Times New Roman" panose="02020603050405020304" pitchFamily="18" charset="0"/>
          </a:endParaRPr>
        </a:p>
        <a:p>
          <a:r>
            <a:rPr lang="en-US" sz="1400" b="1" i="0" u="none" strike="noStrike">
              <a:solidFill>
                <a:schemeClr val="dk1"/>
              </a:solidFill>
              <a:effectLst/>
              <a:latin typeface="Times New Roman" panose="02020603050405020304" pitchFamily="18" charset="0"/>
              <a:ea typeface="+mn-ea"/>
              <a:cs typeface="Times New Roman" panose="02020603050405020304" pitchFamily="18" charset="0"/>
            </a:rPr>
            <a:t>BQ03.</a:t>
          </a:r>
          <a:r>
            <a:rPr lang="en-US" sz="1400" b="1">
              <a:effectLst/>
              <a:latin typeface="Times New Roman" panose="02020603050405020304" pitchFamily="18" charset="0"/>
              <a:cs typeface="Times New Roman" panose="02020603050405020304" pitchFamily="18" charset="0"/>
            </a:rPr>
            <a:t> </a:t>
          </a:r>
          <a:r>
            <a:rPr lang="en-US" sz="1400" b="0" i="0" u="none" strike="noStrike">
              <a:solidFill>
                <a:schemeClr val="dk1"/>
              </a:solidFill>
              <a:effectLst/>
              <a:latin typeface="Times New Roman" panose="02020603050405020304" pitchFamily="18" charset="0"/>
              <a:ea typeface="+mn-ea"/>
              <a:cs typeface="Times New Roman" panose="02020603050405020304" pitchFamily="18" charset="0"/>
            </a:rPr>
            <a:t>Which product category generates the highest sales, quantity sold and profit?</a:t>
          </a:r>
          <a:r>
            <a:rPr lang="en-US" sz="1400">
              <a:effectLst/>
              <a:latin typeface="Times New Roman" panose="02020603050405020304" pitchFamily="18" charset="0"/>
              <a:cs typeface="Times New Roman" panose="02020603050405020304" pitchFamily="18" charset="0"/>
            </a:rPr>
            <a:t> </a:t>
          </a:r>
        </a:p>
        <a:p>
          <a:endParaRPr lang="en-US" sz="1400">
            <a:effectLst/>
            <a:latin typeface="Times New Roman" panose="02020603050405020304" pitchFamily="18" charset="0"/>
            <a:cs typeface="Times New Roman" panose="02020603050405020304" pitchFamily="18" charset="0"/>
          </a:endParaRPr>
        </a:p>
        <a:p>
          <a:r>
            <a:rPr lang="en-US" sz="1400" b="1" i="0" u="none" strike="noStrike">
              <a:solidFill>
                <a:schemeClr val="dk1"/>
              </a:solidFill>
              <a:effectLst/>
              <a:latin typeface="Times New Roman" panose="02020603050405020304" pitchFamily="18" charset="0"/>
              <a:ea typeface="+mn-ea"/>
              <a:cs typeface="Times New Roman" panose="02020603050405020304" pitchFamily="18" charset="0"/>
            </a:rPr>
            <a:t>BQ04.</a:t>
          </a:r>
          <a:r>
            <a:rPr lang="en-US" sz="1400" b="1">
              <a:effectLst/>
              <a:latin typeface="Times New Roman" panose="02020603050405020304" pitchFamily="18" charset="0"/>
              <a:cs typeface="Times New Roman" panose="02020603050405020304" pitchFamily="18" charset="0"/>
            </a:rPr>
            <a:t> </a:t>
          </a:r>
          <a:r>
            <a:rPr lang="en-US" sz="1400" b="0" i="0" u="none" strike="noStrike">
              <a:solidFill>
                <a:schemeClr val="dk1"/>
              </a:solidFill>
              <a:effectLst/>
              <a:latin typeface="Times New Roman" panose="02020603050405020304" pitchFamily="18" charset="0"/>
              <a:ea typeface="+mn-ea"/>
              <a:cs typeface="Times New Roman" panose="02020603050405020304" pitchFamily="18" charset="0"/>
            </a:rPr>
            <a:t>How do customer demographics, particularly gender and age, influence sales and transaction activity?</a:t>
          </a:r>
          <a:r>
            <a:rPr lang="en-US" sz="1400">
              <a:effectLst/>
              <a:latin typeface="Times New Roman" panose="02020603050405020304" pitchFamily="18" charset="0"/>
              <a:cs typeface="Times New Roman" panose="02020603050405020304" pitchFamily="18" charset="0"/>
            </a:rPr>
            <a:t> </a:t>
          </a:r>
        </a:p>
        <a:p>
          <a:endParaRPr lang="en-US" sz="1400">
            <a:effectLst/>
            <a:latin typeface="Times New Roman" panose="02020603050405020304" pitchFamily="18" charset="0"/>
            <a:cs typeface="Times New Roman" panose="02020603050405020304" pitchFamily="18" charset="0"/>
          </a:endParaRPr>
        </a:p>
        <a:p>
          <a:r>
            <a:rPr lang="en-US" sz="1400" b="1" i="0" u="none" strike="noStrike">
              <a:solidFill>
                <a:schemeClr val="dk1"/>
              </a:solidFill>
              <a:effectLst/>
              <a:latin typeface="Times New Roman" panose="02020603050405020304" pitchFamily="18" charset="0"/>
              <a:ea typeface="+mn-ea"/>
              <a:cs typeface="Times New Roman" panose="02020603050405020304" pitchFamily="18" charset="0"/>
            </a:rPr>
            <a:t>BQ05</a:t>
          </a:r>
          <a:r>
            <a:rPr lang="en-US" sz="1400">
              <a:effectLst/>
              <a:latin typeface="Times New Roman" panose="02020603050405020304" pitchFamily="18" charset="0"/>
              <a:cs typeface="Times New Roman" panose="02020603050405020304" pitchFamily="18" charset="0"/>
            </a:rPr>
            <a:t> </a:t>
          </a:r>
          <a:r>
            <a:rPr lang="en-US" sz="1400" b="0" i="0" u="none" strike="noStrike">
              <a:solidFill>
                <a:schemeClr val="dk1"/>
              </a:solidFill>
              <a:effectLst/>
              <a:latin typeface="Times New Roman" panose="02020603050405020304" pitchFamily="18" charset="0"/>
              <a:ea typeface="+mn-ea"/>
              <a:cs typeface="Times New Roman" panose="02020603050405020304" pitchFamily="18" charset="0"/>
            </a:rPr>
            <a:t>What is the average transaction value, and which product categories and customers contribute most to business revenue and profit?</a:t>
          </a:r>
          <a:r>
            <a:rPr lang="en-US" sz="1400">
              <a:effectLst/>
              <a:latin typeface="Times New Roman" panose="02020603050405020304" pitchFamily="18" charset="0"/>
              <a:cs typeface="Times New Roman" panose="02020603050405020304" pitchFamily="18" charset="0"/>
            </a:rPr>
            <a:t> </a:t>
          </a:r>
        </a:p>
        <a:p>
          <a:endParaRPr lang="en-US" sz="1400">
            <a:effectLst/>
            <a:latin typeface="Times New Roman" panose="02020603050405020304" pitchFamily="18" charset="0"/>
            <a:cs typeface="Times New Roman" panose="02020603050405020304" pitchFamily="18" charset="0"/>
          </a:endParaRPr>
        </a:p>
        <a:p>
          <a:r>
            <a:rPr lang="en-US" sz="1400" b="1" i="0" u="none" strike="noStrike">
              <a:solidFill>
                <a:schemeClr val="dk1"/>
              </a:solidFill>
              <a:effectLst/>
              <a:latin typeface="Times New Roman" panose="02020603050405020304" pitchFamily="18" charset="0"/>
              <a:ea typeface="+mn-ea"/>
              <a:cs typeface="Times New Roman" panose="02020603050405020304" pitchFamily="18" charset="0"/>
            </a:rPr>
            <a:t>BQ06</a:t>
          </a:r>
          <a:r>
            <a:rPr lang="en-US" sz="1400">
              <a:effectLst/>
              <a:latin typeface="Times New Roman" panose="02020603050405020304" pitchFamily="18" charset="0"/>
              <a:cs typeface="Times New Roman" panose="02020603050405020304" pitchFamily="18" charset="0"/>
            </a:rPr>
            <a:t> </a:t>
          </a:r>
          <a:r>
            <a:rPr lang="en-US" sz="1400" b="0" i="0" u="none" strike="noStrike">
              <a:solidFill>
                <a:schemeClr val="dk1"/>
              </a:solidFill>
              <a:effectLst/>
              <a:latin typeface="Times New Roman" panose="02020603050405020304" pitchFamily="18" charset="0"/>
              <a:ea typeface="+mn-ea"/>
              <a:cs typeface="Times New Roman" panose="02020603050405020304" pitchFamily="18" charset="0"/>
            </a:rPr>
            <a:t>What actionable recommendations can be made to improve sales, profitability and customer performance?</a:t>
          </a:r>
          <a:r>
            <a:rPr lang="en-US" sz="1400">
              <a:effectLst/>
              <a:latin typeface="Times New Roman" panose="02020603050405020304" pitchFamily="18" charset="0"/>
              <a:cs typeface="Times New Roman" panose="02020603050405020304" pitchFamily="18" charset="0"/>
            </a:rPr>
            <a:t> </a:t>
          </a:r>
        </a:p>
        <a:p>
          <a:pPr algn="l"/>
          <a:endParaRPr lang="en-US" sz="16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5</xdr:row>
      <xdr:rowOff>12700</xdr:rowOff>
    </xdr:from>
    <xdr:to>
      <xdr:col>6</xdr:col>
      <xdr:colOff>1073150</xdr:colOff>
      <xdr:row>16</xdr:row>
      <xdr:rowOff>177800</xdr:rowOff>
    </xdr:to>
    <xdr:graphicFrame macro="">
      <xdr:nvGraphicFramePr>
        <xdr:cNvPr id="3" name="Chart 2">
          <a:extLst>
            <a:ext uri="{FF2B5EF4-FFF2-40B4-BE49-F238E27FC236}">
              <a16:creationId xmlns:a16="http://schemas.microsoft.com/office/drawing/2014/main" id="{BAECD8FF-01E0-981A-372F-D2CEF2B12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254000</xdr:colOff>
      <xdr:row>21</xdr:row>
      <xdr:rowOff>6349</xdr:rowOff>
    </xdr:from>
    <xdr:to>
      <xdr:col>7</xdr:col>
      <xdr:colOff>50800</xdr:colOff>
      <xdr:row>34</xdr:row>
      <xdr:rowOff>142874</xdr:rowOff>
    </xdr:to>
    <xdr:graphicFrame macro="">
      <xdr:nvGraphicFramePr>
        <xdr:cNvPr id="5" name="Chart 4">
          <a:extLst>
            <a:ext uri="{FF2B5EF4-FFF2-40B4-BE49-F238E27FC236}">
              <a16:creationId xmlns:a16="http://schemas.microsoft.com/office/drawing/2014/main" id="{A2D83700-87CC-4C7A-38B1-2FC64C3E9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131536</xdr:colOff>
      <xdr:row>56</xdr:row>
      <xdr:rowOff>70304</xdr:rowOff>
    </xdr:from>
    <xdr:to>
      <xdr:col>7</xdr:col>
      <xdr:colOff>874486</xdr:colOff>
      <xdr:row>72</xdr:row>
      <xdr:rowOff>106136</xdr:rowOff>
    </xdr:to>
    <xdr:graphicFrame macro="">
      <xdr:nvGraphicFramePr>
        <xdr:cNvPr id="8" name="Chart 7">
          <a:extLst>
            <a:ext uri="{FF2B5EF4-FFF2-40B4-BE49-F238E27FC236}">
              <a16:creationId xmlns:a16="http://schemas.microsoft.com/office/drawing/2014/main" id="{4A13AA9D-1DA8-C388-7B18-A7416078D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68944</xdr:colOff>
      <xdr:row>5</xdr:row>
      <xdr:rowOff>61686</xdr:rowOff>
    </xdr:from>
    <xdr:to>
      <xdr:col>12</xdr:col>
      <xdr:colOff>1</xdr:colOff>
      <xdr:row>21</xdr:row>
      <xdr:rowOff>163284</xdr:rowOff>
    </xdr:to>
    <xdr:graphicFrame macro="">
      <xdr:nvGraphicFramePr>
        <xdr:cNvPr id="11" name="Chart 10">
          <a:extLst>
            <a:ext uri="{FF2B5EF4-FFF2-40B4-BE49-F238E27FC236}">
              <a16:creationId xmlns:a16="http://schemas.microsoft.com/office/drawing/2014/main" id="{86D9CD1D-7F03-9E5C-B66C-A895C5A09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430899</xdr:colOff>
      <xdr:row>9</xdr:row>
      <xdr:rowOff>136526</xdr:rowOff>
    </xdr:from>
    <xdr:to>
      <xdr:col>20</xdr:col>
      <xdr:colOff>9071</xdr:colOff>
      <xdr:row>25</xdr:row>
      <xdr:rowOff>0</xdr:rowOff>
    </xdr:to>
    <xdr:graphicFrame macro="">
      <xdr:nvGraphicFramePr>
        <xdr:cNvPr id="12" name="Chart 11">
          <a:extLst>
            <a:ext uri="{FF2B5EF4-FFF2-40B4-BE49-F238E27FC236}">
              <a16:creationId xmlns:a16="http://schemas.microsoft.com/office/drawing/2014/main" id="{53071DD9-EB30-BC00-6ADF-54DAF3731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208642</xdr:colOff>
      <xdr:row>29</xdr:row>
      <xdr:rowOff>0</xdr:rowOff>
    </xdr:from>
    <xdr:to>
      <xdr:col>16</xdr:col>
      <xdr:colOff>653143</xdr:colOff>
      <xdr:row>43</xdr:row>
      <xdr:rowOff>9072</xdr:rowOff>
    </xdr:to>
    <xdr:graphicFrame macro="">
      <xdr:nvGraphicFramePr>
        <xdr:cNvPr id="13" name="Chart 12">
          <a:extLst>
            <a:ext uri="{FF2B5EF4-FFF2-40B4-BE49-F238E27FC236}">
              <a16:creationId xmlns:a16="http://schemas.microsoft.com/office/drawing/2014/main" id="{1BD40A0E-98DB-3695-74CA-1E5449038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353785</xdr:colOff>
      <xdr:row>34</xdr:row>
      <xdr:rowOff>63501</xdr:rowOff>
    </xdr:from>
    <xdr:to>
      <xdr:col>12</xdr:col>
      <xdr:colOff>1090705</xdr:colOff>
      <xdr:row>40</xdr:row>
      <xdr:rowOff>67351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BA79E9D0-3B91-BD3D-D18C-629AFEE9835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34569" y="6413501"/>
              <a:ext cx="4173391" cy="1124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351193</xdr:colOff>
      <xdr:row>40</xdr:row>
      <xdr:rowOff>70222</xdr:rowOff>
    </xdr:from>
    <xdr:to>
      <xdr:col>12</xdr:col>
      <xdr:colOff>1088572</xdr:colOff>
      <xdr:row>48</xdr:row>
      <xdr:rowOff>173181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16F8795-3205-FF6F-7553-BF5A1B8B69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31977" y="7540810"/>
              <a:ext cx="4173850" cy="1597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37353</xdr:rowOff>
    </xdr:from>
    <xdr:to>
      <xdr:col>7</xdr:col>
      <xdr:colOff>567764</xdr:colOff>
      <xdr:row>20</xdr:row>
      <xdr:rowOff>179827</xdr:rowOff>
    </xdr:to>
    <xdr:graphicFrame macro="">
      <xdr:nvGraphicFramePr>
        <xdr:cNvPr id="4" name="Chart 3">
          <a:extLst>
            <a:ext uri="{FF2B5EF4-FFF2-40B4-BE49-F238E27FC236}">
              <a16:creationId xmlns:a16="http://schemas.microsoft.com/office/drawing/2014/main" id="{AC60BAB9-1351-5779-0F75-3E4AB237B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582706</xdr:colOff>
      <xdr:row>5</xdr:row>
      <xdr:rowOff>12451</xdr:rowOff>
    </xdr:from>
    <xdr:to>
      <xdr:col>13</xdr:col>
      <xdr:colOff>0</xdr:colOff>
      <xdr:row>20</xdr:row>
      <xdr:rowOff>174314</xdr:rowOff>
    </xdr:to>
    <xdr:graphicFrame macro="">
      <xdr:nvGraphicFramePr>
        <xdr:cNvPr id="6" name="Chart 5">
          <a:extLst>
            <a:ext uri="{FF2B5EF4-FFF2-40B4-BE49-F238E27FC236}">
              <a16:creationId xmlns:a16="http://schemas.microsoft.com/office/drawing/2014/main" id="{82534F10-A8AC-A072-EA95-342ACC971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5526</xdr:colOff>
      <xdr:row>21</xdr:row>
      <xdr:rowOff>12451</xdr:rowOff>
    </xdr:from>
    <xdr:to>
      <xdr:col>7</xdr:col>
      <xdr:colOff>545353</xdr:colOff>
      <xdr:row>34</xdr:row>
      <xdr:rowOff>82637</xdr:rowOff>
    </xdr:to>
    <xdr:graphicFrame macro="">
      <xdr:nvGraphicFramePr>
        <xdr:cNvPr id="8" name="Chart 7">
          <a:extLst>
            <a:ext uri="{FF2B5EF4-FFF2-40B4-BE49-F238E27FC236}">
              <a16:creationId xmlns:a16="http://schemas.microsoft.com/office/drawing/2014/main" id="{CCF04060-A671-E9FB-F12F-B40CD2B82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545353</xdr:colOff>
      <xdr:row>21</xdr:row>
      <xdr:rowOff>45834</xdr:rowOff>
    </xdr:from>
    <xdr:to>
      <xdr:col>12</xdr:col>
      <xdr:colOff>1090704</xdr:colOff>
      <xdr:row>34</xdr:row>
      <xdr:rowOff>86896</xdr:rowOff>
    </xdr:to>
    <xdr:graphicFrame macro="">
      <xdr:nvGraphicFramePr>
        <xdr:cNvPr id="10" name="Chart 9">
          <a:extLst>
            <a:ext uri="{FF2B5EF4-FFF2-40B4-BE49-F238E27FC236}">
              <a16:creationId xmlns:a16="http://schemas.microsoft.com/office/drawing/2014/main" id="{312499DA-B69C-955B-6B96-E90FD6B5C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34</xdr:row>
      <xdr:rowOff>76649</xdr:rowOff>
    </xdr:from>
    <xdr:to>
      <xdr:col>8</xdr:col>
      <xdr:colOff>343419</xdr:colOff>
      <xdr:row>48</xdr:row>
      <xdr:rowOff>168470</xdr:rowOff>
    </xdr:to>
    <xdr:graphicFrame macro="">
      <xdr:nvGraphicFramePr>
        <xdr:cNvPr id="12" name="Chart 11">
          <a:extLst>
            <a:ext uri="{FF2B5EF4-FFF2-40B4-BE49-F238E27FC236}">
              <a16:creationId xmlns:a16="http://schemas.microsoft.com/office/drawing/2014/main" id="{3D6866EB-E9A3-91A0-A24F-674DCECA0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6452</xdr:colOff>
      <xdr:row>0</xdr:row>
      <xdr:rowOff>6089</xdr:rowOff>
    </xdr:from>
    <xdr:to>
      <xdr:col>13</xdr:col>
      <xdr:colOff>7471</xdr:colOff>
      <xdr:row>1</xdr:row>
      <xdr:rowOff>178861</xdr:rowOff>
    </xdr:to>
    <xdr:sp macro="" textlink="">
      <xdr:nvSpPr>
        <xdr:cNvPr id="5" name="TextBox 4">
          <a:extLst>
            <a:ext uri="{FF2B5EF4-FFF2-40B4-BE49-F238E27FC236}">
              <a16:creationId xmlns:a16="http://schemas.microsoft.com/office/drawing/2014/main" id="{712CD697-34E0-5A22-23AF-59B0C6B8CF3A}"/>
            </a:ext>
          </a:extLst>
        </xdr:cNvPr>
        <xdr:cNvSpPr txBox="1"/>
      </xdr:nvSpPr>
      <xdr:spPr>
        <a:xfrm>
          <a:off x="6452" y="6089"/>
          <a:ext cx="9413960" cy="359537"/>
        </a:xfrm>
        <a:prstGeom prst="rect">
          <a:avLst/>
        </a:prstGeom>
        <a:solidFill>
          <a:schemeClr val="accent2">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Times New Roman" panose="02020603050405020304" pitchFamily="18" charset="0"/>
              <a:cs typeface="Times New Roman" panose="02020603050405020304" pitchFamily="18" charset="0"/>
            </a:rPr>
            <a:t>RETAIL SALES PERFORMANCE EXCEL DASHBOARD</a:t>
          </a:r>
        </a:p>
      </xdr:txBody>
    </xdr:sp>
    <xdr:clientData/>
  </xdr:twoCellAnchor>
  <xdr:twoCellAnchor>
    <xdr:from>
      <xdr:col>0</xdr:col>
      <xdr:colOff>30222</xdr:colOff>
      <xdr:row>1</xdr:row>
      <xdr:rowOff>177979</xdr:rowOff>
    </xdr:from>
    <xdr:to>
      <xdr:col>3</xdr:col>
      <xdr:colOff>21865</xdr:colOff>
      <xdr:row>3</xdr:row>
      <xdr:rowOff>183993</xdr:rowOff>
    </xdr:to>
    <xdr:sp macro="" textlink="">
      <xdr:nvSpPr>
        <xdr:cNvPr id="7" name="TextBox 6">
          <a:extLst>
            <a:ext uri="{FF2B5EF4-FFF2-40B4-BE49-F238E27FC236}">
              <a16:creationId xmlns:a16="http://schemas.microsoft.com/office/drawing/2014/main" id="{D93B95DD-864C-D3EE-F0B2-23713F1467BB}"/>
            </a:ext>
          </a:extLst>
        </xdr:cNvPr>
        <xdr:cNvSpPr txBox="1"/>
      </xdr:nvSpPr>
      <xdr:spPr>
        <a:xfrm>
          <a:off x="30222" y="367128"/>
          <a:ext cx="2058771" cy="384312"/>
        </a:xfrm>
        <a:prstGeom prst="rect">
          <a:avLst/>
        </a:prstGeom>
        <a:solidFill>
          <a:schemeClr val="lt1"/>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Total sales</a:t>
          </a:r>
        </a:p>
      </xdr:txBody>
    </xdr:sp>
    <xdr:clientData/>
  </xdr:twoCellAnchor>
  <xdr:twoCellAnchor>
    <xdr:from>
      <xdr:col>7</xdr:col>
      <xdr:colOff>7248</xdr:colOff>
      <xdr:row>1</xdr:row>
      <xdr:rowOff>179642</xdr:rowOff>
    </xdr:from>
    <xdr:to>
      <xdr:col>9</xdr:col>
      <xdr:colOff>845558</xdr:colOff>
      <xdr:row>3</xdr:row>
      <xdr:rowOff>185657</xdr:rowOff>
    </xdr:to>
    <xdr:sp macro="" textlink="">
      <xdr:nvSpPr>
        <xdr:cNvPr id="9" name="TextBox 8">
          <a:extLst>
            <a:ext uri="{FF2B5EF4-FFF2-40B4-BE49-F238E27FC236}">
              <a16:creationId xmlns:a16="http://schemas.microsoft.com/office/drawing/2014/main" id="{88CEECC7-0530-132C-BEF1-061539DDD671}"/>
            </a:ext>
          </a:extLst>
        </xdr:cNvPr>
        <xdr:cNvSpPr txBox="1"/>
      </xdr:nvSpPr>
      <xdr:spPr>
        <a:xfrm>
          <a:off x="4514503" y="366407"/>
          <a:ext cx="2058506" cy="379544"/>
        </a:xfrm>
        <a:prstGeom prst="rect">
          <a:avLst/>
        </a:prstGeom>
        <a:solidFill>
          <a:schemeClr val="lt1"/>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Quantity Sold</a:t>
          </a:r>
        </a:p>
      </xdr:txBody>
    </xdr:sp>
    <xdr:clientData/>
  </xdr:twoCellAnchor>
  <xdr:twoCellAnchor>
    <xdr:from>
      <xdr:col>9</xdr:col>
      <xdr:colOff>856902</xdr:colOff>
      <xdr:row>1</xdr:row>
      <xdr:rowOff>175639</xdr:rowOff>
    </xdr:from>
    <xdr:to>
      <xdr:col>13</xdr:col>
      <xdr:colOff>13511</xdr:colOff>
      <xdr:row>4</xdr:row>
      <xdr:rowOff>32859</xdr:rowOff>
    </xdr:to>
    <xdr:sp macro="" textlink="">
      <xdr:nvSpPr>
        <xdr:cNvPr id="11" name="TextBox 10">
          <a:extLst>
            <a:ext uri="{FF2B5EF4-FFF2-40B4-BE49-F238E27FC236}">
              <a16:creationId xmlns:a16="http://schemas.microsoft.com/office/drawing/2014/main" id="{D5282D54-3815-6657-9651-BF573A936313}"/>
            </a:ext>
          </a:extLst>
        </xdr:cNvPr>
        <xdr:cNvSpPr txBox="1"/>
      </xdr:nvSpPr>
      <xdr:spPr>
        <a:xfrm>
          <a:off x="6571902" y="364788"/>
          <a:ext cx="3074694" cy="424667"/>
        </a:xfrm>
        <a:prstGeom prst="rect">
          <a:avLst/>
        </a:prstGeom>
        <a:solidFill>
          <a:schemeClr val="lt1"/>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Transactions </a:t>
          </a:r>
        </a:p>
      </xdr:txBody>
    </xdr:sp>
    <xdr:clientData/>
  </xdr:twoCellAnchor>
  <xdr:twoCellAnchor>
    <xdr:from>
      <xdr:col>2</xdr:col>
      <xdr:colOff>582981</xdr:colOff>
      <xdr:row>1</xdr:row>
      <xdr:rowOff>175638</xdr:rowOff>
    </xdr:from>
    <xdr:to>
      <xdr:col>7</xdr:col>
      <xdr:colOff>37353</xdr:colOff>
      <xdr:row>4</xdr:row>
      <xdr:rowOff>13510</xdr:rowOff>
    </xdr:to>
    <xdr:sp macro="" textlink="">
      <xdr:nvSpPr>
        <xdr:cNvPr id="13" name="TextBox 12">
          <a:extLst>
            <a:ext uri="{FF2B5EF4-FFF2-40B4-BE49-F238E27FC236}">
              <a16:creationId xmlns:a16="http://schemas.microsoft.com/office/drawing/2014/main" id="{E36493E4-8620-C92F-8499-94D8362BCCED}"/>
            </a:ext>
          </a:extLst>
        </xdr:cNvPr>
        <xdr:cNvSpPr txBox="1"/>
      </xdr:nvSpPr>
      <xdr:spPr>
        <a:xfrm>
          <a:off x="2042130" y="364787"/>
          <a:ext cx="2494266" cy="405319"/>
        </a:xfrm>
        <a:prstGeom prst="rect">
          <a:avLst/>
        </a:prstGeom>
        <a:solidFill>
          <a:schemeClr val="lt1"/>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Total Profit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72.664987847224" createdVersion="8" refreshedVersion="8" minRefreshableVersion="3" recordCount="1997" xr:uid="{D8902E8A-89B7-4596-A6A2-8C0D3E350318}">
  <cacheSource type="worksheet">
    <worksheetSource name="Retail_Sales_cleaned"/>
  </cacheSource>
  <cacheFields count="16">
    <cacheField name="transactions_id" numFmtId="0">
      <sharedItems containsSemiMixedTypes="0" containsString="0" containsNumber="1" containsInteger="1" minValue="1" maxValue="2000"/>
    </cacheField>
    <cacheField name="sale_date" numFmtId="14">
      <sharedItems containsSemiMixedTypes="0" containsNonDate="0" containsDate="1" containsString="0" minDate="2022-01-01T00:00:00" maxDate="2024-01-01T00:00:00" count="647">
        <d v="2022-11-05T00:00:00"/>
        <d v="2022-07-09T00:00:00"/>
        <d v="2022-12-12T00:00:00"/>
        <d v="2022-01-06T00:00:00"/>
        <d v="2022-11-14T00:00:00"/>
        <d v="2022-08-20T00:00:00"/>
        <d v="2022-10-31T00:00:00"/>
        <d v="2022-04-22T00:00:00"/>
        <d v="2022-04-08T00:00:00"/>
        <d v="2022-05-18T00:00:00"/>
        <d v="2022-05-04T00:00:00"/>
        <d v="2022-03-19T00:00:00"/>
        <d v="2022-01-17T00:00:00"/>
        <d v="2022-08-17T00:00:00"/>
        <d v="2022-12-18T00:00:00"/>
        <d v="2022-11-23T00:00:00"/>
        <d v="2022-07-16T00:00:00"/>
        <d v="2022-03-06T00:00:00"/>
        <d v="2022-04-01T00:00:00"/>
        <d v="2022-01-29T00:00:00"/>
        <d v="2022-12-30T00:00:00"/>
        <d v="2022-03-25T00:00:00"/>
        <d v="2022-03-10T00:00:00"/>
        <d v="2022-04-15T00:00:00"/>
        <d v="2022-03-01T00:00:00"/>
        <d v="2022-12-25T00:00:00"/>
        <d v="2022-04-13T00:00:00"/>
        <d v="2022-10-27T00:00:00"/>
        <d v="2022-08-22T00:00:00"/>
        <d v="2022-05-24T00:00:00"/>
        <d v="2022-09-16T00:00:00"/>
        <d v="2022-09-28T00:00:00"/>
        <d v="2022-04-16T00:00:00"/>
        <d v="2022-02-08T00:00:00"/>
        <d v="2022-11-22T00:00:00"/>
        <d v="2022-09-02T00:00:00"/>
        <d v="2022-04-04T00:00:00"/>
        <d v="2022-11-17T00:00:00"/>
        <d v="2022-04-11T00:00:00"/>
        <d v="2022-03-12T00:00:00"/>
        <d v="2022-02-13T00:00:00"/>
        <d v="2022-02-12T00:00:00"/>
        <d v="2022-02-28T00:00:00"/>
        <d v="2022-03-05T00:00:00"/>
        <d v="2022-09-23T00:00:00"/>
        <d v="2022-06-13T00:00:00"/>
        <d v="2022-06-14T00:00:00"/>
        <d v="2022-03-13T00:00:00"/>
        <d v="2022-03-21T00:00:00"/>
        <d v="2022-01-26T00:00:00"/>
        <d v="2022-11-13T00:00:00"/>
        <d v="2022-09-29T00:00:00"/>
        <d v="2022-07-11T00:00:00"/>
        <d v="2022-04-06T00:00:00"/>
        <d v="2022-06-27T00:00:00"/>
        <d v="2022-06-11T00:00:00"/>
        <d v="2022-10-03T00:00:00"/>
        <d v="2022-07-31T00:00:00"/>
        <d v="2022-04-03T00:00:00"/>
        <d v="2022-11-30T00:00:00"/>
        <d v="2022-03-26T00:00:00"/>
        <d v="2022-07-01T00:00:00"/>
        <d v="2022-08-07T00:00:00"/>
        <d v="2022-03-09T00:00:00"/>
        <d v="2022-10-26T00:00:00"/>
        <d v="2022-11-12T00:00:00"/>
        <d v="2022-05-10T00:00:00"/>
        <d v="2022-08-01T00:00:00"/>
        <d v="2022-02-04T00:00:00"/>
        <d v="2022-02-14T00:00:00"/>
        <d v="2022-09-17T00:00:00"/>
        <d v="2022-09-14T00:00:00"/>
        <d v="2022-08-31T00:00:00"/>
        <d v="2022-01-07T00:00:00"/>
        <d v="2022-08-12T00:00:00"/>
        <d v="2022-12-17T00:00:00"/>
        <d v="2022-10-04T00:00:00"/>
        <d v="2022-10-30T00:00:00"/>
        <d v="2022-07-17T00:00:00"/>
        <d v="2022-05-16T00:00:00"/>
        <d v="2022-04-14T00:00:00"/>
        <d v="2022-06-10T00:00:00"/>
        <d v="2022-04-19T00:00:00"/>
        <d v="2022-05-30T00:00:00"/>
        <d v="2022-01-02T00:00:00"/>
        <d v="2022-01-08T00:00:00"/>
        <d v="2022-11-15T00:00:00"/>
        <d v="2022-12-26T00:00:00"/>
        <d v="2022-03-16T00:00:00"/>
        <d v="2022-05-27T00:00:00"/>
        <d v="2022-08-25T00:00:00"/>
        <d v="2022-08-05T00:00:00"/>
        <d v="2022-05-02T00:00:00"/>
        <d v="2022-01-21T00:00:00"/>
        <d v="2022-10-13T00:00:00"/>
        <d v="2022-04-05T00:00:00"/>
        <d v="2022-08-15T00:00:00"/>
        <d v="2022-09-15T00:00:00"/>
        <d v="2022-10-10T00:00:00"/>
        <d v="2022-01-05T00:00:00"/>
        <d v="2022-03-11T00:00:00"/>
        <d v="2022-08-28T00:00:00"/>
        <d v="2022-10-12T00:00:00"/>
        <d v="2022-06-23T00:00:00"/>
        <d v="2022-06-15T00:00:00"/>
        <d v="2022-05-17T00:00:00"/>
        <d v="2022-10-19T00:00:00"/>
        <d v="2022-12-07T00:00:00"/>
        <d v="2022-01-27T00:00:00"/>
        <d v="2022-08-26T00:00:00"/>
        <d v="2022-08-08T00:00:00"/>
        <d v="2022-08-02T00:00:00"/>
        <d v="2022-09-19T00:00:00"/>
        <d v="2022-04-20T00:00:00"/>
        <d v="2022-07-04T00:00:00"/>
        <d v="2022-01-01T00:00:00"/>
        <d v="2022-11-02T00:00:00"/>
        <d v="2022-01-15T00:00:00"/>
        <d v="2022-03-03T00:00:00"/>
        <d v="2022-11-09T00:00:00"/>
        <d v="2022-02-20T00:00:00"/>
        <d v="2022-12-08T00:00:00"/>
        <d v="2022-10-06T00:00:00"/>
        <d v="2022-12-31T00:00:00"/>
        <d v="2022-01-12T00:00:00"/>
        <d v="2022-02-02T00:00:00"/>
        <d v="2022-02-23T00:00:00"/>
        <d v="2022-02-03T00:00:00"/>
        <d v="2022-08-14T00:00:00"/>
        <d v="2022-06-01T00:00:00"/>
        <d v="2022-05-01T00:00:00"/>
        <d v="2022-12-01T00:00:00"/>
        <d v="2022-08-04T00:00:00"/>
        <d v="2022-09-21T00:00:00"/>
        <d v="2022-11-01T00:00:00"/>
        <d v="2022-12-10T00:00:00"/>
        <d v="2022-12-11T00:00:00"/>
        <d v="2022-09-03T00:00:00"/>
        <d v="2022-09-07T00:00:00"/>
        <d v="2022-05-23T00:00:00"/>
        <d v="2022-12-29T00:00:00"/>
        <d v="2022-10-29T00:00:00"/>
        <d v="2022-06-19T00:00:00"/>
        <d v="2022-03-18T00:00:00"/>
        <d v="2022-03-28T00:00:00"/>
        <d v="2022-05-06T00:00:00"/>
        <d v="2022-07-26T00:00:00"/>
        <d v="2022-12-16T00:00:00"/>
        <d v="2022-06-21T00:00:00"/>
        <d v="2022-10-21T00:00:00"/>
        <d v="2022-10-20T00:00:00"/>
        <d v="2022-12-15T00:00:00"/>
        <d v="2022-11-08T00:00:00"/>
        <d v="2022-01-10T00:00:00"/>
        <d v="2022-03-29T00:00:00"/>
        <d v="2022-08-16T00:00:00"/>
        <d v="2022-09-05T00:00:00"/>
        <d v="2022-05-15T00:00:00"/>
        <d v="2022-04-10T00:00:00"/>
        <d v="2022-08-09T00:00:00"/>
        <d v="2022-02-25T00:00:00"/>
        <d v="2022-12-21T00:00:00"/>
        <d v="2022-03-27T00:00:00"/>
        <d v="2022-04-21T00:00:00"/>
        <d v="2022-01-24T00:00:00"/>
        <d v="2022-10-01T00:00:00"/>
        <d v="2022-05-11T00:00:00"/>
        <d v="2022-09-11T00:00:00"/>
        <d v="2022-12-27T00:00:00"/>
        <d v="2022-02-27T00:00:00"/>
        <d v="2022-06-25T00:00:00"/>
        <d v="2022-08-21T00:00:00"/>
        <d v="2022-09-30T00:00:00"/>
        <d v="2022-02-11T00:00:00"/>
        <d v="2022-01-09T00:00:00"/>
        <d v="2022-11-07T00:00:00"/>
        <d v="2022-06-09T00:00:00"/>
        <d v="2022-09-13T00:00:00"/>
        <d v="2022-07-20T00:00:00"/>
        <d v="2022-11-10T00:00:00"/>
        <d v="2022-07-14T00:00:00"/>
        <d v="2022-10-11T00:00:00"/>
        <d v="2022-07-06T00:00:00"/>
        <d v="2022-10-24T00:00:00"/>
        <d v="2022-06-07T00:00:00"/>
        <d v="2022-04-29T00:00:00"/>
        <d v="2022-03-08T00:00:00"/>
        <d v="2022-07-21T00:00:00"/>
        <d v="2022-07-10T00:00:00"/>
        <d v="2022-09-12T00:00:00"/>
        <d v="2022-09-25T00:00:00"/>
        <d v="2022-01-04T00:00:00"/>
        <d v="2022-04-18T00:00:00"/>
        <d v="2022-01-14T00:00:00"/>
        <d v="2022-06-24T00:00:00"/>
        <d v="2022-07-29T00:00:00"/>
        <d v="2022-03-02T00:00:00"/>
        <d v="2022-02-24T00:00:00"/>
        <d v="2022-01-16T00:00:00"/>
        <d v="2022-06-16T00:00:00"/>
        <d v="2022-04-23T00:00:00"/>
        <d v="2022-10-08T00:00:00"/>
        <d v="2022-06-30T00:00:00"/>
        <d v="2022-10-14T00:00:00"/>
        <d v="2022-11-04T00:00:00"/>
        <d v="2022-01-28T00:00:00"/>
        <d v="2022-07-12T00:00:00"/>
        <d v="2022-05-07T00:00:00"/>
        <d v="2022-08-18T00:00:00"/>
        <d v="2022-06-29T00:00:00"/>
        <d v="2022-09-22T00:00:00"/>
        <d v="2022-02-15T00:00:00"/>
        <d v="2022-08-13T00:00:00"/>
        <d v="2022-01-20T00:00:00"/>
        <d v="2022-10-09T00:00:00"/>
        <d v="2022-05-21T00:00:00"/>
        <d v="2022-08-11T00:00:00"/>
        <d v="2022-07-18T00:00:00"/>
        <d v="2022-07-02T00:00:00"/>
        <d v="2022-09-09T00:00:00"/>
        <d v="2022-09-08T00:00:00"/>
        <d v="2022-06-18T00:00:00"/>
        <d v="2023-10-26T00:00:00"/>
        <d v="2023-11-15T00:00:00"/>
        <d v="2023-01-01T00:00:00"/>
        <d v="2023-03-05T00:00:00"/>
        <d v="2023-11-30T00:00:00"/>
        <d v="2023-01-12T00:00:00"/>
        <d v="2023-06-19T00:00:00"/>
        <d v="2023-10-30T00:00:00"/>
        <d v="2023-02-20T00:00:00"/>
        <d v="2023-04-10T00:00:00"/>
        <d v="2023-07-06T00:00:00"/>
        <d v="2023-09-01T00:00:00"/>
        <d v="2023-12-22T00:00:00"/>
        <d v="2023-06-09T00:00:00"/>
        <d v="2023-11-19T00:00:00"/>
        <d v="2023-07-19T00:00:00"/>
        <d v="2023-08-04T00:00:00"/>
        <d v="2023-09-11T00:00:00"/>
        <d v="2023-06-30T00:00:00"/>
        <d v="2023-05-04T00:00:00"/>
        <d v="2023-05-05T00:00:00"/>
        <d v="2023-02-16T00:00:00"/>
        <d v="2023-08-10T00:00:00"/>
        <d v="2023-01-16T00:00:00"/>
        <d v="2023-10-22T00:00:00"/>
        <d v="2023-12-01T00:00:00"/>
        <d v="2023-01-20T00:00:00"/>
        <d v="2023-09-16T00:00:00"/>
        <d v="2023-04-28T00:00:00"/>
        <d v="2023-07-27T00:00:00"/>
        <d v="2023-01-06T00:00:00"/>
        <d v="2023-12-26T00:00:00"/>
        <d v="2023-01-25T00:00:00"/>
        <d v="2023-08-16T00:00:00"/>
        <d v="2023-03-01T00:00:00"/>
        <d v="2023-01-22T00:00:00"/>
        <d v="2023-07-02T00:00:00"/>
        <d v="2023-06-02T00:00:00"/>
        <d v="2023-12-07T00:00:00"/>
        <d v="2023-03-02T00:00:00"/>
        <d v="2023-06-14T00:00:00"/>
        <d v="2023-02-25T00:00:00"/>
        <d v="2023-12-16T00:00:00"/>
        <d v="2023-07-12T00:00:00"/>
        <d v="2023-05-23T00:00:00"/>
        <d v="2023-12-30T00:00:00"/>
        <d v="2023-06-04T00:00:00"/>
        <d v="2023-06-24T00:00:00"/>
        <d v="2023-11-10T00:00:00"/>
        <d v="2023-07-01T00:00:00"/>
        <d v="2023-10-29T00:00:00"/>
        <d v="2023-03-24T00:00:00"/>
        <d v="2023-09-03T00:00:00"/>
        <d v="2023-06-29T00:00:00"/>
        <d v="2023-12-10T00:00:00"/>
        <d v="2023-09-06T00:00:00"/>
        <d v="2023-08-19T00:00:00"/>
        <d v="2023-08-31T00:00:00"/>
        <d v="2023-12-24T00:00:00"/>
        <d v="2023-04-27T00:00:00"/>
        <d v="2023-03-08T00:00:00"/>
        <d v="2023-05-09T00:00:00"/>
        <d v="2023-04-12T00:00:00"/>
        <d v="2023-10-16T00:00:00"/>
        <d v="2023-06-25T00:00:00"/>
        <d v="2023-07-22T00:00:00"/>
        <d v="2023-12-13T00:00:00"/>
        <d v="2023-12-12T00:00:00"/>
        <d v="2023-09-09T00:00:00"/>
        <d v="2023-04-14T00:00:00"/>
        <d v="2023-07-18T00:00:00"/>
        <d v="2023-11-07T00:00:00"/>
        <d v="2023-07-14T00:00:00"/>
        <d v="2023-07-15T00:00:00"/>
        <d v="2023-05-01T00:00:00"/>
        <d v="2023-11-02T00:00:00"/>
        <d v="2023-07-30T00:00:00"/>
        <d v="2023-07-31T00:00:00"/>
        <d v="2023-11-13T00:00:00"/>
        <d v="2023-09-24T00:00:00"/>
        <d v="2023-06-10T00:00:00"/>
        <d v="2023-10-09T00:00:00"/>
        <d v="2023-06-26T00:00:00"/>
        <d v="2023-01-24T00:00:00"/>
        <d v="2023-08-23T00:00:00"/>
        <d v="2023-07-28T00:00:00"/>
        <d v="2023-09-14T00:00:00"/>
        <d v="2023-01-09T00:00:00"/>
        <d v="2023-08-21T00:00:00"/>
        <d v="2023-03-20T00:00:00"/>
        <d v="2023-01-29T00:00:00"/>
        <d v="2023-08-26T00:00:00"/>
        <d v="2023-02-13T00:00:00"/>
        <d v="2023-11-22T00:00:00"/>
        <d v="2023-02-12T00:00:00"/>
        <d v="2023-01-28T00:00:00"/>
        <d v="2023-02-22T00:00:00"/>
        <d v="2023-10-01T00:00:00"/>
        <d v="2023-04-17T00:00:00"/>
        <d v="2023-04-08T00:00:00"/>
        <d v="2023-08-29T00:00:00"/>
        <d v="2023-11-17T00:00:00"/>
        <d v="2023-11-26T00:00:00"/>
        <d v="2023-08-24T00:00:00"/>
        <d v="2023-12-28T00:00:00"/>
        <d v="2023-11-05T00:00:00"/>
        <d v="2023-07-29T00:00:00"/>
        <d v="2023-04-24T00:00:00"/>
        <d v="2023-12-04T00:00:00"/>
        <d v="2023-10-15T00:00:00"/>
        <d v="2023-08-20T00:00:00"/>
        <d v="2023-01-10T00:00:00"/>
        <d v="2023-02-21T00:00:00"/>
        <d v="2023-07-07T00:00:00"/>
        <d v="2023-12-02T00:00:00"/>
        <d v="2023-12-11T00:00:00"/>
        <d v="2023-09-13T00:00:00"/>
        <d v="2023-09-18T00:00:00"/>
        <d v="2023-10-06T00:00:00"/>
        <d v="2023-01-13T00:00:00"/>
        <d v="2023-07-26T00:00:00"/>
        <d v="2023-06-05T00:00:00"/>
        <d v="2023-08-02T00:00:00"/>
        <d v="2023-11-29T00:00:00"/>
        <d v="2023-04-21T00:00:00"/>
        <d v="2023-09-29T00:00:00"/>
        <d v="2023-09-28T00:00:00"/>
        <d v="2023-07-08T00:00:00"/>
        <d v="2023-11-06T00:00:00"/>
        <d v="2023-04-01T00:00:00"/>
        <d v="2023-05-17T00:00:00"/>
        <d v="2023-03-09T00:00:00"/>
        <d v="2023-03-31T00:00:00"/>
        <d v="2023-10-07T00:00:00"/>
        <d v="2023-07-24T00:00:00"/>
        <d v="2023-08-14T00:00:00"/>
        <d v="2023-03-10T00:00:00"/>
        <d v="2023-09-17T00:00:00"/>
        <d v="2023-08-28T00:00:00"/>
        <d v="2023-03-30T00:00:00"/>
        <d v="2023-02-23T00:00:00"/>
        <d v="2023-04-13T00:00:00"/>
        <d v="2023-11-09T00:00:00"/>
        <d v="2023-06-22T00:00:00"/>
        <d v="2023-07-16T00:00:00"/>
        <d v="2023-04-15T00:00:00"/>
        <d v="2023-08-06T00:00:00"/>
        <d v="2023-06-21T00:00:00"/>
        <d v="2023-11-27T00:00:00"/>
        <d v="2023-04-30T00:00:00"/>
        <d v="2023-09-15T00:00:00"/>
        <d v="2023-10-05T00:00:00"/>
        <d v="2023-10-27T00:00:00"/>
        <d v="2023-10-03T00:00:00"/>
        <d v="2023-04-26T00:00:00"/>
        <d v="2023-05-02T00:00:00"/>
        <d v="2023-03-23T00:00:00"/>
        <d v="2023-06-18T00:00:00"/>
        <d v="2023-11-01T00:00:00"/>
        <d v="2023-07-11T00:00:00"/>
        <d v="2023-04-29T00:00:00"/>
        <d v="2023-12-03T00:00:00"/>
        <d v="2023-02-01T00:00:00"/>
        <d v="2023-09-05T00:00:00"/>
        <d v="2023-07-21T00:00:00"/>
        <d v="2023-04-09T00:00:00"/>
        <d v="2023-03-26T00:00:00"/>
        <d v="2023-05-08T00:00:00"/>
        <d v="2023-05-12T00:00:00"/>
        <d v="2023-06-08T00:00:00"/>
        <d v="2023-09-08T00:00:00"/>
        <d v="2023-12-14T00:00:00"/>
        <d v="2023-01-07T00:00:00"/>
        <d v="2023-11-12T00:00:00"/>
        <d v="2023-01-08T00:00:00"/>
        <d v="2023-05-26T00:00:00"/>
        <d v="2023-02-06T00:00:00"/>
        <d v="2023-02-05T00:00:00"/>
        <d v="2023-10-18T00:00:00"/>
        <d v="2023-05-15T00:00:00"/>
        <d v="2023-08-12T00:00:00"/>
        <d v="2023-02-10T00:00:00"/>
        <d v="2023-04-03T00:00:00"/>
        <d v="2023-08-09T00:00:00"/>
        <d v="2023-02-18T00:00:00"/>
        <d v="2023-11-08T00:00:00"/>
        <d v="2023-09-23T00:00:00"/>
        <d v="2023-07-09T00:00:00"/>
        <d v="2023-11-14T00:00:00"/>
        <d v="2023-03-04T00:00:00"/>
        <d v="2023-10-13T00:00:00"/>
        <d v="2023-08-22T00:00:00"/>
        <d v="2023-06-06T00:00:00"/>
        <d v="2023-10-31T00:00:00"/>
        <d v="2023-11-16T00:00:00"/>
        <d v="2023-05-27T00:00:00"/>
        <d v="2023-05-18T00:00:00"/>
        <d v="2023-01-18T00:00:00"/>
        <d v="2023-05-07T00:00:00"/>
        <d v="2023-02-19T00:00:00"/>
        <d v="2023-05-14T00:00:00"/>
        <d v="2023-05-29T00:00:00"/>
        <d v="2023-06-13T00:00:00"/>
        <d v="2023-10-19T00:00:00"/>
        <d v="2023-01-02T00:00:00"/>
        <d v="2023-08-17T00:00:00"/>
        <d v="2023-09-10T00:00:00"/>
        <d v="2023-08-30T00:00:00"/>
        <d v="2023-02-17T00:00:00"/>
        <d v="2023-02-09T00:00:00"/>
        <d v="2023-02-24T00:00:00"/>
        <d v="2023-05-13T00:00:00"/>
        <d v="2023-12-25T00:00:00"/>
        <d v="2023-01-30T00:00:00"/>
        <d v="2023-09-26T00:00:00"/>
        <d v="2023-06-01T00:00:00"/>
        <d v="2023-03-21T00:00:00"/>
        <d v="2023-08-08T00:00:00"/>
        <d v="2023-06-20T00:00:00"/>
        <d v="2023-10-14T00:00:00"/>
        <d v="2023-12-08T00:00:00"/>
        <d v="2023-02-03T00:00:00"/>
        <d v="2023-07-03T00:00:00"/>
        <d v="2023-05-10T00:00:00"/>
        <d v="2023-08-11T00:00:00"/>
        <d v="2023-09-20T00:00:00"/>
        <d v="2023-09-30T00:00:00"/>
        <d v="2023-12-19T00:00:00"/>
        <d v="2023-12-21T00:00:00"/>
        <d v="2023-04-23T00:00:00"/>
        <d v="2023-08-01T00:00:00"/>
        <d v="2023-12-20T00:00:00"/>
        <d v="2023-06-28T00:00:00"/>
        <d v="2023-03-18T00:00:00"/>
        <d v="2023-06-23T00:00:00"/>
        <d v="2023-09-04T00:00:00"/>
        <d v="2023-01-31T00:00:00"/>
        <d v="2023-01-21T00:00:00"/>
        <d v="2023-02-28T00:00:00"/>
        <d v="2023-06-11T00:00:00"/>
        <d v="2023-04-07T00:00:00"/>
        <d v="2023-03-13T00:00:00"/>
        <d v="2023-03-12T00:00:00"/>
        <d v="2023-03-22T00:00:00"/>
        <d v="2023-10-12T00:00:00"/>
        <d v="2023-07-25T00:00:00"/>
        <d v="2023-05-25T00:00:00"/>
        <d v="2023-04-05T00:00:00"/>
        <d v="2023-11-24T00:00:00"/>
        <d v="2023-05-22T00:00:00"/>
        <d v="2023-06-07T00:00:00"/>
        <d v="2023-06-27T00:00:00"/>
        <d v="2023-06-15T00:00:00"/>
        <d v="2023-12-09T00:00:00"/>
        <d v="2023-04-22T00:00:00"/>
        <d v="2023-11-25T00:00:00"/>
        <d v="2023-03-25T00:00:00"/>
        <d v="2023-07-23T00:00:00"/>
        <d v="2023-08-27T00:00:00"/>
        <d v="2023-01-11T00:00:00"/>
        <d v="2023-12-27T00:00:00"/>
        <d v="2023-09-21T00:00:00"/>
        <d v="2023-03-27T00:00:00"/>
        <d v="2023-12-31T00:00:00"/>
        <d v="2023-12-06T00:00:00"/>
        <d v="2023-10-17T00:00:00"/>
        <d v="2023-03-14T00:00:00"/>
        <d v="2023-03-29T00:00:00"/>
        <d v="2023-05-03T00:00:00"/>
        <d v="2023-12-05T00:00:00"/>
        <d v="2023-05-20T00:00:00"/>
        <d v="2023-11-20T00:00:00"/>
        <d v="2022-11-11T00:00:00"/>
        <d v="2022-12-04T00:00:00"/>
        <d v="2023-10-11T00:00:00"/>
        <d v="2023-07-10T00:00:00"/>
        <d v="2022-04-17T00:00:00"/>
        <d v="2023-04-02T00:00:00"/>
        <d v="2022-02-06T00:00:00"/>
        <d v="2023-07-04T00:00:00"/>
        <d v="2022-11-27T00:00:00"/>
        <d v="2022-08-19T00:00:00"/>
        <d v="2022-11-29T00:00:00"/>
        <d v="2023-01-26T00:00:00"/>
        <d v="2022-02-05T00:00:00"/>
        <d v="2022-07-19T00:00:00"/>
        <d v="2023-10-23T00:00:00"/>
        <d v="2022-08-23T00:00:00"/>
        <d v="2023-07-13T00:00:00"/>
        <d v="2022-07-24T00:00:00"/>
        <d v="2023-05-16T00:00:00"/>
        <d v="2022-01-23T00:00:00"/>
        <d v="2022-12-06T00:00:00"/>
        <d v="2022-10-16T00:00:00"/>
        <d v="2022-10-18T00:00:00"/>
        <d v="2023-10-08T00:00:00"/>
        <d v="2023-12-18T00:00:00"/>
        <d v="2022-11-20T00:00:00"/>
        <d v="2022-11-18T00:00:00"/>
        <d v="2023-01-05T00:00:00"/>
        <d v="2022-02-17T00:00:00"/>
        <d v="2023-05-28T00:00:00"/>
        <d v="2023-08-15T00:00:00"/>
        <d v="2023-01-03T00:00:00"/>
        <d v="2022-01-30T00:00:00"/>
        <d v="2022-06-05T00:00:00"/>
        <d v="2022-02-10T00:00:00"/>
        <d v="2022-07-05T00:00:00"/>
        <d v="2022-03-22T00:00:00"/>
        <d v="2022-07-08T00:00:00"/>
        <d v="2022-08-29T00:00:00"/>
        <d v="2022-03-23T00:00:00"/>
        <d v="2022-11-21T00:00:00"/>
        <d v="2023-09-12T00:00:00"/>
        <d v="2022-01-19T00:00:00"/>
        <d v="2023-11-11T00:00:00"/>
        <d v="2022-02-21T00:00:00"/>
        <d v="2022-12-23T00:00:00"/>
        <d v="2022-11-25T00:00:00"/>
        <d v="2022-05-14T00:00:00"/>
        <d v="2022-06-20T00:00:00"/>
        <d v="2022-05-03T00:00:00"/>
        <d v="2022-11-03T00:00:00"/>
        <d v="2022-04-28T00:00:00"/>
        <d v="2022-12-22T00:00:00"/>
        <d v="2023-01-23T00:00:00"/>
        <d v="2023-01-19T00:00:00"/>
        <d v="2023-11-21T00:00:00"/>
        <d v="2023-01-15T00:00:00"/>
        <d v="2022-08-27T00:00:00"/>
        <d v="2022-03-20T00:00:00"/>
        <d v="2022-01-03T00:00:00"/>
        <d v="2022-02-26T00:00:00"/>
        <d v="2022-04-26T00:00:00"/>
        <d v="2022-03-31T00:00:00"/>
        <d v="2023-09-22T00:00:00"/>
        <d v="2022-07-13T00:00:00"/>
        <d v="2023-04-18T00:00:00"/>
        <d v="2022-04-07T00:00:00"/>
        <d v="2023-01-04T00:00:00"/>
        <d v="2023-11-18T00:00:00"/>
        <d v="2022-01-25T00:00:00"/>
        <d v="2022-06-02T00:00:00"/>
        <d v="2022-03-24T00:00:00"/>
        <d v="2022-05-08T00:00:00"/>
        <d v="2023-02-11T00:00:00"/>
        <d v="2023-02-04T00:00:00"/>
        <d v="2022-03-17T00:00:00"/>
        <d v="2022-09-26T00:00:00"/>
        <d v="2023-01-14T00:00:00"/>
        <d v="2023-08-13T00:00:00"/>
        <d v="2022-03-15T00:00:00"/>
        <d v="2023-09-27T00:00:00"/>
        <d v="2023-03-03T00:00:00"/>
        <d v="2022-12-14T00:00:00"/>
        <d v="2022-02-01T00:00:00"/>
        <d v="2022-11-28T00:00:00"/>
        <d v="2022-06-17T00:00:00"/>
        <d v="2023-11-04T00:00:00"/>
        <d v="2022-02-16T00:00:00"/>
        <d v="2023-10-02T00:00:00"/>
        <d v="2023-03-28T00:00:00"/>
        <d v="2022-04-30T00:00:00"/>
        <d v="2023-02-08T00:00:00"/>
        <d v="2022-07-07T00:00:00"/>
        <d v="2022-05-22T00:00:00"/>
        <d v="2022-09-27T00:00:00"/>
        <d v="2022-06-03T00:00:00"/>
        <d v="2023-03-11T00:00:00"/>
        <d v="2023-09-19T00:00:00"/>
        <d v="2023-07-05T00:00:00"/>
        <d v="2023-12-23T00:00:00"/>
        <d v="2023-10-28T00:00:00"/>
        <d v="2022-04-09T00:00:00"/>
        <d v="2023-12-17T00:00:00"/>
        <d v="2023-08-07T00:00:00"/>
        <d v="2022-10-25T00:00:00"/>
        <d v="2022-09-20T00:00:00"/>
        <d v="2023-04-11T00:00:00"/>
        <d v="2023-05-19T00:00:00"/>
        <d v="2022-05-31T00:00:00"/>
        <d v="2023-10-25T00:00:00"/>
        <d v="2022-08-06T00:00:00"/>
        <d v="2023-07-17T00:00:00"/>
        <d v="2022-05-12T00:00:00"/>
        <d v="2023-05-24T00:00:00"/>
        <d v="2023-09-07T00:00:00"/>
        <d v="2022-12-02T00:00:00"/>
        <d v="2022-12-20T00:00:00"/>
        <d v="2023-10-20T00:00:00"/>
        <d v="2023-12-29T00:00:00"/>
        <d v="2022-11-26T00:00:00"/>
        <d v="2022-12-03T00:00:00"/>
        <d v="2022-09-18T00:00:00"/>
        <d v="2022-09-01T00:00:00"/>
        <d v="2023-11-28T00:00:00"/>
        <d v="2022-12-28T00:00:00"/>
        <d v="2022-09-10T00:00:00"/>
        <d v="2022-09-24T00:00:00"/>
        <d v="2023-11-23T00:00:00"/>
        <d v="2022-09-04T00:00:00"/>
        <d v="2023-09-25T00:00:00"/>
        <d v="2022-10-23T00:00:00"/>
        <d v="2022-11-24T00:00:00"/>
        <d v="2022-10-05T00:00:00"/>
        <d v="2022-10-02T00:00:00"/>
        <d v="2022-10-07T00:00:00"/>
        <d v="2023-10-21T00:00:00"/>
        <d v="2022-10-22T00:00:00"/>
        <d v="2022-12-24T00:00:00"/>
        <d v="2022-11-19T00:00:00"/>
        <d v="2022-10-15T00:00:00"/>
        <d v="2023-09-02T00:00:00"/>
        <d v="2023-10-24T00:00:00"/>
        <d v="2023-11-03T00:00:00"/>
        <d v="2023-10-04T00:00:00"/>
        <d v="2023-12-15T00:00:00"/>
        <d v="2022-12-19T00:00:00"/>
        <d v="2022-10-17T00:00:00"/>
        <d v="2023-10-10T00:00:00"/>
        <d v="2022-12-09T00:00:00"/>
        <d v="2022-11-06T00:00:00"/>
        <d v="2022-12-05T00:00:00"/>
        <d v="2022-12-13T00:00:00"/>
        <d v="2022-09-06T00:00:00"/>
      </sharedItems>
      <fieldGroup par="15"/>
    </cacheField>
    <cacheField name="sale_time" numFmtId="164">
      <sharedItems containsSemiMixedTypes="0" containsNonDate="0" containsDate="1" containsString="0" minDate="1899-12-30T06:01:00" maxDate="1899-12-30T23:00:00"/>
    </cacheField>
    <cacheField name="customer_id" numFmtId="0">
      <sharedItems count="155">
        <s v="117"/>
        <s v="52"/>
        <s v="5"/>
        <s v="85"/>
        <s v="48"/>
        <s v="49"/>
        <s v="144"/>
        <s v="54"/>
        <s v="66"/>
        <s v="6"/>
        <s v="120"/>
        <s v="58"/>
        <s v="59"/>
        <s v="102"/>
        <s v="137"/>
        <s v="1"/>
        <s v="150"/>
        <s v="50"/>
        <s v="82"/>
        <s v="12"/>
        <s v="98"/>
        <s v="123"/>
        <s v="68"/>
        <s v="17"/>
        <s v="16"/>
        <s v="130"/>
        <s v="67"/>
        <s v="89"/>
        <s v="25"/>
        <s v="77"/>
        <s v="94"/>
        <s v="116"/>
        <s v="101"/>
        <s v="147"/>
        <s v="15"/>
        <s v="145"/>
        <s v="72"/>
        <s v="115"/>
        <s v="57"/>
        <s v="128"/>
        <s v="23"/>
        <s v="71"/>
        <s v="88"/>
        <s v="114"/>
        <s v="24"/>
        <s v="135"/>
        <s v="80"/>
        <s v="22"/>
        <s v="62"/>
        <s v="39"/>
        <s v="44"/>
        <s v="41"/>
        <s v="90"/>
        <s v="152"/>
        <s v="149"/>
        <s v="3"/>
        <s v="75"/>
        <s v="55"/>
        <s v="47"/>
        <s v="8"/>
        <s v="33"/>
        <s v="20"/>
        <s v="65"/>
        <s v="61"/>
        <s v="129"/>
        <s v="29"/>
        <s v="78"/>
        <s v="86"/>
        <s v="132"/>
        <s v="69"/>
        <s v="37"/>
        <s v="51"/>
        <s v="18"/>
        <s v="31"/>
        <s v="104"/>
        <s v="28"/>
        <s v="143"/>
        <s v="138"/>
        <s v="139"/>
        <s v="7"/>
        <s v="122"/>
        <s v="81"/>
        <s v="146"/>
        <s v="106"/>
        <s v="27"/>
        <s v="97"/>
        <s v="26"/>
        <s v="136"/>
        <s v="118"/>
        <s v="40"/>
        <s v="87"/>
        <s v="111"/>
        <s v="46"/>
        <s v="56"/>
        <s v="13"/>
        <s v="10"/>
        <s v="119"/>
        <s v="42"/>
        <s v="2"/>
        <s v="125"/>
        <s v="121"/>
        <s v="105"/>
        <s v="127"/>
        <s v="21"/>
        <s v="76"/>
        <s v="43"/>
        <s v="151"/>
        <s v="155"/>
        <s v="93"/>
        <s v="95"/>
        <s v="134"/>
        <s v="60"/>
        <s v="63"/>
        <s v="142"/>
        <s v="38"/>
        <s v="36"/>
        <s v="112"/>
        <s v="45"/>
        <s v="70"/>
        <s v="74"/>
        <s v="32"/>
        <s v="148"/>
        <s v="107"/>
        <s v="99"/>
        <s v="9"/>
        <s v="11"/>
        <s v="30"/>
        <s v="124"/>
        <s v="141"/>
        <s v="153"/>
        <s v="113"/>
        <s v="96"/>
        <s v="53"/>
        <s v="4"/>
        <s v="14"/>
        <s v="131"/>
        <s v="109"/>
        <s v="35"/>
        <s v="133"/>
        <s v="103"/>
        <s v="110"/>
        <s v="64"/>
        <s v="140"/>
        <s v="19"/>
        <s v="34"/>
        <s v="108"/>
        <s v="92"/>
        <s v="91"/>
        <s v="83"/>
        <s v="126"/>
        <s v="84"/>
        <s v="100"/>
        <s v="73"/>
        <s v="154"/>
        <s v="79"/>
      </sharedItems>
    </cacheField>
    <cacheField name="gender" numFmtId="0">
      <sharedItems count="2">
        <s v="Male"/>
        <s v="Female"/>
      </sharedItems>
    </cacheField>
    <cacheField name="age" numFmtId="0">
      <sharedItems containsString="0" containsBlank="1" containsNumber="1" containsInteger="1" minValue="18" maxValue="64"/>
    </cacheField>
    <cacheField name="category" numFmtId="0">
      <sharedItems count="3">
        <s v="Clothing"/>
        <s v="Beauty"/>
        <s v="Electronics"/>
      </sharedItems>
    </cacheField>
    <cacheField name="quantiy" numFmtId="0">
      <sharedItems containsSemiMixedTypes="0" containsString="0" containsNumber="1" containsInteger="1" minValue="1" maxValue="4"/>
    </cacheField>
    <cacheField name="price_per_unit" numFmtId="0">
      <sharedItems containsSemiMixedTypes="0" containsString="0" containsNumber="1" containsInteger="1" minValue="25" maxValue="500"/>
    </cacheField>
    <cacheField name="cogs" numFmtId="0">
      <sharedItems containsSemiMixedTypes="0" containsString="0" containsNumber="1" minValue="6.25" maxValue="620"/>
    </cacheField>
    <cacheField name="total_sale" numFmtId="0">
      <sharedItems containsSemiMixedTypes="0" containsString="0" containsNumber="1" containsInteger="1" minValue="25" maxValue="2000"/>
    </cacheField>
    <cacheField name="Profit" numFmtId="0">
      <sharedItems containsSemiMixedTypes="0" containsString="0" containsNumber="1" minValue="-120" maxValue="1875"/>
    </cacheField>
    <cacheField name="Profit_margin" numFmtId="0">
      <sharedItems containsSemiMixedTypes="0" containsString="0" containsNumber="1" minValue="-0.25" maxValue="0.9375"/>
    </cacheField>
    <cacheField name="Age_group" numFmtId="0">
      <sharedItems count="6">
        <s v="36-45"/>
        <s v="46-55"/>
        <s v="56+"/>
        <s v="18-25"/>
        <s v="26-35"/>
        <s v="Unknown"/>
      </sharedItems>
    </cacheField>
    <cacheField name="Months (sale_date)" numFmtId="0" databaseField="0">
      <fieldGroup base="1">
        <rangePr groupBy="months" startDate="2022-01-01T00:00:00" endDate="2024-01-01T00:00:00"/>
        <groupItems count="14">
          <s v="&lt;1/1/2022"/>
          <s v="Jan"/>
          <s v="Feb"/>
          <s v="Mar"/>
          <s v="Apr"/>
          <s v="May"/>
          <s v="Jun"/>
          <s v="Jul"/>
          <s v="Aug"/>
          <s v="Sep"/>
          <s v="Oct"/>
          <s v="Nov"/>
          <s v="Dec"/>
          <s v="&gt;1/1/2024"/>
        </groupItems>
      </fieldGroup>
    </cacheField>
    <cacheField name="Years (sale_date)" numFmtId="0" databaseField="0">
      <fieldGroup base="1">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2115679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7">
  <r>
    <n v="180"/>
    <x v="0"/>
    <d v="1899-12-30T10:47:00"/>
    <x v="0"/>
    <x v="0"/>
    <n v="41"/>
    <x v="0"/>
    <n v="3"/>
    <n v="300"/>
    <n v="129"/>
    <n v="900"/>
    <n v="771"/>
    <n v="0.85666666666666669"/>
    <x v="0"/>
  </r>
  <r>
    <n v="522"/>
    <x v="1"/>
    <d v="1899-12-30T11:00:00"/>
    <x v="1"/>
    <x v="0"/>
    <n v="46"/>
    <x v="1"/>
    <n v="3"/>
    <n v="500"/>
    <n v="145"/>
    <n v="1500"/>
    <n v="1355"/>
    <n v="0.90333333333333332"/>
    <x v="1"/>
  </r>
  <r>
    <n v="559"/>
    <x v="2"/>
    <d v="1899-12-30T10:48:00"/>
    <x v="2"/>
    <x v="1"/>
    <n v="40"/>
    <x v="0"/>
    <n v="4"/>
    <n v="300"/>
    <n v="84"/>
    <n v="1200"/>
    <n v="1116"/>
    <n v="0.93"/>
    <x v="0"/>
  </r>
  <r>
    <n v="1180"/>
    <x v="3"/>
    <d v="1899-12-30T08:53:00"/>
    <x v="3"/>
    <x v="0"/>
    <n v="41"/>
    <x v="0"/>
    <n v="3"/>
    <n v="300"/>
    <n v="129"/>
    <n v="900"/>
    <n v="771"/>
    <n v="0.85666666666666669"/>
    <x v="0"/>
  </r>
  <r>
    <n v="1522"/>
    <x v="4"/>
    <d v="1899-12-30T08:35:00"/>
    <x v="4"/>
    <x v="0"/>
    <n v="46"/>
    <x v="1"/>
    <n v="3"/>
    <n v="500"/>
    <n v="235"/>
    <n v="1500"/>
    <n v="1265"/>
    <n v="0.84333333333333338"/>
    <x v="1"/>
  </r>
  <r>
    <n v="1559"/>
    <x v="5"/>
    <d v="1899-12-30T07:40:00"/>
    <x v="5"/>
    <x v="1"/>
    <n v="40"/>
    <x v="0"/>
    <n v="4"/>
    <n v="300"/>
    <n v="144"/>
    <n v="1200"/>
    <n v="1056"/>
    <n v="0.88"/>
    <x v="0"/>
  </r>
  <r>
    <n v="163"/>
    <x v="6"/>
    <d v="1899-12-30T09:38:00"/>
    <x v="6"/>
    <x v="1"/>
    <n v="64"/>
    <x v="0"/>
    <n v="3"/>
    <n v="50"/>
    <n v="23"/>
    <n v="150"/>
    <n v="127"/>
    <n v="0.84666666666666668"/>
    <x v="2"/>
  </r>
  <r>
    <n v="303"/>
    <x v="7"/>
    <d v="1899-12-30T11:09:00"/>
    <x v="7"/>
    <x v="0"/>
    <n v="19"/>
    <x v="2"/>
    <n v="3"/>
    <n v="30"/>
    <n v="14.7"/>
    <n v="90"/>
    <n v="75.3"/>
    <n v="0.83666666666666667"/>
    <x v="3"/>
  </r>
  <r>
    <n v="421"/>
    <x v="8"/>
    <d v="1899-12-30T08:43:00"/>
    <x v="8"/>
    <x v="1"/>
    <n v="37"/>
    <x v="0"/>
    <n v="3"/>
    <n v="500"/>
    <n v="235"/>
    <n v="1500"/>
    <n v="1265"/>
    <n v="0.84333333333333338"/>
    <x v="0"/>
  </r>
  <r>
    <n v="979"/>
    <x v="9"/>
    <d v="1899-12-30T10:18:00"/>
    <x v="9"/>
    <x v="1"/>
    <n v="19"/>
    <x v="1"/>
    <n v="1"/>
    <n v="25"/>
    <n v="10.5"/>
    <n v="25"/>
    <n v="14.5"/>
    <n v="0.57999999999999996"/>
    <x v="3"/>
  </r>
  <r>
    <n v="1163"/>
    <x v="10"/>
    <d v="1899-12-30T10:52:00"/>
    <x v="10"/>
    <x v="1"/>
    <n v="64"/>
    <x v="0"/>
    <n v="3"/>
    <n v="50"/>
    <n v="27"/>
    <n v="150"/>
    <n v="123"/>
    <n v="0.82"/>
    <x v="2"/>
  </r>
  <r>
    <n v="1303"/>
    <x v="11"/>
    <d v="1899-12-30T08:59:00"/>
    <x v="11"/>
    <x v="0"/>
    <n v="19"/>
    <x v="2"/>
    <n v="3"/>
    <n v="30"/>
    <n v="15"/>
    <n v="90"/>
    <n v="75"/>
    <n v="0.83333333333333337"/>
    <x v="3"/>
  </r>
  <r>
    <n v="1421"/>
    <x v="12"/>
    <d v="1899-12-30T07:07:00"/>
    <x v="12"/>
    <x v="1"/>
    <n v="37"/>
    <x v="0"/>
    <n v="3"/>
    <n v="500"/>
    <n v="185"/>
    <n v="1500"/>
    <n v="1315"/>
    <n v="0.87666666666666671"/>
    <x v="0"/>
  </r>
  <r>
    <n v="1979"/>
    <x v="13"/>
    <d v="1899-12-30T11:34:00"/>
    <x v="13"/>
    <x v="1"/>
    <n v="19"/>
    <x v="1"/>
    <n v="1"/>
    <n v="25"/>
    <n v="7.75"/>
    <n v="25"/>
    <n v="17.25"/>
    <n v="0.69"/>
    <x v="3"/>
  </r>
  <r>
    <n v="610"/>
    <x v="14"/>
    <d v="1899-12-30T06:56:00"/>
    <x v="14"/>
    <x v="1"/>
    <n v="26"/>
    <x v="1"/>
    <n v="2"/>
    <n v="300"/>
    <n v="93"/>
    <n v="600"/>
    <n v="507"/>
    <n v="0.84499999999999997"/>
    <x v="4"/>
  </r>
  <r>
    <n v="1610"/>
    <x v="15"/>
    <d v="1899-12-30T10:18:00"/>
    <x v="15"/>
    <x v="1"/>
    <n v="26"/>
    <x v="1"/>
    <n v="2"/>
    <n v="300"/>
    <n v="102"/>
    <n v="600"/>
    <n v="498"/>
    <n v="0.83"/>
    <x v="4"/>
  </r>
  <r>
    <n v="32"/>
    <x v="16"/>
    <d v="1899-12-30T09:11:00"/>
    <x v="16"/>
    <x v="0"/>
    <n v="30"/>
    <x v="1"/>
    <n v="3"/>
    <n v="30"/>
    <n v="8.4"/>
    <n v="90"/>
    <n v="81.599999999999994"/>
    <n v="0.90666666666666662"/>
    <x v="4"/>
  </r>
  <r>
    <n v="231"/>
    <x v="1"/>
    <d v="1899-12-30T07:02:00"/>
    <x v="17"/>
    <x v="1"/>
    <n v="23"/>
    <x v="0"/>
    <n v="3"/>
    <n v="50"/>
    <n v="26.5"/>
    <n v="150"/>
    <n v="123.5"/>
    <n v="0.82333333333333336"/>
    <x v="3"/>
  </r>
  <r>
    <n v="683"/>
    <x v="17"/>
    <d v="1899-12-30T10:22:00"/>
    <x v="18"/>
    <x v="0"/>
    <n v="38"/>
    <x v="1"/>
    <n v="2"/>
    <n v="500"/>
    <n v="175"/>
    <n v="1000"/>
    <n v="825"/>
    <n v="0.82499999999999996"/>
    <x v="0"/>
  </r>
  <r>
    <n v="1032"/>
    <x v="18"/>
    <d v="1899-12-30T08:15:00"/>
    <x v="15"/>
    <x v="0"/>
    <n v="30"/>
    <x v="1"/>
    <n v="3"/>
    <n v="30"/>
    <n v="10.5"/>
    <n v="90"/>
    <n v="79.5"/>
    <n v="0.8833333333333333"/>
    <x v="4"/>
  </r>
  <r>
    <n v="1231"/>
    <x v="19"/>
    <d v="1899-12-30T07:05:00"/>
    <x v="19"/>
    <x v="1"/>
    <n v="23"/>
    <x v="0"/>
    <n v="3"/>
    <n v="50"/>
    <n v="23"/>
    <n v="150"/>
    <n v="127"/>
    <n v="0.84666666666666668"/>
    <x v="3"/>
  </r>
  <r>
    <n v="1683"/>
    <x v="10"/>
    <d v="1899-12-30T07:19:00"/>
    <x v="20"/>
    <x v="0"/>
    <n v="38"/>
    <x v="1"/>
    <n v="2"/>
    <n v="500"/>
    <n v="220"/>
    <n v="1000"/>
    <n v="780"/>
    <n v="0.78"/>
    <x v="0"/>
  </r>
  <r>
    <n v="367"/>
    <x v="20"/>
    <d v="1899-12-30T07:03:00"/>
    <x v="21"/>
    <x v="1"/>
    <n v="57"/>
    <x v="2"/>
    <n v="1"/>
    <n v="50"/>
    <n v="18"/>
    <n v="50"/>
    <n v="32"/>
    <n v="0.64"/>
    <x v="2"/>
  </r>
  <r>
    <n v="391"/>
    <x v="21"/>
    <d v="1899-12-30T07:37:00"/>
    <x v="22"/>
    <x v="0"/>
    <n v="19"/>
    <x v="1"/>
    <n v="2"/>
    <n v="25"/>
    <n v="6.25"/>
    <n v="50"/>
    <n v="43.75"/>
    <n v="0.875"/>
    <x v="3"/>
  </r>
  <r>
    <n v="432"/>
    <x v="22"/>
    <d v="1899-12-30T11:31:00"/>
    <x v="23"/>
    <x v="1"/>
    <m/>
    <x v="2"/>
    <n v="2"/>
    <n v="500"/>
    <n v="190"/>
    <n v="1000"/>
    <n v="810"/>
    <n v="0.81"/>
    <x v="5"/>
  </r>
  <r>
    <n v="1367"/>
    <x v="23"/>
    <d v="1899-12-30T11:38:00"/>
    <x v="24"/>
    <x v="1"/>
    <m/>
    <x v="2"/>
    <n v="1"/>
    <n v="50"/>
    <n v="15.5"/>
    <n v="50"/>
    <n v="34.5"/>
    <n v="0.69"/>
    <x v="5"/>
  </r>
  <r>
    <n v="1391"/>
    <x v="24"/>
    <d v="1899-12-30T11:29:00"/>
    <x v="25"/>
    <x v="0"/>
    <m/>
    <x v="1"/>
    <n v="2"/>
    <n v="25"/>
    <n v="9.25"/>
    <n v="50"/>
    <n v="40.75"/>
    <n v="0.81499999999999995"/>
    <x v="5"/>
  </r>
  <r>
    <n v="1432"/>
    <x v="25"/>
    <d v="1899-12-30T06:24:00"/>
    <x v="26"/>
    <x v="1"/>
    <m/>
    <x v="2"/>
    <n v="2"/>
    <n v="500"/>
    <n v="245"/>
    <n v="1000"/>
    <n v="755"/>
    <n v="0.755"/>
    <x v="5"/>
  </r>
  <r>
    <n v="150"/>
    <x v="26"/>
    <d v="1899-12-30T08:25:00"/>
    <x v="27"/>
    <x v="1"/>
    <m/>
    <x v="2"/>
    <n v="4"/>
    <n v="30"/>
    <n v="16.2"/>
    <n v="120"/>
    <n v="103.8"/>
    <n v="0.86499999999999999"/>
    <x v="5"/>
  </r>
  <r>
    <n v="845"/>
    <x v="27"/>
    <d v="1899-12-30T10:12:00"/>
    <x v="28"/>
    <x v="0"/>
    <m/>
    <x v="0"/>
    <n v="1"/>
    <n v="500"/>
    <n v="145"/>
    <n v="500"/>
    <n v="355"/>
    <n v="0.71"/>
    <x v="5"/>
  </r>
  <r>
    <n v="1150"/>
    <x v="28"/>
    <d v="1899-12-30T10:04:00"/>
    <x v="29"/>
    <x v="1"/>
    <m/>
    <x v="2"/>
    <n v="4"/>
    <n v="30"/>
    <n v="10.199999999999999"/>
    <n v="120"/>
    <n v="109.8"/>
    <n v="0.91499999999999992"/>
    <x v="5"/>
  </r>
  <r>
    <n v="1845"/>
    <x v="29"/>
    <d v="1899-12-30T07:06:00"/>
    <x v="30"/>
    <x v="0"/>
    <m/>
    <x v="0"/>
    <n v="1"/>
    <n v="500"/>
    <n v="185"/>
    <n v="500"/>
    <n v="315"/>
    <n v="0.63"/>
    <x v="5"/>
  </r>
  <r>
    <n v="797"/>
    <x v="30"/>
    <d v="1899-12-30T06:38:00"/>
    <x v="31"/>
    <x v="0"/>
    <m/>
    <x v="0"/>
    <n v="3"/>
    <n v="25"/>
    <n v="10.75"/>
    <n v="75"/>
    <n v="64.25"/>
    <n v="0.85666666666666669"/>
    <x v="5"/>
  </r>
  <r>
    <n v="921"/>
    <x v="31"/>
    <d v="1899-12-30T09:34:00"/>
    <x v="32"/>
    <x v="0"/>
    <m/>
    <x v="2"/>
    <n v="3"/>
    <n v="25"/>
    <n v="8"/>
    <n v="75"/>
    <n v="67"/>
    <n v="0.89333333333333331"/>
    <x v="5"/>
  </r>
  <r>
    <n v="1797"/>
    <x v="32"/>
    <d v="1899-12-30T11:47:00"/>
    <x v="33"/>
    <x v="0"/>
    <n v="40"/>
    <x v="0"/>
    <n v="3"/>
    <n v="25"/>
    <n v="12.25"/>
    <n v="75"/>
    <n v="62.75"/>
    <n v="0.83666666666666667"/>
    <x v="0"/>
  </r>
  <r>
    <n v="1921"/>
    <x v="33"/>
    <d v="1899-12-30T07:01:00"/>
    <x v="29"/>
    <x v="0"/>
    <n v="51"/>
    <x v="2"/>
    <n v="3"/>
    <n v="25"/>
    <n v="7.5"/>
    <n v="75"/>
    <n v="67.5"/>
    <n v="0.9"/>
    <x v="1"/>
  </r>
  <r>
    <n v="291"/>
    <x v="34"/>
    <d v="1899-12-30T08:29:00"/>
    <x v="34"/>
    <x v="0"/>
    <n v="60"/>
    <x v="0"/>
    <n v="2"/>
    <n v="300"/>
    <n v="126"/>
    <n v="600"/>
    <n v="474"/>
    <n v="0.79"/>
    <x v="2"/>
  </r>
  <r>
    <n v="907"/>
    <x v="35"/>
    <d v="1899-12-30T06:16:00"/>
    <x v="35"/>
    <x v="1"/>
    <n v="45"/>
    <x v="2"/>
    <n v="1"/>
    <n v="25"/>
    <n v="8.5"/>
    <n v="25"/>
    <n v="16.5"/>
    <n v="0.66"/>
    <x v="0"/>
  </r>
  <r>
    <n v="1291"/>
    <x v="36"/>
    <d v="1899-12-30T11:19:00"/>
    <x v="36"/>
    <x v="0"/>
    <n v="60"/>
    <x v="0"/>
    <n v="2"/>
    <n v="300"/>
    <n v="153"/>
    <n v="600"/>
    <n v="447"/>
    <n v="0.745"/>
    <x v="2"/>
  </r>
  <r>
    <n v="1907"/>
    <x v="37"/>
    <d v="1899-12-30T11:21:00"/>
    <x v="37"/>
    <x v="1"/>
    <n v="45"/>
    <x v="2"/>
    <n v="1"/>
    <n v="25"/>
    <n v="9"/>
    <n v="25"/>
    <n v="16"/>
    <n v="0.64"/>
    <x v="0"/>
  </r>
  <r>
    <n v="860"/>
    <x v="38"/>
    <d v="1899-12-30T08:58:00"/>
    <x v="3"/>
    <x v="0"/>
    <n v="63"/>
    <x v="0"/>
    <n v="4"/>
    <n v="50"/>
    <n v="16"/>
    <n v="200"/>
    <n v="184"/>
    <n v="0.92"/>
    <x v="2"/>
  </r>
  <r>
    <n v="1860"/>
    <x v="39"/>
    <d v="1899-12-30T11:21:00"/>
    <x v="38"/>
    <x v="0"/>
    <n v="63"/>
    <x v="0"/>
    <n v="4"/>
    <n v="50"/>
    <n v="18"/>
    <n v="200"/>
    <n v="182"/>
    <n v="0.91"/>
    <x v="2"/>
  </r>
  <r>
    <n v="184"/>
    <x v="40"/>
    <d v="1899-12-30T06:44:00"/>
    <x v="39"/>
    <x v="0"/>
    <n v="31"/>
    <x v="2"/>
    <n v="4"/>
    <n v="50"/>
    <n v="17"/>
    <n v="200"/>
    <n v="183"/>
    <n v="0.91500000000000004"/>
    <x v="4"/>
  </r>
  <r>
    <n v="734"/>
    <x v="39"/>
    <d v="1899-12-30T08:54:00"/>
    <x v="29"/>
    <x v="1"/>
    <n v="27"/>
    <x v="0"/>
    <n v="1"/>
    <n v="30"/>
    <n v="15.6"/>
    <n v="30"/>
    <n v="14.4"/>
    <n v="0.48000000000000004"/>
    <x v="4"/>
  </r>
  <r>
    <n v="1184"/>
    <x v="41"/>
    <d v="1899-12-30T08:28:00"/>
    <x v="40"/>
    <x v="0"/>
    <n v="31"/>
    <x v="2"/>
    <n v="4"/>
    <n v="50"/>
    <n v="27.5"/>
    <n v="200"/>
    <n v="172.5"/>
    <n v="0.86250000000000004"/>
    <x v="4"/>
  </r>
  <r>
    <n v="1734"/>
    <x v="42"/>
    <d v="1899-12-30T08:58:00"/>
    <x v="36"/>
    <x v="1"/>
    <n v="27"/>
    <x v="0"/>
    <n v="1"/>
    <n v="30"/>
    <n v="14.4"/>
    <n v="30"/>
    <n v="15.6"/>
    <n v="0.52"/>
    <x v="4"/>
  </r>
  <r>
    <n v="225"/>
    <x v="43"/>
    <d v="1899-12-30T07:37:00"/>
    <x v="3"/>
    <x v="1"/>
    <n v="57"/>
    <x v="1"/>
    <n v="4"/>
    <n v="25"/>
    <n v="12.75"/>
    <n v="100"/>
    <n v="87.25"/>
    <n v="0.87250000000000005"/>
    <x v="2"/>
  </r>
  <r>
    <n v="1679"/>
    <x v="44"/>
    <d v="1899-12-30T08:08:00"/>
    <x v="41"/>
    <x v="1"/>
    <n v="18"/>
    <x v="1"/>
    <n v="3"/>
    <n v="30"/>
    <n v="15.3"/>
    <n v="90"/>
    <n v="74.7"/>
    <n v="0.83000000000000007"/>
    <x v="3"/>
  </r>
  <r>
    <n v="1746"/>
    <x v="45"/>
    <d v="1899-12-30T07:59:00"/>
    <x v="42"/>
    <x v="1"/>
    <n v="33"/>
    <x v="0"/>
    <n v="3"/>
    <n v="30"/>
    <n v="10.8"/>
    <n v="90"/>
    <n v="79.2"/>
    <n v="0.88"/>
    <x v="4"/>
  </r>
  <r>
    <n v="3"/>
    <x v="46"/>
    <d v="1899-12-30T07:08:00"/>
    <x v="43"/>
    <x v="0"/>
    <n v="50"/>
    <x v="2"/>
    <n v="1"/>
    <n v="30"/>
    <n v="8.1"/>
    <n v="30"/>
    <n v="21.9"/>
    <n v="0.73"/>
    <x v="1"/>
  </r>
  <r>
    <n v="464"/>
    <x v="17"/>
    <d v="1899-12-30T11:13:00"/>
    <x v="44"/>
    <x v="0"/>
    <n v="38"/>
    <x v="2"/>
    <n v="2"/>
    <n v="300"/>
    <n v="75"/>
    <n v="600"/>
    <n v="525"/>
    <n v="0.875"/>
    <x v="0"/>
  </r>
  <r>
    <n v="484"/>
    <x v="47"/>
    <d v="1899-12-30T07:52:00"/>
    <x v="45"/>
    <x v="1"/>
    <n v="19"/>
    <x v="0"/>
    <n v="4"/>
    <n v="300"/>
    <n v="75"/>
    <n v="1200"/>
    <n v="1125"/>
    <n v="0.9375"/>
    <x v="3"/>
  </r>
  <r>
    <n v="591"/>
    <x v="48"/>
    <d v="1899-12-30T08:38:00"/>
    <x v="30"/>
    <x v="0"/>
    <n v="53"/>
    <x v="2"/>
    <n v="4"/>
    <n v="25"/>
    <n v="6.5"/>
    <n v="100"/>
    <n v="93.5"/>
    <n v="0.93500000000000005"/>
    <x v="1"/>
  </r>
  <r>
    <n v="1003"/>
    <x v="49"/>
    <d v="1899-12-30T07:59:00"/>
    <x v="46"/>
    <x v="0"/>
    <n v="50"/>
    <x v="2"/>
    <n v="1"/>
    <n v="30"/>
    <n v="15.9"/>
    <n v="30"/>
    <n v="14.1"/>
    <n v="0.47"/>
    <x v="1"/>
  </r>
  <r>
    <n v="1464"/>
    <x v="50"/>
    <d v="1899-12-30T10:06:00"/>
    <x v="46"/>
    <x v="0"/>
    <n v="38"/>
    <x v="2"/>
    <n v="2"/>
    <n v="300"/>
    <n v="126"/>
    <n v="600"/>
    <n v="474"/>
    <n v="0.79"/>
    <x v="0"/>
  </r>
  <r>
    <n v="1484"/>
    <x v="15"/>
    <d v="1899-12-30T09:29:00"/>
    <x v="47"/>
    <x v="1"/>
    <n v="19"/>
    <x v="0"/>
    <n v="4"/>
    <n v="300"/>
    <n v="147"/>
    <n v="1200"/>
    <n v="1053"/>
    <n v="0.87749999999999995"/>
    <x v="3"/>
  </r>
  <r>
    <n v="1591"/>
    <x v="51"/>
    <d v="1899-12-30T11:00:00"/>
    <x v="48"/>
    <x v="0"/>
    <n v="53"/>
    <x v="2"/>
    <n v="4"/>
    <n v="25"/>
    <n v="7"/>
    <n v="100"/>
    <n v="93"/>
    <n v="0.93"/>
    <x v="1"/>
  </r>
  <r>
    <n v="21"/>
    <x v="52"/>
    <d v="1899-12-30T07:33:00"/>
    <x v="12"/>
    <x v="1"/>
    <n v="50"/>
    <x v="1"/>
    <n v="1"/>
    <n v="500"/>
    <n v="275"/>
    <n v="500"/>
    <n v="225"/>
    <n v="0.45"/>
    <x v="1"/>
  </r>
  <r>
    <n v="708"/>
    <x v="53"/>
    <d v="1899-12-30T08:38:00"/>
    <x v="48"/>
    <x v="1"/>
    <n v="43"/>
    <x v="1"/>
    <n v="3"/>
    <n v="300"/>
    <n v="87"/>
    <n v="900"/>
    <n v="813"/>
    <n v="0.90333333333333332"/>
    <x v="0"/>
  </r>
  <r>
    <n v="713"/>
    <x v="32"/>
    <d v="1899-12-30T11:43:00"/>
    <x v="49"/>
    <x v="0"/>
    <n v="34"/>
    <x v="1"/>
    <n v="3"/>
    <n v="25"/>
    <n v="11.25"/>
    <n v="75"/>
    <n v="63.75"/>
    <n v="0.85"/>
    <x v="4"/>
  </r>
  <r>
    <n v="768"/>
    <x v="54"/>
    <d v="1899-12-30T06:50:00"/>
    <x v="11"/>
    <x v="1"/>
    <n v="24"/>
    <x v="1"/>
    <n v="3"/>
    <n v="25"/>
    <n v="10.5"/>
    <n v="75"/>
    <n v="64.5"/>
    <n v="0.86"/>
    <x v="3"/>
  </r>
  <r>
    <n v="1021"/>
    <x v="55"/>
    <d v="1899-12-30T10:19:00"/>
    <x v="50"/>
    <x v="1"/>
    <n v="50"/>
    <x v="1"/>
    <n v="1"/>
    <n v="500"/>
    <n v="155"/>
    <n v="500"/>
    <n v="345"/>
    <n v="0.69"/>
    <x v="1"/>
  </r>
  <r>
    <n v="1708"/>
    <x v="33"/>
    <d v="1899-12-30T07:47:00"/>
    <x v="51"/>
    <x v="1"/>
    <n v="43"/>
    <x v="1"/>
    <n v="3"/>
    <n v="300"/>
    <n v="162"/>
    <n v="900"/>
    <n v="738"/>
    <n v="0.82"/>
    <x v="0"/>
  </r>
  <r>
    <n v="1713"/>
    <x v="56"/>
    <d v="1899-12-30T10:10:00"/>
    <x v="52"/>
    <x v="0"/>
    <n v="34"/>
    <x v="1"/>
    <n v="3"/>
    <n v="25"/>
    <n v="10.75"/>
    <n v="75"/>
    <n v="64.25"/>
    <n v="0.85666666666666669"/>
    <x v="4"/>
  </r>
  <r>
    <n v="1768"/>
    <x v="57"/>
    <d v="1899-12-30T09:52:00"/>
    <x v="3"/>
    <x v="1"/>
    <n v="24"/>
    <x v="1"/>
    <n v="3"/>
    <n v="25"/>
    <n v="8.75"/>
    <n v="75"/>
    <n v="66.25"/>
    <n v="0.8833333333333333"/>
    <x v="3"/>
  </r>
  <r>
    <n v="499"/>
    <x v="58"/>
    <d v="1899-12-30T10:52:00"/>
    <x v="34"/>
    <x v="0"/>
    <n v="46"/>
    <x v="1"/>
    <n v="2"/>
    <n v="30"/>
    <n v="16.5"/>
    <n v="60"/>
    <n v="43.5"/>
    <n v="0.72499999999999998"/>
    <x v="1"/>
  </r>
  <r>
    <n v="697"/>
    <x v="25"/>
    <d v="1899-12-30T07:52:00"/>
    <x v="53"/>
    <x v="0"/>
    <n v="53"/>
    <x v="0"/>
    <n v="1"/>
    <n v="500"/>
    <n v="200"/>
    <n v="500"/>
    <n v="300"/>
    <n v="0.6"/>
    <x v="1"/>
  </r>
  <r>
    <n v="831"/>
    <x v="59"/>
    <d v="1899-12-30T11:49:00"/>
    <x v="54"/>
    <x v="0"/>
    <n v="27"/>
    <x v="2"/>
    <n v="4"/>
    <n v="25"/>
    <n v="13.75"/>
    <n v="100"/>
    <n v="86.25"/>
    <n v="0.86250000000000004"/>
    <x v="4"/>
  </r>
  <r>
    <n v="1499"/>
    <x v="44"/>
    <d v="1899-12-30T09:46:00"/>
    <x v="55"/>
    <x v="0"/>
    <n v="46"/>
    <x v="1"/>
    <n v="2"/>
    <n v="30"/>
    <n v="11.7"/>
    <n v="60"/>
    <n v="48.3"/>
    <n v="0.80499999999999994"/>
    <x v="1"/>
  </r>
  <r>
    <n v="1697"/>
    <x v="14"/>
    <d v="1899-12-30T08:22:00"/>
    <x v="7"/>
    <x v="0"/>
    <n v="53"/>
    <x v="0"/>
    <n v="1"/>
    <n v="500"/>
    <n v="265"/>
    <n v="500"/>
    <n v="235"/>
    <n v="0.47"/>
    <x v="1"/>
  </r>
  <r>
    <n v="1831"/>
    <x v="60"/>
    <d v="1899-12-30T10:54:00"/>
    <x v="46"/>
    <x v="0"/>
    <n v="27"/>
    <x v="2"/>
    <n v="4"/>
    <n v="25"/>
    <n v="6.5"/>
    <n v="100"/>
    <n v="93.5"/>
    <n v="0.93500000000000005"/>
    <x v="4"/>
  </r>
  <r>
    <n v="15"/>
    <x v="61"/>
    <d v="1899-12-30T11:50:00"/>
    <x v="56"/>
    <x v="1"/>
    <n v="42"/>
    <x v="2"/>
    <n v="4"/>
    <n v="500"/>
    <n v="210"/>
    <n v="2000"/>
    <n v="1790"/>
    <n v="0.89500000000000002"/>
    <x v="0"/>
  </r>
  <r>
    <n v="743"/>
    <x v="62"/>
    <d v="1899-12-30T07:54:00"/>
    <x v="57"/>
    <x v="1"/>
    <n v="34"/>
    <x v="1"/>
    <n v="4"/>
    <n v="500"/>
    <n v="260"/>
    <n v="2000"/>
    <n v="1740"/>
    <n v="0.87"/>
    <x v="4"/>
  </r>
  <r>
    <n v="1015"/>
    <x v="63"/>
    <d v="1899-12-30T11:53:00"/>
    <x v="30"/>
    <x v="1"/>
    <n v="42"/>
    <x v="2"/>
    <n v="4"/>
    <n v="500"/>
    <n v="200"/>
    <n v="2000"/>
    <n v="1800"/>
    <n v="0.9"/>
    <x v="0"/>
  </r>
  <r>
    <n v="1743"/>
    <x v="64"/>
    <d v="1899-12-30T09:37:00"/>
    <x v="58"/>
    <x v="1"/>
    <n v="34"/>
    <x v="1"/>
    <n v="4"/>
    <n v="500"/>
    <n v="250"/>
    <n v="2000"/>
    <n v="1750"/>
    <n v="0.875"/>
    <x v="4"/>
  </r>
  <r>
    <n v="14"/>
    <x v="9"/>
    <d v="1899-12-30T07:11:00"/>
    <x v="59"/>
    <x v="0"/>
    <n v="64"/>
    <x v="0"/>
    <n v="4"/>
    <n v="30"/>
    <n v="13.2"/>
    <n v="120"/>
    <n v="106.8"/>
    <n v="0.89"/>
    <x v="2"/>
  </r>
  <r>
    <n v="103"/>
    <x v="65"/>
    <d v="1899-12-30T10:05:00"/>
    <x v="60"/>
    <x v="1"/>
    <n v="59"/>
    <x v="0"/>
    <n v="1"/>
    <n v="25"/>
    <n v="10.75"/>
    <n v="25"/>
    <n v="14.25"/>
    <n v="0.56999999999999995"/>
    <x v="2"/>
  </r>
  <r>
    <n v="238"/>
    <x v="66"/>
    <d v="1899-12-30T11:52:00"/>
    <x v="61"/>
    <x v="1"/>
    <n v="39"/>
    <x v="1"/>
    <n v="1"/>
    <n v="500"/>
    <n v="150"/>
    <n v="500"/>
    <n v="350"/>
    <n v="0.7"/>
    <x v="0"/>
  </r>
  <r>
    <n v="986"/>
    <x v="67"/>
    <d v="1899-12-30T09:35:00"/>
    <x v="62"/>
    <x v="1"/>
    <n v="49"/>
    <x v="0"/>
    <n v="2"/>
    <n v="500"/>
    <n v="200"/>
    <n v="1000"/>
    <n v="800"/>
    <n v="0.8"/>
    <x v="1"/>
  </r>
  <r>
    <n v="1014"/>
    <x v="68"/>
    <d v="1899-12-30T10:26:00"/>
    <x v="33"/>
    <x v="0"/>
    <n v="64"/>
    <x v="0"/>
    <n v="4"/>
    <n v="30"/>
    <n v="11.4"/>
    <n v="120"/>
    <n v="108.6"/>
    <n v="0.90499999999999992"/>
    <x v="2"/>
  </r>
  <r>
    <n v="1103"/>
    <x v="69"/>
    <d v="1899-12-30T07:11:00"/>
    <x v="63"/>
    <x v="1"/>
    <n v="59"/>
    <x v="0"/>
    <n v="1"/>
    <n v="25"/>
    <n v="6.75"/>
    <n v="25"/>
    <n v="18.25"/>
    <n v="0.73"/>
    <x v="2"/>
  </r>
  <r>
    <n v="1238"/>
    <x v="70"/>
    <d v="1899-12-30T07:38:00"/>
    <x v="64"/>
    <x v="1"/>
    <n v="39"/>
    <x v="1"/>
    <n v="1"/>
    <n v="500"/>
    <n v="165"/>
    <n v="500"/>
    <n v="335"/>
    <n v="0.67"/>
    <x v="0"/>
  </r>
  <r>
    <n v="1986"/>
    <x v="71"/>
    <d v="1899-12-30T08:28:00"/>
    <x v="65"/>
    <x v="1"/>
    <n v="49"/>
    <x v="0"/>
    <n v="2"/>
    <n v="500"/>
    <n v="145"/>
    <n v="1000"/>
    <n v="855"/>
    <n v="0.85499999999999998"/>
    <x v="1"/>
  </r>
  <r>
    <n v="438"/>
    <x v="72"/>
    <d v="1899-12-30T10:15:00"/>
    <x v="42"/>
    <x v="1"/>
    <n v="42"/>
    <x v="0"/>
    <n v="1"/>
    <n v="30"/>
    <n v="15.9"/>
    <n v="30"/>
    <n v="14.1"/>
    <n v="0.47"/>
    <x v="0"/>
  </r>
  <r>
    <n v="1438"/>
    <x v="73"/>
    <d v="1899-12-30T10:00:00"/>
    <x v="36"/>
    <x v="1"/>
    <n v="42"/>
    <x v="0"/>
    <n v="1"/>
    <n v="30"/>
    <n v="13.8"/>
    <n v="30"/>
    <n v="16.2"/>
    <n v="0.53999999999999992"/>
    <x v="0"/>
  </r>
  <r>
    <n v="475"/>
    <x v="74"/>
    <d v="1899-12-30T10:39:00"/>
    <x v="66"/>
    <x v="0"/>
    <n v="26"/>
    <x v="0"/>
    <n v="3"/>
    <n v="25"/>
    <n v="9"/>
    <n v="75"/>
    <n v="66"/>
    <n v="0.88"/>
    <x v="4"/>
  </r>
  <r>
    <n v="505"/>
    <x v="75"/>
    <d v="1899-12-30T07:25:00"/>
    <x v="67"/>
    <x v="0"/>
    <n v="24"/>
    <x v="1"/>
    <n v="1"/>
    <n v="50"/>
    <n v="19.5"/>
    <n v="50"/>
    <n v="30.5"/>
    <n v="0.61"/>
    <x v="3"/>
  </r>
  <r>
    <n v="1475"/>
    <x v="76"/>
    <d v="1899-12-30T07:03:00"/>
    <x v="68"/>
    <x v="0"/>
    <n v="26"/>
    <x v="0"/>
    <n v="3"/>
    <n v="25"/>
    <n v="10.75"/>
    <n v="75"/>
    <n v="64.25"/>
    <n v="0.85666666666666669"/>
    <x v="4"/>
  </r>
  <r>
    <n v="1505"/>
    <x v="77"/>
    <d v="1899-12-30T08:00:00"/>
    <x v="20"/>
    <x v="0"/>
    <n v="24"/>
    <x v="1"/>
    <n v="1"/>
    <n v="50"/>
    <n v="14.5"/>
    <n v="50"/>
    <n v="35.5"/>
    <n v="0.71"/>
    <x v="3"/>
  </r>
  <r>
    <n v="344"/>
    <x v="78"/>
    <d v="1899-12-30T09:47:00"/>
    <x v="69"/>
    <x v="1"/>
    <n v="42"/>
    <x v="1"/>
    <n v="1"/>
    <n v="30"/>
    <n v="7.5"/>
    <n v="30"/>
    <n v="22.5"/>
    <n v="0.75"/>
    <x v="0"/>
  </r>
  <r>
    <n v="448"/>
    <x v="11"/>
    <d v="1899-12-30T09:36:00"/>
    <x v="67"/>
    <x v="1"/>
    <n v="54"/>
    <x v="1"/>
    <n v="2"/>
    <n v="30"/>
    <n v="16.2"/>
    <n v="60"/>
    <n v="43.8"/>
    <n v="0.73"/>
    <x v="1"/>
  </r>
  <r>
    <n v="742"/>
    <x v="11"/>
    <d v="1899-12-30T06:08:00"/>
    <x v="70"/>
    <x v="1"/>
    <n v="38"/>
    <x v="2"/>
    <n v="4"/>
    <n v="500"/>
    <n v="195"/>
    <n v="2000"/>
    <n v="1805"/>
    <n v="0.90249999999999997"/>
    <x v="0"/>
  </r>
  <r>
    <n v="1344"/>
    <x v="14"/>
    <d v="1899-12-30T06:12:00"/>
    <x v="6"/>
    <x v="1"/>
    <n v="42"/>
    <x v="1"/>
    <n v="1"/>
    <n v="30"/>
    <n v="11.1"/>
    <n v="30"/>
    <n v="18.899999999999999"/>
    <n v="0.63"/>
    <x v="0"/>
  </r>
  <r>
    <n v="1448"/>
    <x v="79"/>
    <d v="1899-12-30T06:28:00"/>
    <x v="71"/>
    <x v="1"/>
    <n v="54"/>
    <x v="1"/>
    <n v="2"/>
    <n v="30"/>
    <n v="9.3000000000000007"/>
    <n v="60"/>
    <n v="50.7"/>
    <n v="0.84500000000000008"/>
    <x v="1"/>
  </r>
  <r>
    <n v="1742"/>
    <x v="34"/>
    <d v="1899-12-30T08:25:00"/>
    <x v="72"/>
    <x v="1"/>
    <n v="38"/>
    <x v="2"/>
    <n v="4"/>
    <n v="500"/>
    <n v="220"/>
    <n v="2000"/>
    <n v="1780"/>
    <n v="0.89"/>
    <x v="0"/>
  </r>
  <r>
    <n v="445"/>
    <x v="80"/>
    <d v="1899-12-30T10:48:00"/>
    <x v="68"/>
    <x v="1"/>
    <n v="53"/>
    <x v="2"/>
    <n v="1"/>
    <n v="300"/>
    <n v="138"/>
    <n v="300"/>
    <n v="162"/>
    <n v="0.54"/>
    <x v="1"/>
  </r>
  <r>
    <n v="787"/>
    <x v="81"/>
    <d v="1899-12-30T10:42:00"/>
    <x v="28"/>
    <x v="0"/>
    <n v="41"/>
    <x v="2"/>
    <n v="1"/>
    <n v="25"/>
    <n v="13.75"/>
    <n v="25"/>
    <n v="11.25"/>
    <n v="0.45"/>
    <x v="0"/>
  </r>
  <r>
    <n v="1445"/>
    <x v="82"/>
    <d v="1899-12-30T06:16:00"/>
    <x v="73"/>
    <x v="1"/>
    <n v="53"/>
    <x v="2"/>
    <n v="1"/>
    <n v="300"/>
    <n v="129"/>
    <n v="300"/>
    <n v="171"/>
    <n v="0.56999999999999995"/>
    <x v="1"/>
  </r>
  <r>
    <n v="1787"/>
    <x v="83"/>
    <d v="1899-12-30T07:42:00"/>
    <x v="74"/>
    <x v="0"/>
    <n v="41"/>
    <x v="2"/>
    <n v="1"/>
    <n v="25"/>
    <n v="10"/>
    <n v="25"/>
    <n v="15"/>
    <n v="0.6"/>
    <x v="0"/>
  </r>
  <r>
    <n v="49"/>
    <x v="70"/>
    <d v="1899-12-30T10:33:00"/>
    <x v="70"/>
    <x v="1"/>
    <n v="54"/>
    <x v="2"/>
    <n v="2"/>
    <n v="500"/>
    <n v="255"/>
    <n v="1000"/>
    <n v="745"/>
    <n v="0.745"/>
    <x v="1"/>
  </r>
  <r>
    <n v="420"/>
    <x v="84"/>
    <d v="1899-12-30T10:53:00"/>
    <x v="75"/>
    <x v="1"/>
    <n v="22"/>
    <x v="0"/>
    <n v="4"/>
    <n v="500"/>
    <n v="200"/>
    <n v="2000"/>
    <n v="1800"/>
    <n v="0.9"/>
    <x v="3"/>
  </r>
  <r>
    <n v="519"/>
    <x v="8"/>
    <d v="1899-12-30T10:17:00"/>
    <x v="1"/>
    <x v="1"/>
    <n v="36"/>
    <x v="2"/>
    <n v="4"/>
    <n v="30"/>
    <n v="16.5"/>
    <n v="120"/>
    <n v="103.5"/>
    <n v="0.86250000000000004"/>
    <x v="0"/>
  </r>
  <r>
    <n v="1049"/>
    <x v="79"/>
    <d v="1899-12-30T06:36:00"/>
    <x v="76"/>
    <x v="1"/>
    <n v="54"/>
    <x v="2"/>
    <n v="2"/>
    <n v="500"/>
    <n v="125"/>
    <n v="1000"/>
    <n v="875"/>
    <n v="0.875"/>
    <x v="1"/>
  </r>
  <r>
    <n v="1420"/>
    <x v="23"/>
    <d v="1899-12-30T07:01:00"/>
    <x v="77"/>
    <x v="1"/>
    <n v="22"/>
    <x v="0"/>
    <n v="4"/>
    <n v="500"/>
    <n v="205"/>
    <n v="2000"/>
    <n v="1795"/>
    <n v="0.89749999999999996"/>
    <x v="3"/>
  </r>
  <r>
    <n v="1519"/>
    <x v="85"/>
    <d v="1899-12-30T07:35:00"/>
    <x v="78"/>
    <x v="1"/>
    <n v="36"/>
    <x v="2"/>
    <n v="4"/>
    <n v="30"/>
    <n v="9.3000000000000007"/>
    <n v="120"/>
    <n v="110.7"/>
    <n v="0.92249999999999999"/>
    <x v="0"/>
  </r>
  <r>
    <n v="64"/>
    <x v="86"/>
    <d v="1899-12-30T06:34:00"/>
    <x v="79"/>
    <x v="0"/>
    <n v="49"/>
    <x v="0"/>
    <n v="4"/>
    <n v="25"/>
    <n v="8.5"/>
    <n v="100"/>
    <n v="91.5"/>
    <n v="0.91500000000000004"/>
    <x v="1"/>
  </r>
  <r>
    <n v="592"/>
    <x v="87"/>
    <d v="1899-12-30T09:15:00"/>
    <x v="29"/>
    <x v="1"/>
    <n v="46"/>
    <x v="1"/>
    <n v="4"/>
    <n v="500"/>
    <n v="275"/>
    <n v="2000"/>
    <n v="1725"/>
    <n v="0.86250000000000004"/>
    <x v="1"/>
  </r>
  <r>
    <n v="912"/>
    <x v="6"/>
    <d v="1899-12-30T06:18:00"/>
    <x v="80"/>
    <x v="0"/>
    <n v="51"/>
    <x v="1"/>
    <n v="3"/>
    <n v="50"/>
    <n v="20.5"/>
    <n v="150"/>
    <n v="129.5"/>
    <n v="0.86333333333333329"/>
    <x v="1"/>
  </r>
  <r>
    <n v="1064"/>
    <x v="80"/>
    <d v="1899-12-30T10:38:00"/>
    <x v="5"/>
    <x v="0"/>
    <n v="49"/>
    <x v="0"/>
    <n v="4"/>
    <n v="25"/>
    <n v="13.75"/>
    <n v="100"/>
    <n v="86.25"/>
    <n v="0.86250000000000004"/>
    <x v="1"/>
  </r>
  <r>
    <n v="1592"/>
    <x v="88"/>
    <d v="1899-12-30T09:08:00"/>
    <x v="81"/>
    <x v="1"/>
    <n v="46"/>
    <x v="1"/>
    <n v="4"/>
    <n v="500"/>
    <n v="155"/>
    <n v="2000"/>
    <n v="1845"/>
    <n v="0.92249999999999999"/>
    <x v="1"/>
  </r>
  <r>
    <n v="1912"/>
    <x v="89"/>
    <d v="1899-12-30T07:40:00"/>
    <x v="82"/>
    <x v="0"/>
    <n v="51"/>
    <x v="1"/>
    <n v="3"/>
    <n v="50"/>
    <n v="22"/>
    <n v="150"/>
    <n v="128"/>
    <n v="0.85333333333333339"/>
    <x v="1"/>
  </r>
  <r>
    <n v="134"/>
    <x v="90"/>
    <d v="1899-12-30T09:03:00"/>
    <x v="68"/>
    <x v="0"/>
    <n v="49"/>
    <x v="2"/>
    <n v="1"/>
    <n v="50"/>
    <n v="16"/>
    <n v="50"/>
    <n v="34"/>
    <n v="0.68"/>
    <x v="1"/>
  </r>
  <r>
    <n v="1134"/>
    <x v="91"/>
    <d v="1899-12-30T09:04:00"/>
    <x v="83"/>
    <x v="0"/>
    <n v="49"/>
    <x v="2"/>
    <n v="1"/>
    <n v="50"/>
    <n v="24"/>
    <n v="50"/>
    <n v="26"/>
    <n v="0.52"/>
    <x v="1"/>
  </r>
  <r>
    <n v="288"/>
    <x v="92"/>
    <d v="1899-12-30T09:59:00"/>
    <x v="84"/>
    <x v="0"/>
    <n v="28"/>
    <x v="0"/>
    <n v="4"/>
    <n v="30"/>
    <n v="12"/>
    <n v="120"/>
    <n v="108"/>
    <n v="0.9"/>
    <x v="4"/>
  </r>
  <r>
    <n v="323"/>
    <x v="93"/>
    <d v="1899-12-30T08:22:00"/>
    <x v="85"/>
    <x v="1"/>
    <n v="29"/>
    <x v="1"/>
    <n v="3"/>
    <n v="300"/>
    <n v="150"/>
    <n v="900"/>
    <n v="750"/>
    <n v="0.83333333333333337"/>
    <x v="4"/>
  </r>
  <r>
    <n v="618"/>
    <x v="94"/>
    <d v="1899-12-30T10:22:00"/>
    <x v="2"/>
    <x v="1"/>
    <n v="27"/>
    <x v="1"/>
    <n v="1"/>
    <n v="50"/>
    <n v="26"/>
    <n v="50"/>
    <n v="24"/>
    <n v="0.48"/>
    <x v="4"/>
  </r>
  <r>
    <n v="720"/>
    <x v="8"/>
    <d v="1899-12-30T08:50:00"/>
    <x v="31"/>
    <x v="1"/>
    <n v="56"/>
    <x v="1"/>
    <n v="3"/>
    <n v="500"/>
    <n v="235"/>
    <n v="1500"/>
    <n v="1265"/>
    <n v="0.84333333333333338"/>
    <x v="2"/>
  </r>
  <r>
    <n v="1288"/>
    <x v="95"/>
    <d v="1899-12-30T11:56:00"/>
    <x v="86"/>
    <x v="0"/>
    <n v="28"/>
    <x v="0"/>
    <n v="4"/>
    <n v="30"/>
    <n v="9"/>
    <n v="120"/>
    <n v="111"/>
    <n v="0.92500000000000004"/>
    <x v="4"/>
  </r>
  <r>
    <n v="1323"/>
    <x v="96"/>
    <d v="1899-12-30T10:49:00"/>
    <x v="87"/>
    <x v="1"/>
    <n v="29"/>
    <x v="1"/>
    <n v="3"/>
    <n v="300"/>
    <n v="114"/>
    <n v="900"/>
    <n v="786"/>
    <n v="0.87333333333333329"/>
    <x v="4"/>
  </r>
  <r>
    <n v="1618"/>
    <x v="97"/>
    <d v="1899-12-30T06:27:00"/>
    <x v="88"/>
    <x v="1"/>
    <n v="27"/>
    <x v="1"/>
    <n v="1"/>
    <n v="50"/>
    <n v="13.5"/>
    <n v="50"/>
    <n v="36.5"/>
    <n v="0.73"/>
    <x v="4"/>
  </r>
  <r>
    <n v="1720"/>
    <x v="98"/>
    <d v="1899-12-30T08:51:00"/>
    <x v="75"/>
    <x v="1"/>
    <n v="56"/>
    <x v="1"/>
    <n v="3"/>
    <n v="500"/>
    <n v="190"/>
    <n v="1500"/>
    <n v="1310"/>
    <n v="0.87333333333333329"/>
    <x v="2"/>
  </r>
  <r>
    <n v="415"/>
    <x v="99"/>
    <d v="1899-12-30T09:59:00"/>
    <x v="3"/>
    <x v="0"/>
    <n v="53"/>
    <x v="0"/>
    <n v="2"/>
    <n v="30"/>
    <n v="8.1"/>
    <n v="60"/>
    <n v="51.9"/>
    <n v="0.86499999999999999"/>
    <x v="1"/>
  </r>
  <r>
    <n v="736"/>
    <x v="14"/>
    <d v="1899-12-30T08:30:00"/>
    <x v="85"/>
    <x v="0"/>
    <n v="29"/>
    <x v="0"/>
    <n v="4"/>
    <n v="25"/>
    <n v="9.75"/>
    <n v="100"/>
    <n v="90.25"/>
    <n v="0.90249999999999997"/>
    <x v="4"/>
  </r>
  <r>
    <n v="929"/>
    <x v="100"/>
    <d v="1899-12-30T10:18:00"/>
    <x v="89"/>
    <x v="1"/>
    <n v="23"/>
    <x v="1"/>
    <n v="3"/>
    <n v="25"/>
    <n v="10.5"/>
    <n v="75"/>
    <n v="64.5"/>
    <n v="0.86"/>
    <x v="3"/>
  </r>
  <r>
    <n v="1415"/>
    <x v="17"/>
    <d v="1899-12-30T07:11:00"/>
    <x v="82"/>
    <x v="0"/>
    <n v="53"/>
    <x v="0"/>
    <n v="2"/>
    <n v="30"/>
    <n v="15.3"/>
    <n v="60"/>
    <n v="44.7"/>
    <n v="0.745"/>
    <x v="1"/>
  </r>
  <r>
    <n v="1736"/>
    <x v="101"/>
    <d v="1899-12-30T08:57:00"/>
    <x v="90"/>
    <x v="0"/>
    <n v="29"/>
    <x v="0"/>
    <n v="4"/>
    <n v="25"/>
    <n v="10.25"/>
    <n v="100"/>
    <n v="89.75"/>
    <n v="0.89749999999999996"/>
    <x v="4"/>
  </r>
  <r>
    <n v="1929"/>
    <x v="97"/>
    <d v="1899-12-30T06:50:00"/>
    <x v="48"/>
    <x v="1"/>
    <n v="23"/>
    <x v="1"/>
    <n v="3"/>
    <n v="25"/>
    <n v="12.75"/>
    <n v="75"/>
    <n v="62.25"/>
    <n v="0.83"/>
    <x v="3"/>
  </r>
  <r>
    <n v="264"/>
    <x v="87"/>
    <d v="1899-12-30T11:03:00"/>
    <x v="91"/>
    <x v="0"/>
    <n v="47"/>
    <x v="0"/>
    <n v="3"/>
    <n v="300"/>
    <n v="150"/>
    <n v="900"/>
    <n v="750"/>
    <n v="0.83333333333333337"/>
    <x v="1"/>
  </r>
  <r>
    <n v="913"/>
    <x v="102"/>
    <d v="1899-12-30T10:52:00"/>
    <x v="66"/>
    <x v="0"/>
    <n v="29"/>
    <x v="2"/>
    <n v="3"/>
    <n v="30"/>
    <n v="16.5"/>
    <n v="90"/>
    <n v="73.5"/>
    <n v="0.81666666666666665"/>
    <x v="4"/>
  </r>
  <r>
    <n v="940"/>
    <x v="99"/>
    <d v="1899-12-30T08:11:00"/>
    <x v="92"/>
    <x v="1"/>
    <n v="20"/>
    <x v="2"/>
    <n v="1"/>
    <n v="30"/>
    <n v="9.6"/>
    <n v="30"/>
    <n v="20.399999999999999"/>
    <n v="0.67999999999999994"/>
    <x v="3"/>
  </r>
  <r>
    <n v="1264"/>
    <x v="89"/>
    <d v="1899-12-30T09:23:00"/>
    <x v="18"/>
    <x v="0"/>
    <n v="47"/>
    <x v="0"/>
    <n v="3"/>
    <n v="300"/>
    <n v="123"/>
    <n v="900"/>
    <n v="777"/>
    <n v="0.86333333333333329"/>
    <x v="1"/>
  </r>
  <r>
    <n v="1913"/>
    <x v="103"/>
    <d v="1899-12-30T07:10:00"/>
    <x v="32"/>
    <x v="0"/>
    <n v="29"/>
    <x v="2"/>
    <n v="3"/>
    <n v="30"/>
    <n v="14.1"/>
    <n v="90"/>
    <n v="75.900000000000006"/>
    <n v="0.84333333333333338"/>
    <x v="4"/>
  </r>
  <r>
    <n v="1940"/>
    <x v="104"/>
    <d v="1899-12-30T09:47:00"/>
    <x v="93"/>
    <x v="1"/>
    <n v="20"/>
    <x v="2"/>
    <n v="1"/>
    <n v="30"/>
    <n v="11.1"/>
    <n v="30"/>
    <n v="18.899999999999999"/>
    <n v="0.63"/>
    <x v="3"/>
  </r>
  <r>
    <n v="101"/>
    <x v="85"/>
    <d v="1899-12-30T08:46:00"/>
    <x v="44"/>
    <x v="0"/>
    <n v="32"/>
    <x v="0"/>
    <n v="2"/>
    <n v="300"/>
    <n v="135"/>
    <n v="600"/>
    <n v="465"/>
    <n v="0.77500000000000002"/>
    <x v="4"/>
  </r>
  <r>
    <n v="1101"/>
    <x v="105"/>
    <d v="1899-12-30T07:47:00"/>
    <x v="34"/>
    <x v="0"/>
    <n v="32"/>
    <x v="0"/>
    <n v="2"/>
    <n v="300"/>
    <n v="132"/>
    <n v="600"/>
    <n v="468"/>
    <n v="0.78"/>
    <x v="4"/>
  </r>
  <r>
    <n v="189"/>
    <x v="84"/>
    <d v="1899-12-30T09:44:00"/>
    <x v="76"/>
    <x v="0"/>
    <n v="63"/>
    <x v="1"/>
    <n v="1"/>
    <n v="50"/>
    <n v="14.5"/>
    <n v="50"/>
    <n v="35.5"/>
    <n v="0.71"/>
    <x v="2"/>
  </r>
  <r>
    <n v="317"/>
    <x v="10"/>
    <d v="1899-12-30T07:54:00"/>
    <x v="0"/>
    <x v="0"/>
    <n v="22"/>
    <x v="2"/>
    <n v="3"/>
    <n v="30"/>
    <n v="12"/>
    <n v="90"/>
    <n v="78"/>
    <n v="0.8666666666666667"/>
    <x v="3"/>
  </r>
  <r>
    <n v="322"/>
    <x v="106"/>
    <d v="1899-12-30T06:11:00"/>
    <x v="94"/>
    <x v="0"/>
    <n v="51"/>
    <x v="2"/>
    <n v="1"/>
    <n v="500"/>
    <n v="125"/>
    <n v="500"/>
    <n v="375"/>
    <n v="0.75"/>
    <x v="1"/>
  </r>
  <r>
    <n v="329"/>
    <x v="27"/>
    <d v="1899-12-30T07:42:00"/>
    <x v="1"/>
    <x v="1"/>
    <n v="46"/>
    <x v="2"/>
    <n v="4"/>
    <n v="25"/>
    <n v="8"/>
    <n v="100"/>
    <n v="92"/>
    <n v="0.92"/>
    <x v="1"/>
  </r>
  <r>
    <n v="1189"/>
    <x v="107"/>
    <d v="1899-12-30T06:08:00"/>
    <x v="74"/>
    <x v="0"/>
    <n v="63"/>
    <x v="1"/>
    <n v="1"/>
    <n v="50"/>
    <n v="20.5"/>
    <n v="50"/>
    <n v="29.5"/>
    <n v="0.59"/>
    <x v="2"/>
  </r>
  <r>
    <n v="1317"/>
    <x v="90"/>
    <d v="1899-12-30T08:02:00"/>
    <x v="6"/>
    <x v="0"/>
    <n v="22"/>
    <x v="2"/>
    <n v="3"/>
    <n v="30"/>
    <n v="12"/>
    <n v="90"/>
    <n v="78"/>
    <n v="0.8666666666666667"/>
    <x v="3"/>
  </r>
  <r>
    <n v="1322"/>
    <x v="4"/>
    <d v="1899-12-30T09:56:00"/>
    <x v="95"/>
    <x v="0"/>
    <n v="51"/>
    <x v="2"/>
    <n v="1"/>
    <n v="500"/>
    <n v="250"/>
    <n v="500"/>
    <n v="250"/>
    <n v="0.5"/>
    <x v="1"/>
  </r>
  <r>
    <n v="1329"/>
    <x v="108"/>
    <d v="1899-12-30T10:39:00"/>
    <x v="96"/>
    <x v="1"/>
    <n v="46"/>
    <x v="2"/>
    <n v="4"/>
    <n v="25"/>
    <n v="9.25"/>
    <n v="100"/>
    <n v="90.75"/>
    <n v="0.90749999999999997"/>
    <x v="1"/>
  </r>
  <r>
    <n v="235"/>
    <x v="22"/>
    <d v="1899-12-30T10:13:00"/>
    <x v="68"/>
    <x v="1"/>
    <n v="23"/>
    <x v="2"/>
    <n v="2"/>
    <n v="500"/>
    <n v="275"/>
    <n v="1000"/>
    <n v="725"/>
    <n v="0.72499999999999998"/>
    <x v="3"/>
  </r>
  <r>
    <n v="300"/>
    <x v="85"/>
    <d v="1899-12-30T09:41:00"/>
    <x v="77"/>
    <x v="1"/>
    <n v="19"/>
    <x v="2"/>
    <n v="4"/>
    <n v="50"/>
    <n v="26.5"/>
    <n v="200"/>
    <n v="173.5"/>
    <n v="0.86750000000000005"/>
    <x v="3"/>
  </r>
  <r>
    <n v="964"/>
    <x v="109"/>
    <d v="1899-12-30T08:18:00"/>
    <x v="34"/>
    <x v="0"/>
    <n v="24"/>
    <x v="0"/>
    <n v="3"/>
    <n v="300"/>
    <n v="156"/>
    <n v="900"/>
    <n v="744"/>
    <n v="0.82666666666666666"/>
    <x v="3"/>
  </r>
  <r>
    <n v="1235"/>
    <x v="36"/>
    <d v="1899-12-30T06:44:00"/>
    <x v="90"/>
    <x v="1"/>
    <n v="23"/>
    <x v="2"/>
    <n v="2"/>
    <n v="500"/>
    <n v="220"/>
    <n v="1000"/>
    <n v="780"/>
    <n v="0.78"/>
    <x v="3"/>
  </r>
  <r>
    <n v="1300"/>
    <x v="110"/>
    <d v="1899-12-30T08:57:00"/>
    <x v="79"/>
    <x v="1"/>
    <n v="19"/>
    <x v="2"/>
    <n v="4"/>
    <n v="50"/>
    <n v="24"/>
    <n v="200"/>
    <n v="176"/>
    <n v="0.88"/>
    <x v="3"/>
  </r>
  <r>
    <n v="1964"/>
    <x v="111"/>
    <d v="1899-12-30T08:27:00"/>
    <x v="37"/>
    <x v="0"/>
    <n v="24"/>
    <x v="0"/>
    <n v="3"/>
    <n v="300"/>
    <n v="111"/>
    <n v="900"/>
    <n v="789"/>
    <n v="0.87666666666666671"/>
    <x v="3"/>
  </r>
  <r>
    <n v="269"/>
    <x v="112"/>
    <d v="1899-12-30T11:31:00"/>
    <x v="90"/>
    <x v="0"/>
    <n v="25"/>
    <x v="0"/>
    <n v="4"/>
    <n v="500"/>
    <n v="250"/>
    <n v="2000"/>
    <n v="1750"/>
    <n v="0.875"/>
    <x v="3"/>
  </r>
  <r>
    <n v="320"/>
    <x v="113"/>
    <d v="1899-12-30T08:35:00"/>
    <x v="38"/>
    <x v="1"/>
    <n v="28"/>
    <x v="2"/>
    <n v="4"/>
    <n v="300"/>
    <n v="159"/>
    <n v="1200"/>
    <n v="1041"/>
    <n v="0.86750000000000005"/>
    <x v="4"/>
  </r>
  <r>
    <n v="673"/>
    <x v="114"/>
    <d v="1899-12-30T10:14:00"/>
    <x v="72"/>
    <x v="1"/>
    <n v="43"/>
    <x v="0"/>
    <n v="3"/>
    <n v="500"/>
    <n v="270"/>
    <n v="1500"/>
    <n v="1230"/>
    <n v="0.82"/>
    <x v="0"/>
  </r>
  <r>
    <n v="1269"/>
    <x v="115"/>
    <d v="1899-12-30T08:09:00"/>
    <x v="41"/>
    <x v="0"/>
    <n v="25"/>
    <x v="0"/>
    <n v="4"/>
    <n v="500"/>
    <n v="145"/>
    <n v="2000"/>
    <n v="1855"/>
    <n v="0.92749999999999999"/>
    <x v="3"/>
  </r>
  <r>
    <n v="1320"/>
    <x v="116"/>
    <d v="1899-12-30T11:55:00"/>
    <x v="13"/>
    <x v="1"/>
    <n v="28"/>
    <x v="2"/>
    <n v="4"/>
    <n v="300"/>
    <n v="84"/>
    <n v="1200"/>
    <n v="1116"/>
    <n v="0.93"/>
    <x v="4"/>
  </r>
  <r>
    <n v="1673"/>
    <x v="46"/>
    <d v="1899-12-30T07:36:00"/>
    <x v="97"/>
    <x v="1"/>
    <n v="43"/>
    <x v="0"/>
    <n v="3"/>
    <n v="500"/>
    <n v="185"/>
    <n v="1500"/>
    <n v="1315"/>
    <n v="0.87666666666666671"/>
    <x v="0"/>
  </r>
  <r>
    <n v="142"/>
    <x v="8"/>
    <d v="1899-12-30T10:05:00"/>
    <x v="63"/>
    <x v="0"/>
    <n v="35"/>
    <x v="2"/>
    <n v="4"/>
    <n v="300"/>
    <n v="138"/>
    <n v="1200"/>
    <n v="1062"/>
    <n v="0.88500000000000001"/>
    <x v="4"/>
  </r>
  <r>
    <n v="223"/>
    <x v="117"/>
    <d v="1899-12-30T11:18:00"/>
    <x v="63"/>
    <x v="1"/>
    <n v="64"/>
    <x v="0"/>
    <n v="1"/>
    <n v="25"/>
    <n v="12"/>
    <n v="25"/>
    <n v="13"/>
    <n v="0.52"/>
    <x v="2"/>
  </r>
  <r>
    <n v="666"/>
    <x v="118"/>
    <d v="1899-12-30T10:59:00"/>
    <x v="5"/>
    <x v="0"/>
    <n v="51"/>
    <x v="2"/>
    <n v="3"/>
    <n v="50"/>
    <n v="16"/>
    <n v="150"/>
    <n v="134"/>
    <n v="0.89333333333333331"/>
    <x v="1"/>
  </r>
  <r>
    <n v="1142"/>
    <x v="119"/>
    <d v="1899-12-30T09:49:00"/>
    <x v="98"/>
    <x v="0"/>
    <n v="35"/>
    <x v="2"/>
    <n v="4"/>
    <n v="300"/>
    <n v="114"/>
    <n v="1200"/>
    <n v="1086"/>
    <n v="0.90500000000000003"/>
    <x v="4"/>
  </r>
  <r>
    <n v="1223"/>
    <x v="120"/>
    <d v="1899-12-30T07:40:00"/>
    <x v="83"/>
    <x v="1"/>
    <n v="64"/>
    <x v="0"/>
    <n v="1"/>
    <n v="25"/>
    <n v="9.75"/>
    <n v="25"/>
    <n v="15.25"/>
    <n v="0.61"/>
    <x v="2"/>
  </r>
  <r>
    <n v="1666"/>
    <x v="121"/>
    <d v="1899-12-30T10:10:00"/>
    <x v="99"/>
    <x v="0"/>
    <n v="51"/>
    <x v="2"/>
    <n v="3"/>
    <n v="50"/>
    <n v="21"/>
    <n v="150"/>
    <n v="129"/>
    <n v="0.86"/>
    <x v="1"/>
  </r>
  <r>
    <n v="107"/>
    <x v="122"/>
    <d v="1899-12-30T09:18:00"/>
    <x v="56"/>
    <x v="1"/>
    <n v="21"/>
    <x v="0"/>
    <n v="4"/>
    <n v="300"/>
    <n v="78"/>
    <n v="1200"/>
    <n v="1122"/>
    <n v="0.93500000000000005"/>
    <x v="3"/>
  </r>
  <r>
    <n v="933"/>
    <x v="112"/>
    <d v="1899-12-30T07:53:00"/>
    <x v="81"/>
    <x v="0"/>
    <n v="22"/>
    <x v="1"/>
    <n v="1"/>
    <n v="30"/>
    <n v="12.9"/>
    <n v="30"/>
    <n v="17.100000000000001"/>
    <n v="0.57000000000000006"/>
    <x v="3"/>
  </r>
  <r>
    <n v="1107"/>
    <x v="123"/>
    <d v="1899-12-30T11:14:00"/>
    <x v="48"/>
    <x v="1"/>
    <n v="21"/>
    <x v="0"/>
    <n v="4"/>
    <n v="300"/>
    <n v="102"/>
    <n v="1200"/>
    <n v="1098"/>
    <n v="0.91500000000000004"/>
    <x v="3"/>
  </r>
  <r>
    <n v="1933"/>
    <x v="124"/>
    <d v="1899-12-30T11:04:00"/>
    <x v="100"/>
    <x v="0"/>
    <n v="22"/>
    <x v="1"/>
    <n v="1"/>
    <n v="30"/>
    <n v="14.4"/>
    <n v="30"/>
    <n v="15.6"/>
    <n v="0.52"/>
    <x v="3"/>
  </r>
  <r>
    <n v="237"/>
    <x v="38"/>
    <d v="1899-12-30T08:54:00"/>
    <x v="101"/>
    <x v="1"/>
    <n v="50"/>
    <x v="1"/>
    <n v="2"/>
    <n v="500"/>
    <n v="165"/>
    <n v="1000"/>
    <n v="835"/>
    <n v="0.83499999999999996"/>
    <x v="1"/>
  </r>
  <r>
    <n v="335"/>
    <x v="125"/>
    <d v="1899-12-30T09:23:00"/>
    <x v="98"/>
    <x v="1"/>
    <n v="47"/>
    <x v="1"/>
    <n v="4"/>
    <n v="30"/>
    <n v="10.8"/>
    <n v="120"/>
    <n v="109.2"/>
    <n v="0.91"/>
    <x v="1"/>
  </r>
  <r>
    <n v="1237"/>
    <x v="126"/>
    <d v="1899-12-30T09:20:00"/>
    <x v="4"/>
    <x v="1"/>
    <n v="50"/>
    <x v="1"/>
    <n v="2"/>
    <n v="500"/>
    <n v="215"/>
    <n v="1000"/>
    <n v="785"/>
    <n v="0.78500000000000003"/>
    <x v="1"/>
  </r>
  <r>
    <n v="1335"/>
    <x v="89"/>
    <d v="1899-12-30T08:45:00"/>
    <x v="0"/>
    <x v="1"/>
    <n v="47"/>
    <x v="1"/>
    <n v="4"/>
    <n v="30"/>
    <n v="8.6999999999999993"/>
    <n v="120"/>
    <n v="111.3"/>
    <n v="0.92749999999999999"/>
    <x v="1"/>
  </r>
  <r>
    <n v="63"/>
    <x v="127"/>
    <d v="1899-12-30T11:49:00"/>
    <x v="102"/>
    <x v="0"/>
    <n v="57"/>
    <x v="2"/>
    <n v="2"/>
    <n v="25"/>
    <n v="6.25"/>
    <n v="50"/>
    <n v="43.75"/>
    <n v="0.875"/>
    <x v="2"/>
  </r>
  <r>
    <n v="195"/>
    <x v="128"/>
    <d v="1899-12-30T11:51:00"/>
    <x v="95"/>
    <x v="0"/>
    <n v="52"/>
    <x v="0"/>
    <n v="1"/>
    <n v="30"/>
    <n v="9.3000000000000007"/>
    <n v="30"/>
    <n v="20.7"/>
    <n v="0.69"/>
    <x v="1"/>
  </r>
  <r>
    <n v="333"/>
    <x v="122"/>
    <d v="1899-12-30T08:15:00"/>
    <x v="103"/>
    <x v="1"/>
    <n v="54"/>
    <x v="2"/>
    <n v="4"/>
    <n v="300"/>
    <n v="99"/>
    <n v="1200"/>
    <n v="1101"/>
    <n v="0.91749999999999998"/>
    <x v="1"/>
  </r>
  <r>
    <n v="379"/>
    <x v="129"/>
    <d v="1899-12-30T07:28:00"/>
    <x v="104"/>
    <x v="1"/>
    <n v="47"/>
    <x v="0"/>
    <n v="1"/>
    <n v="25"/>
    <n v="8.5"/>
    <n v="25"/>
    <n v="16.5"/>
    <n v="0.66"/>
    <x v="1"/>
  </r>
  <r>
    <n v="490"/>
    <x v="108"/>
    <d v="1899-12-30T06:07:00"/>
    <x v="105"/>
    <x v="0"/>
    <n v="34"/>
    <x v="0"/>
    <n v="3"/>
    <n v="50"/>
    <n v="18.5"/>
    <n v="150"/>
    <n v="131.5"/>
    <n v="0.87666666666666671"/>
    <x v="4"/>
  </r>
  <r>
    <n v="530"/>
    <x v="130"/>
    <d v="1899-12-30T07:52:00"/>
    <x v="59"/>
    <x v="1"/>
    <n v="18"/>
    <x v="2"/>
    <n v="4"/>
    <n v="30"/>
    <n v="9"/>
    <n v="120"/>
    <n v="111"/>
    <n v="0.92500000000000004"/>
    <x v="3"/>
  </r>
  <r>
    <n v="740"/>
    <x v="131"/>
    <d v="1899-12-30T06:58:00"/>
    <x v="60"/>
    <x v="1"/>
    <n v="25"/>
    <x v="1"/>
    <n v="4"/>
    <n v="50"/>
    <n v="13"/>
    <n v="200"/>
    <n v="187"/>
    <n v="0.93500000000000005"/>
    <x v="3"/>
  </r>
  <r>
    <n v="793"/>
    <x v="89"/>
    <d v="1899-12-30T10:53:00"/>
    <x v="15"/>
    <x v="0"/>
    <n v="54"/>
    <x v="1"/>
    <n v="1"/>
    <n v="30"/>
    <n v="14.7"/>
    <n v="30"/>
    <n v="15.3"/>
    <n v="0.51"/>
    <x v="1"/>
  </r>
  <r>
    <n v="1063"/>
    <x v="132"/>
    <d v="1899-12-30T10:26:00"/>
    <x v="93"/>
    <x v="0"/>
    <n v="57"/>
    <x v="2"/>
    <n v="2"/>
    <n v="25"/>
    <n v="11"/>
    <n v="50"/>
    <n v="39"/>
    <n v="0.78"/>
    <x v="2"/>
  </r>
  <r>
    <n v="1195"/>
    <x v="133"/>
    <d v="1899-12-30T07:07:00"/>
    <x v="57"/>
    <x v="0"/>
    <n v="52"/>
    <x v="0"/>
    <n v="1"/>
    <n v="30"/>
    <n v="12"/>
    <n v="30"/>
    <n v="18"/>
    <n v="0.6"/>
    <x v="1"/>
  </r>
  <r>
    <n v="1333"/>
    <x v="134"/>
    <d v="1899-12-30T11:38:00"/>
    <x v="106"/>
    <x v="1"/>
    <n v="54"/>
    <x v="2"/>
    <n v="4"/>
    <n v="300"/>
    <n v="165"/>
    <n v="1200"/>
    <n v="1035"/>
    <n v="0.86250000000000004"/>
    <x v="1"/>
  </r>
  <r>
    <n v="1379"/>
    <x v="84"/>
    <d v="1899-12-30T06:23:00"/>
    <x v="69"/>
    <x v="1"/>
    <n v="47"/>
    <x v="0"/>
    <n v="1"/>
    <n v="25"/>
    <n v="7.25"/>
    <n v="25"/>
    <n v="17.75"/>
    <n v="0.71"/>
    <x v="1"/>
  </r>
  <r>
    <n v="1490"/>
    <x v="64"/>
    <d v="1899-12-30T07:15:00"/>
    <x v="107"/>
    <x v="0"/>
    <n v="34"/>
    <x v="0"/>
    <n v="3"/>
    <n v="50"/>
    <n v="17"/>
    <n v="150"/>
    <n v="133"/>
    <n v="0.88666666666666671"/>
    <x v="4"/>
  </r>
  <r>
    <n v="1530"/>
    <x v="135"/>
    <d v="1899-12-30T08:17:00"/>
    <x v="108"/>
    <x v="1"/>
    <n v="18"/>
    <x v="2"/>
    <n v="4"/>
    <n v="30"/>
    <n v="12.3"/>
    <n v="120"/>
    <n v="107.7"/>
    <n v="0.89750000000000008"/>
    <x v="3"/>
  </r>
  <r>
    <n v="1740"/>
    <x v="16"/>
    <d v="1899-12-30T06:01:00"/>
    <x v="8"/>
    <x v="1"/>
    <n v="25"/>
    <x v="1"/>
    <n v="4"/>
    <n v="50"/>
    <n v="27"/>
    <n v="200"/>
    <n v="173"/>
    <n v="0.86499999999999999"/>
    <x v="3"/>
  </r>
  <r>
    <n v="1793"/>
    <x v="136"/>
    <d v="1899-12-30T06:05:00"/>
    <x v="42"/>
    <x v="0"/>
    <n v="54"/>
    <x v="1"/>
    <n v="1"/>
    <n v="30"/>
    <n v="10.8"/>
    <n v="30"/>
    <n v="19.2"/>
    <n v="0.64"/>
    <x v="1"/>
  </r>
  <r>
    <n v="85"/>
    <x v="137"/>
    <d v="1899-12-30T08:05:00"/>
    <x v="22"/>
    <x v="0"/>
    <n v="31"/>
    <x v="0"/>
    <n v="3"/>
    <n v="50"/>
    <n v="19"/>
    <n v="150"/>
    <n v="131"/>
    <n v="0.87333333333333329"/>
    <x v="4"/>
  </r>
  <r>
    <n v="232"/>
    <x v="74"/>
    <d v="1899-12-30T07:14:00"/>
    <x v="16"/>
    <x v="1"/>
    <n v="43"/>
    <x v="1"/>
    <n v="1"/>
    <n v="25"/>
    <n v="12.75"/>
    <n v="25"/>
    <n v="12.25"/>
    <n v="0.49"/>
    <x v="0"/>
  </r>
  <r>
    <n v="240"/>
    <x v="0"/>
    <d v="1899-12-30T11:49:00"/>
    <x v="109"/>
    <x v="1"/>
    <n v="23"/>
    <x v="1"/>
    <n v="1"/>
    <n v="300"/>
    <n v="123"/>
    <n v="300"/>
    <n v="177"/>
    <n v="0.59"/>
    <x v="3"/>
  </r>
  <r>
    <n v="993"/>
    <x v="138"/>
    <d v="1899-12-30T09:21:00"/>
    <x v="110"/>
    <x v="1"/>
    <n v="48"/>
    <x v="2"/>
    <n v="3"/>
    <n v="50"/>
    <n v="17"/>
    <n v="150"/>
    <n v="133"/>
    <n v="0.88666666666666671"/>
    <x v="1"/>
  </r>
  <r>
    <n v="1085"/>
    <x v="74"/>
    <d v="1899-12-30T09:29:00"/>
    <x v="104"/>
    <x v="0"/>
    <n v="31"/>
    <x v="0"/>
    <n v="3"/>
    <n v="50"/>
    <n v="17"/>
    <n v="150"/>
    <n v="133"/>
    <n v="0.88666666666666671"/>
    <x v="4"/>
  </r>
  <r>
    <n v="1232"/>
    <x v="139"/>
    <d v="1899-12-30T08:05:00"/>
    <x v="82"/>
    <x v="1"/>
    <n v="43"/>
    <x v="1"/>
    <n v="1"/>
    <n v="25"/>
    <n v="6.25"/>
    <n v="25"/>
    <n v="18.75"/>
    <n v="0.75"/>
    <x v="0"/>
  </r>
  <r>
    <n v="1240"/>
    <x v="62"/>
    <d v="1899-12-30T07:42:00"/>
    <x v="6"/>
    <x v="1"/>
    <n v="23"/>
    <x v="1"/>
    <n v="1"/>
    <n v="300"/>
    <n v="90"/>
    <n v="300"/>
    <n v="210"/>
    <n v="0.7"/>
    <x v="3"/>
  </r>
  <r>
    <n v="1993"/>
    <x v="140"/>
    <d v="1899-12-30T11:53:00"/>
    <x v="21"/>
    <x v="1"/>
    <n v="48"/>
    <x v="2"/>
    <n v="3"/>
    <n v="50"/>
    <n v="26.5"/>
    <n v="150"/>
    <n v="123.5"/>
    <n v="0.82333333333333336"/>
    <x v="1"/>
  </r>
  <r>
    <n v="366"/>
    <x v="141"/>
    <d v="1899-12-30T09:32:00"/>
    <x v="31"/>
    <x v="0"/>
    <n v="57"/>
    <x v="0"/>
    <n v="2"/>
    <n v="50"/>
    <n v="17.5"/>
    <n v="100"/>
    <n v="82.5"/>
    <n v="0.82499999999999996"/>
    <x v="2"/>
  </r>
  <r>
    <n v="372"/>
    <x v="142"/>
    <d v="1899-12-30T11:45:00"/>
    <x v="84"/>
    <x v="1"/>
    <n v="24"/>
    <x v="1"/>
    <n v="3"/>
    <n v="500"/>
    <n v="140"/>
    <n v="1500"/>
    <n v="1360"/>
    <n v="0.90666666666666662"/>
    <x v="3"/>
  </r>
  <r>
    <n v="596"/>
    <x v="41"/>
    <d v="1899-12-30T08:44:00"/>
    <x v="90"/>
    <x v="1"/>
    <n v="64"/>
    <x v="2"/>
    <n v="1"/>
    <n v="300"/>
    <n v="93"/>
    <n v="300"/>
    <n v="207"/>
    <n v="0.69"/>
    <x v="2"/>
  </r>
  <r>
    <n v="936"/>
    <x v="99"/>
    <d v="1899-12-30T10:51:00"/>
    <x v="76"/>
    <x v="0"/>
    <n v="57"/>
    <x v="1"/>
    <n v="4"/>
    <n v="50"/>
    <n v="19.5"/>
    <n v="200"/>
    <n v="180.5"/>
    <n v="0.90249999999999997"/>
    <x v="2"/>
  </r>
  <r>
    <n v="1366"/>
    <x v="115"/>
    <d v="1899-12-30T11:34:00"/>
    <x v="28"/>
    <x v="0"/>
    <n v="57"/>
    <x v="0"/>
    <n v="2"/>
    <n v="50"/>
    <n v="23.5"/>
    <n v="100"/>
    <n v="76.5"/>
    <n v="0.76500000000000001"/>
    <x v="2"/>
  </r>
  <r>
    <n v="1372"/>
    <x v="143"/>
    <d v="1899-12-30T10:53:00"/>
    <x v="111"/>
    <x v="1"/>
    <n v="24"/>
    <x v="1"/>
    <n v="3"/>
    <n v="500"/>
    <n v="145"/>
    <n v="1500"/>
    <n v="1355"/>
    <n v="0.90333333333333332"/>
    <x v="3"/>
  </r>
  <r>
    <n v="1596"/>
    <x v="144"/>
    <d v="1899-12-30T06:22:00"/>
    <x v="79"/>
    <x v="1"/>
    <n v="64"/>
    <x v="2"/>
    <n v="1"/>
    <n v="300"/>
    <n v="141"/>
    <n v="300"/>
    <n v="159"/>
    <n v="0.53"/>
    <x v="2"/>
  </r>
  <r>
    <n v="1936"/>
    <x v="142"/>
    <d v="1899-12-30T11:32:00"/>
    <x v="111"/>
    <x v="0"/>
    <n v="57"/>
    <x v="1"/>
    <n v="4"/>
    <n v="50"/>
    <n v="12.5"/>
    <n v="200"/>
    <n v="187.5"/>
    <n v="0.9375"/>
    <x v="2"/>
  </r>
  <r>
    <n v="284"/>
    <x v="65"/>
    <d v="1899-12-30T09:17:00"/>
    <x v="64"/>
    <x v="0"/>
    <n v="43"/>
    <x v="0"/>
    <n v="4"/>
    <n v="50"/>
    <n v="20.5"/>
    <n v="200"/>
    <n v="179.5"/>
    <n v="0.89749999999999996"/>
    <x v="0"/>
  </r>
  <r>
    <n v="434"/>
    <x v="64"/>
    <d v="1899-12-30T06:09:00"/>
    <x v="17"/>
    <x v="1"/>
    <n v="43"/>
    <x v="2"/>
    <n v="2"/>
    <n v="25"/>
    <n v="8.25"/>
    <n v="50"/>
    <n v="41.75"/>
    <n v="0.83499999999999996"/>
    <x v="0"/>
  </r>
  <r>
    <n v="775"/>
    <x v="145"/>
    <d v="1899-12-30T11:07:00"/>
    <x v="20"/>
    <x v="1"/>
    <n v="46"/>
    <x v="2"/>
    <n v="4"/>
    <n v="25"/>
    <n v="9.5"/>
    <n v="100"/>
    <n v="90.5"/>
    <n v="0.90500000000000003"/>
    <x v="1"/>
  </r>
  <r>
    <n v="977"/>
    <x v="146"/>
    <d v="1899-12-30T08:35:00"/>
    <x v="92"/>
    <x v="1"/>
    <n v="35"/>
    <x v="2"/>
    <n v="3"/>
    <n v="25"/>
    <n v="13.75"/>
    <n v="75"/>
    <n v="61.25"/>
    <n v="0.81666666666666665"/>
    <x v="4"/>
  </r>
  <r>
    <n v="1284"/>
    <x v="147"/>
    <d v="1899-12-30T11:43:00"/>
    <x v="35"/>
    <x v="0"/>
    <n v="43"/>
    <x v="0"/>
    <n v="4"/>
    <n v="50"/>
    <n v="18"/>
    <n v="200"/>
    <n v="182"/>
    <n v="0.91"/>
    <x v="0"/>
  </r>
  <r>
    <n v="1434"/>
    <x v="68"/>
    <d v="1899-12-30T10:02:00"/>
    <x v="33"/>
    <x v="1"/>
    <n v="43"/>
    <x v="2"/>
    <n v="2"/>
    <n v="25"/>
    <n v="7"/>
    <n v="50"/>
    <n v="43"/>
    <n v="0.86"/>
    <x v="0"/>
  </r>
  <r>
    <n v="1775"/>
    <x v="14"/>
    <d v="1899-12-30T08:04:00"/>
    <x v="66"/>
    <x v="1"/>
    <n v="46"/>
    <x v="2"/>
    <n v="4"/>
    <n v="25"/>
    <n v="13.75"/>
    <n v="100"/>
    <n v="86.25"/>
    <n v="0.86250000000000004"/>
    <x v="1"/>
  </r>
  <r>
    <n v="1977"/>
    <x v="91"/>
    <d v="1899-12-30T10:46:00"/>
    <x v="112"/>
    <x v="1"/>
    <n v="35"/>
    <x v="2"/>
    <n v="3"/>
    <n v="25"/>
    <n v="12"/>
    <n v="75"/>
    <n v="63"/>
    <n v="0.84"/>
    <x v="4"/>
  </r>
  <r>
    <n v="649"/>
    <x v="148"/>
    <d v="1899-12-30T08:17:00"/>
    <x v="50"/>
    <x v="1"/>
    <n v="58"/>
    <x v="0"/>
    <n v="2"/>
    <n v="300"/>
    <n v="135"/>
    <n v="600"/>
    <n v="465"/>
    <n v="0.77500000000000002"/>
    <x v="2"/>
  </r>
  <r>
    <n v="1649"/>
    <x v="149"/>
    <d v="1899-12-30T07:44:00"/>
    <x v="36"/>
    <x v="1"/>
    <n v="58"/>
    <x v="0"/>
    <n v="2"/>
    <n v="300"/>
    <n v="75"/>
    <n v="600"/>
    <n v="525"/>
    <n v="0.875"/>
    <x v="2"/>
  </r>
  <r>
    <n v="54"/>
    <x v="150"/>
    <d v="1899-12-30T10:17:00"/>
    <x v="113"/>
    <x v="1"/>
    <n v="38"/>
    <x v="2"/>
    <n v="3"/>
    <n v="500"/>
    <n v="200"/>
    <n v="1500"/>
    <n v="1300"/>
    <n v="0.8666666666666667"/>
    <x v="0"/>
  </r>
  <r>
    <n v="68"/>
    <x v="151"/>
    <d v="1899-12-30T09:06:00"/>
    <x v="82"/>
    <x v="0"/>
    <n v="25"/>
    <x v="2"/>
    <n v="1"/>
    <n v="300"/>
    <n v="84"/>
    <n v="300"/>
    <n v="216"/>
    <n v="0.72"/>
    <x v="3"/>
  </r>
  <r>
    <n v="192"/>
    <x v="152"/>
    <d v="1899-12-30T08:05:00"/>
    <x v="110"/>
    <x v="0"/>
    <n v="62"/>
    <x v="1"/>
    <n v="2"/>
    <n v="50"/>
    <n v="13"/>
    <n v="100"/>
    <n v="87"/>
    <n v="0.87"/>
    <x v="2"/>
  </r>
  <r>
    <n v="1054"/>
    <x v="153"/>
    <d v="1899-12-30T09:24:00"/>
    <x v="5"/>
    <x v="1"/>
    <n v="38"/>
    <x v="2"/>
    <n v="3"/>
    <n v="500"/>
    <n v="140"/>
    <n v="1500"/>
    <n v="1360"/>
    <n v="0.90666666666666662"/>
    <x v="0"/>
  </r>
  <r>
    <n v="1068"/>
    <x v="71"/>
    <d v="1899-12-30T10:11:00"/>
    <x v="87"/>
    <x v="0"/>
    <n v="25"/>
    <x v="2"/>
    <n v="1"/>
    <n v="300"/>
    <n v="111"/>
    <n v="300"/>
    <n v="189"/>
    <n v="0.63"/>
    <x v="3"/>
  </r>
  <r>
    <n v="1192"/>
    <x v="154"/>
    <d v="1899-12-30T08:41:00"/>
    <x v="70"/>
    <x v="0"/>
    <n v="62"/>
    <x v="1"/>
    <n v="2"/>
    <n v="50"/>
    <n v="20.5"/>
    <n v="100"/>
    <n v="79.5"/>
    <n v="0.79500000000000004"/>
    <x v="2"/>
  </r>
  <r>
    <n v="331"/>
    <x v="155"/>
    <d v="1899-12-30T08:33:00"/>
    <x v="75"/>
    <x v="0"/>
    <n v="28"/>
    <x v="2"/>
    <n v="3"/>
    <n v="30"/>
    <n v="10.199999999999999"/>
    <n v="90"/>
    <n v="79.8"/>
    <n v="0.8866666666666666"/>
    <x v="4"/>
  </r>
  <r>
    <n v="346"/>
    <x v="156"/>
    <d v="1899-12-30T06:54:00"/>
    <x v="114"/>
    <x v="0"/>
    <n v="59"/>
    <x v="0"/>
    <n v="2"/>
    <n v="500"/>
    <n v="215"/>
    <n v="1000"/>
    <n v="785"/>
    <n v="0.78500000000000003"/>
    <x v="2"/>
  </r>
  <r>
    <n v="657"/>
    <x v="19"/>
    <d v="1899-12-30T08:53:00"/>
    <x v="92"/>
    <x v="0"/>
    <n v="40"/>
    <x v="0"/>
    <n v="1"/>
    <n v="25"/>
    <n v="8"/>
    <n v="25"/>
    <n v="17"/>
    <n v="0.68"/>
    <x v="0"/>
  </r>
  <r>
    <n v="732"/>
    <x v="94"/>
    <d v="1899-12-30T08:45:00"/>
    <x v="87"/>
    <x v="0"/>
    <n v="61"/>
    <x v="2"/>
    <n v="2"/>
    <n v="500"/>
    <n v="250"/>
    <n v="1000"/>
    <n v="750"/>
    <n v="0.75"/>
    <x v="2"/>
  </r>
  <r>
    <n v="972"/>
    <x v="155"/>
    <d v="1899-12-30T11:42:00"/>
    <x v="78"/>
    <x v="0"/>
    <n v="49"/>
    <x v="1"/>
    <n v="4"/>
    <n v="25"/>
    <n v="6.75"/>
    <n v="100"/>
    <n v="93.25"/>
    <n v="0.9325"/>
    <x v="1"/>
  </r>
  <r>
    <n v="1331"/>
    <x v="157"/>
    <d v="1899-12-30T09:29:00"/>
    <x v="115"/>
    <x v="0"/>
    <n v="28"/>
    <x v="2"/>
    <n v="3"/>
    <n v="30"/>
    <n v="13.8"/>
    <n v="90"/>
    <n v="76.2"/>
    <n v="0.84666666666666668"/>
    <x v="4"/>
  </r>
  <r>
    <n v="1346"/>
    <x v="158"/>
    <d v="1899-12-30T10:01:00"/>
    <x v="116"/>
    <x v="0"/>
    <n v="59"/>
    <x v="0"/>
    <n v="2"/>
    <n v="500"/>
    <n v="130"/>
    <n v="1000"/>
    <n v="870"/>
    <n v="0.87"/>
    <x v="2"/>
  </r>
  <r>
    <n v="1657"/>
    <x v="159"/>
    <d v="1899-12-30T10:05:00"/>
    <x v="63"/>
    <x v="0"/>
    <n v="40"/>
    <x v="0"/>
    <n v="1"/>
    <n v="25"/>
    <n v="8"/>
    <n v="25"/>
    <n v="17"/>
    <n v="0.68"/>
    <x v="0"/>
  </r>
  <r>
    <n v="1732"/>
    <x v="160"/>
    <d v="1899-12-30T07:05:00"/>
    <x v="57"/>
    <x v="0"/>
    <n v="61"/>
    <x v="2"/>
    <n v="2"/>
    <n v="500"/>
    <n v="215"/>
    <n v="1000"/>
    <n v="785"/>
    <n v="0.78500000000000003"/>
    <x v="2"/>
  </r>
  <r>
    <n v="1972"/>
    <x v="161"/>
    <d v="1899-12-30T06:39:00"/>
    <x v="2"/>
    <x v="0"/>
    <n v="49"/>
    <x v="1"/>
    <n v="4"/>
    <n v="25"/>
    <n v="9.25"/>
    <n v="100"/>
    <n v="90.75"/>
    <n v="0.90749999999999997"/>
    <x v="1"/>
  </r>
  <r>
    <n v="714"/>
    <x v="141"/>
    <d v="1899-12-30T08:50:00"/>
    <x v="61"/>
    <x v="1"/>
    <n v="18"/>
    <x v="0"/>
    <n v="1"/>
    <n v="500"/>
    <n v="190"/>
    <n v="500"/>
    <n v="310"/>
    <n v="0.62"/>
    <x v="3"/>
  </r>
  <r>
    <n v="1714"/>
    <x v="15"/>
    <d v="1899-12-30T06:07:00"/>
    <x v="91"/>
    <x v="1"/>
    <n v="18"/>
    <x v="0"/>
    <n v="1"/>
    <n v="500"/>
    <n v="245"/>
    <n v="500"/>
    <n v="255"/>
    <n v="0.51"/>
    <x v="3"/>
  </r>
  <r>
    <n v="193"/>
    <x v="162"/>
    <d v="1899-12-30T10:40:00"/>
    <x v="57"/>
    <x v="0"/>
    <n v="35"/>
    <x v="1"/>
    <n v="3"/>
    <n v="500"/>
    <n v="180"/>
    <n v="1500"/>
    <n v="1320"/>
    <n v="0.88"/>
    <x v="4"/>
  </r>
  <r>
    <n v="577"/>
    <x v="163"/>
    <d v="1899-12-30T11:55:00"/>
    <x v="117"/>
    <x v="0"/>
    <n v="21"/>
    <x v="1"/>
    <n v="4"/>
    <n v="500"/>
    <n v="215"/>
    <n v="2000"/>
    <n v="1785"/>
    <n v="0.89249999999999996"/>
    <x v="3"/>
  </r>
  <r>
    <n v="848"/>
    <x v="164"/>
    <d v="1899-12-30T10:46:00"/>
    <x v="34"/>
    <x v="1"/>
    <n v="63"/>
    <x v="0"/>
    <n v="3"/>
    <n v="25"/>
    <n v="9.75"/>
    <n v="75"/>
    <n v="65.25"/>
    <n v="0.87"/>
    <x v="2"/>
  </r>
  <r>
    <n v="945"/>
    <x v="165"/>
    <d v="1899-12-30T10:01:00"/>
    <x v="10"/>
    <x v="0"/>
    <n v="30"/>
    <x v="1"/>
    <n v="1"/>
    <n v="25"/>
    <n v="13.25"/>
    <n v="25"/>
    <n v="11.75"/>
    <n v="0.47"/>
    <x v="4"/>
  </r>
  <r>
    <n v="1193"/>
    <x v="166"/>
    <d v="1899-12-30T11:31:00"/>
    <x v="17"/>
    <x v="0"/>
    <n v="35"/>
    <x v="1"/>
    <n v="3"/>
    <n v="500"/>
    <n v="145"/>
    <n v="1500"/>
    <n v="1355"/>
    <n v="0.90333333333333332"/>
    <x v="4"/>
  </r>
  <r>
    <n v="1577"/>
    <x v="167"/>
    <d v="1899-12-30T06:22:00"/>
    <x v="35"/>
    <x v="0"/>
    <n v="21"/>
    <x v="1"/>
    <n v="4"/>
    <n v="500"/>
    <n v="160"/>
    <n v="2000"/>
    <n v="1840"/>
    <n v="0.92"/>
    <x v="3"/>
  </r>
  <r>
    <n v="1848"/>
    <x v="168"/>
    <d v="1899-12-30T10:16:00"/>
    <x v="112"/>
    <x v="1"/>
    <n v="63"/>
    <x v="0"/>
    <n v="3"/>
    <n v="25"/>
    <n v="12.5"/>
    <n v="75"/>
    <n v="62.5"/>
    <n v="0.83333333333333337"/>
    <x v="2"/>
  </r>
  <r>
    <n v="1945"/>
    <x v="82"/>
    <d v="1899-12-30T09:55:00"/>
    <x v="60"/>
    <x v="0"/>
    <n v="30"/>
    <x v="1"/>
    <n v="1"/>
    <n v="25"/>
    <n v="10.75"/>
    <n v="25"/>
    <n v="14.25"/>
    <n v="0.56999999999999995"/>
    <x v="4"/>
  </r>
  <r>
    <n v="11"/>
    <x v="169"/>
    <d v="1899-12-30T10:30:00"/>
    <x v="106"/>
    <x v="0"/>
    <n v="23"/>
    <x v="0"/>
    <n v="2"/>
    <n v="50"/>
    <n v="23.5"/>
    <n v="100"/>
    <n v="76.5"/>
    <n v="0.76500000000000001"/>
    <x v="3"/>
  </r>
  <r>
    <n v="821"/>
    <x v="15"/>
    <d v="1899-12-30T11:27:00"/>
    <x v="89"/>
    <x v="0"/>
    <n v="49"/>
    <x v="2"/>
    <n v="1"/>
    <n v="300"/>
    <n v="129"/>
    <n v="300"/>
    <n v="171"/>
    <n v="0.56999999999999995"/>
    <x v="1"/>
  </r>
  <r>
    <n v="1011"/>
    <x v="18"/>
    <d v="1899-12-30T06:48:00"/>
    <x v="34"/>
    <x v="0"/>
    <n v="23"/>
    <x v="0"/>
    <n v="2"/>
    <n v="50"/>
    <n v="19"/>
    <n v="100"/>
    <n v="81"/>
    <n v="0.81"/>
    <x v="3"/>
  </r>
  <r>
    <n v="1821"/>
    <x v="56"/>
    <d v="1899-12-30T07:17:00"/>
    <x v="97"/>
    <x v="0"/>
    <n v="49"/>
    <x v="2"/>
    <n v="1"/>
    <n v="300"/>
    <n v="108"/>
    <n v="300"/>
    <n v="192"/>
    <n v="0.64"/>
    <x v="1"/>
  </r>
  <r>
    <n v="133"/>
    <x v="103"/>
    <d v="1899-12-30T09:01:00"/>
    <x v="118"/>
    <x v="0"/>
    <n v="20"/>
    <x v="2"/>
    <n v="3"/>
    <n v="300"/>
    <n v="87"/>
    <n v="900"/>
    <n v="813"/>
    <n v="0.90333333333333332"/>
    <x v="3"/>
  </r>
  <r>
    <n v="1133"/>
    <x v="43"/>
    <d v="1899-12-30T06:42:00"/>
    <x v="11"/>
    <x v="0"/>
    <n v="20"/>
    <x v="2"/>
    <n v="3"/>
    <n v="300"/>
    <n v="159"/>
    <n v="900"/>
    <n v="741"/>
    <n v="0.82333333333333336"/>
    <x v="3"/>
  </r>
  <r>
    <n v="16"/>
    <x v="170"/>
    <d v="1899-12-30T10:33:00"/>
    <x v="18"/>
    <x v="0"/>
    <n v="19"/>
    <x v="0"/>
    <n v="3"/>
    <n v="500"/>
    <n v="180"/>
    <n v="1500"/>
    <n v="1320"/>
    <n v="0.88"/>
    <x v="3"/>
  </r>
  <r>
    <n v="42"/>
    <x v="121"/>
    <d v="1899-12-30T08:29:00"/>
    <x v="112"/>
    <x v="0"/>
    <n v="22"/>
    <x v="0"/>
    <n v="3"/>
    <n v="300"/>
    <n v="147"/>
    <n v="900"/>
    <n v="753"/>
    <n v="0.83666666666666667"/>
    <x v="3"/>
  </r>
  <r>
    <n v="292"/>
    <x v="98"/>
    <d v="1899-12-30T06:33:00"/>
    <x v="91"/>
    <x v="0"/>
    <n v="20"/>
    <x v="1"/>
    <n v="4"/>
    <n v="300"/>
    <n v="141"/>
    <n v="1200"/>
    <n v="1059"/>
    <n v="0.88249999999999995"/>
    <x v="3"/>
  </r>
  <r>
    <n v="416"/>
    <x v="171"/>
    <d v="1899-12-30T09:29:00"/>
    <x v="57"/>
    <x v="0"/>
    <n v="53"/>
    <x v="2"/>
    <n v="4"/>
    <n v="500"/>
    <n v="245"/>
    <n v="2000"/>
    <n v="1755"/>
    <n v="0.87749999999999995"/>
    <x v="1"/>
  </r>
  <r>
    <n v="584"/>
    <x v="123"/>
    <d v="1899-12-30T10:21:00"/>
    <x v="83"/>
    <x v="1"/>
    <n v="27"/>
    <x v="1"/>
    <n v="4"/>
    <n v="50"/>
    <n v="16.5"/>
    <n v="200"/>
    <n v="183.5"/>
    <n v="0.91749999999999998"/>
    <x v="4"/>
  </r>
  <r>
    <n v="861"/>
    <x v="172"/>
    <d v="1899-12-30T08:57:00"/>
    <x v="47"/>
    <x v="1"/>
    <n v="41"/>
    <x v="0"/>
    <n v="3"/>
    <n v="30"/>
    <n v="9.6"/>
    <n v="90"/>
    <n v="80.400000000000006"/>
    <n v="0.89333333333333342"/>
    <x v="0"/>
  </r>
  <r>
    <n v="1016"/>
    <x v="2"/>
    <d v="1899-12-30T07:39:00"/>
    <x v="1"/>
    <x v="0"/>
    <n v="19"/>
    <x v="0"/>
    <n v="3"/>
    <n v="500"/>
    <n v="200"/>
    <n v="1500"/>
    <n v="1300"/>
    <n v="0.8666666666666667"/>
    <x v="3"/>
  </r>
  <r>
    <n v="1042"/>
    <x v="173"/>
    <d v="1899-12-30T06:21:00"/>
    <x v="79"/>
    <x v="0"/>
    <n v="22"/>
    <x v="0"/>
    <n v="3"/>
    <n v="300"/>
    <n v="150"/>
    <n v="900"/>
    <n v="750"/>
    <n v="0.83333333333333337"/>
    <x v="3"/>
  </r>
  <r>
    <n v="1292"/>
    <x v="157"/>
    <d v="1899-12-30T08:20:00"/>
    <x v="42"/>
    <x v="0"/>
    <n v="20"/>
    <x v="1"/>
    <n v="4"/>
    <n v="300"/>
    <n v="90"/>
    <n v="1200"/>
    <n v="1110"/>
    <n v="0.92500000000000004"/>
    <x v="3"/>
  </r>
  <r>
    <n v="1416"/>
    <x v="140"/>
    <d v="1899-12-30T10:47:00"/>
    <x v="91"/>
    <x v="0"/>
    <n v="53"/>
    <x v="2"/>
    <n v="4"/>
    <n v="500"/>
    <n v="125"/>
    <n v="2000"/>
    <n v="1875"/>
    <n v="0.9375"/>
    <x v="1"/>
  </r>
  <r>
    <n v="1584"/>
    <x v="137"/>
    <d v="1899-12-30T11:07:00"/>
    <x v="48"/>
    <x v="1"/>
    <n v="27"/>
    <x v="1"/>
    <n v="4"/>
    <n v="50"/>
    <n v="16.5"/>
    <n v="200"/>
    <n v="183.5"/>
    <n v="0.91749999999999998"/>
    <x v="4"/>
  </r>
  <r>
    <n v="1861"/>
    <x v="114"/>
    <d v="1899-12-30T10:41:00"/>
    <x v="35"/>
    <x v="1"/>
    <n v="41"/>
    <x v="0"/>
    <n v="3"/>
    <n v="30"/>
    <n v="10.199999999999999"/>
    <n v="90"/>
    <n v="79.8"/>
    <n v="0.8866666666666666"/>
    <x v="0"/>
  </r>
  <r>
    <n v="256"/>
    <x v="174"/>
    <d v="1899-12-30T08:05:00"/>
    <x v="55"/>
    <x v="0"/>
    <n v="23"/>
    <x v="0"/>
    <n v="2"/>
    <n v="500"/>
    <n v="270"/>
    <n v="1000"/>
    <n v="730"/>
    <n v="0.73"/>
    <x v="3"/>
  </r>
  <r>
    <n v="1256"/>
    <x v="0"/>
    <d v="1899-12-30T09:58:00"/>
    <x v="65"/>
    <x v="0"/>
    <n v="23"/>
    <x v="0"/>
    <n v="2"/>
    <n v="500"/>
    <n v="190"/>
    <n v="1000"/>
    <n v="810"/>
    <n v="0.81"/>
    <x v="3"/>
  </r>
  <r>
    <n v="44"/>
    <x v="118"/>
    <d v="1899-12-30T11:07:00"/>
    <x v="108"/>
    <x v="1"/>
    <n v="22"/>
    <x v="0"/>
    <n v="1"/>
    <n v="25"/>
    <n v="11.75"/>
    <n v="25"/>
    <n v="13.25"/>
    <n v="0.53"/>
    <x v="3"/>
  </r>
  <r>
    <n v="257"/>
    <x v="135"/>
    <d v="1899-12-30T08:49:00"/>
    <x v="25"/>
    <x v="0"/>
    <n v="19"/>
    <x v="1"/>
    <n v="4"/>
    <n v="500"/>
    <n v="165"/>
    <n v="2000"/>
    <n v="1835"/>
    <n v="0.91749999999999998"/>
    <x v="3"/>
  </r>
  <r>
    <n v="1044"/>
    <x v="120"/>
    <d v="1899-12-30T09:08:00"/>
    <x v="118"/>
    <x v="1"/>
    <n v="22"/>
    <x v="0"/>
    <n v="1"/>
    <n v="25"/>
    <n v="7.5"/>
    <n v="25"/>
    <n v="17.5"/>
    <n v="0.7"/>
    <x v="3"/>
  </r>
  <r>
    <n v="1257"/>
    <x v="66"/>
    <d v="1899-12-30T11:55:00"/>
    <x v="65"/>
    <x v="0"/>
    <n v="19"/>
    <x v="1"/>
    <n v="4"/>
    <n v="500"/>
    <n v="255"/>
    <n v="2000"/>
    <n v="1745"/>
    <n v="0.87250000000000005"/>
    <x v="3"/>
  </r>
  <r>
    <n v="268"/>
    <x v="80"/>
    <d v="1899-12-30T08:26:00"/>
    <x v="108"/>
    <x v="1"/>
    <n v="28"/>
    <x v="2"/>
    <n v="1"/>
    <n v="30"/>
    <n v="8.6999999999999993"/>
    <n v="30"/>
    <n v="21.3"/>
    <n v="0.71000000000000008"/>
    <x v="4"/>
  </r>
  <r>
    <n v="287"/>
    <x v="109"/>
    <d v="1899-12-30T11:07:00"/>
    <x v="42"/>
    <x v="0"/>
    <n v="54"/>
    <x v="0"/>
    <n v="4"/>
    <n v="25"/>
    <n v="10"/>
    <n v="100"/>
    <n v="90"/>
    <n v="0.9"/>
    <x v="1"/>
  </r>
  <r>
    <n v="966"/>
    <x v="175"/>
    <d v="1899-12-30T07:22:00"/>
    <x v="96"/>
    <x v="0"/>
    <n v="60"/>
    <x v="2"/>
    <n v="2"/>
    <n v="500"/>
    <n v="190"/>
    <n v="1000"/>
    <n v="810"/>
    <n v="0.81"/>
    <x v="2"/>
  </r>
  <r>
    <n v="1268"/>
    <x v="176"/>
    <d v="1899-12-30T09:33:00"/>
    <x v="34"/>
    <x v="1"/>
    <n v="28"/>
    <x v="2"/>
    <n v="1"/>
    <n v="30"/>
    <n v="14.1"/>
    <n v="30"/>
    <n v="15.9"/>
    <n v="0.53"/>
    <x v="4"/>
  </r>
  <r>
    <n v="1287"/>
    <x v="177"/>
    <d v="1899-12-30T08:03:00"/>
    <x v="10"/>
    <x v="0"/>
    <n v="54"/>
    <x v="0"/>
    <n v="4"/>
    <n v="25"/>
    <n v="7"/>
    <n v="100"/>
    <n v="93"/>
    <n v="0.93"/>
    <x v="1"/>
  </r>
  <r>
    <n v="1966"/>
    <x v="178"/>
    <d v="1899-12-30T09:52:00"/>
    <x v="119"/>
    <x v="0"/>
    <n v="60"/>
    <x v="2"/>
    <n v="2"/>
    <n v="500"/>
    <n v="200"/>
    <n v="1000"/>
    <n v="800"/>
    <n v="0.8"/>
    <x v="2"/>
  </r>
  <r>
    <n v="70"/>
    <x v="168"/>
    <d v="1899-12-30T10:48:00"/>
    <x v="33"/>
    <x v="1"/>
    <n v="43"/>
    <x v="0"/>
    <n v="1"/>
    <n v="300"/>
    <n v="84"/>
    <n v="300"/>
    <n v="216"/>
    <n v="0.72"/>
    <x v="0"/>
  </r>
  <r>
    <n v="371"/>
    <x v="14"/>
    <d v="1899-12-30T10:01:00"/>
    <x v="120"/>
    <x v="1"/>
    <n v="20"/>
    <x v="1"/>
    <n v="1"/>
    <n v="25"/>
    <n v="13"/>
    <n v="25"/>
    <n v="12"/>
    <n v="0.48"/>
    <x v="3"/>
  </r>
  <r>
    <n v="900"/>
    <x v="179"/>
    <d v="1899-12-30T08:41:00"/>
    <x v="25"/>
    <x v="0"/>
    <n v="21"/>
    <x v="0"/>
    <n v="2"/>
    <n v="30"/>
    <n v="15.6"/>
    <n v="60"/>
    <n v="44.4"/>
    <n v="0.74"/>
    <x v="3"/>
  </r>
  <r>
    <n v="1070"/>
    <x v="180"/>
    <d v="1899-12-30T11:12:00"/>
    <x v="13"/>
    <x v="1"/>
    <n v="43"/>
    <x v="0"/>
    <n v="1"/>
    <n v="300"/>
    <n v="120"/>
    <n v="300"/>
    <n v="180"/>
    <n v="0.6"/>
    <x v="0"/>
  </r>
  <r>
    <n v="1371"/>
    <x v="145"/>
    <d v="1899-12-30T06:52:00"/>
    <x v="51"/>
    <x v="1"/>
    <n v="20"/>
    <x v="1"/>
    <n v="1"/>
    <n v="25"/>
    <n v="13.5"/>
    <n v="25"/>
    <n v="11.5"/>
    <n v="0.46"/>
    <x v="3"/>
  </r>
  <r>
    <n v="1900"/>
    <x v="93"/>
    <d v="1899-12-30T06:43:00"/>
    <x v="62"/>
    <x v="0"/>
    <n v="21"/>
    <x v="0"/>
    <n v="2"/>
    <n v="30"/>
    <n v="10.8"/>
    <n v="60"/>
    <n v="49.2"/>
    <n v="0.82000000000000006"/>
    <x v="3"/>
  </r>
  <r>
    <n v="8"/>
    <x v="168"/>
    <d v="1899-12-30T11:19:00"/>
    <x v="121"/>
    <x v="0"/>
    <n v="30"/>
    <x v="2"/>
    <n v="4"/>
    <n v="25"/>
    <n v="11"/>
    <n v="100"/>
    <n v="89"/>
    <n v="0.89"/>
    <x v="4"/>
  </r>
  <r>
    <n v="41"/>
    <x v="181"/>
    <d v="1899-12-30T10:36:00"/>
    <x v="42"/>
    <x v="0"/>
    <n v="34"/>
    <x v="0"/>
    <n v="2"/>
    <n v="25"/>
    <n v="13.25"/>
    <n v="50"/>
    <n v="36.75"/>
    <n v="0.73499999999999999"/>
    <x v="4"/>
  </r>
  <r>
    <n v="454"/>
    <x v="39"/>
    <d v="1899-12-30T07:20:00"/>
    <x v="94"/>
    <x v="1"/>
    <n v="46"/>
    <x v="1"/>
    <n v="1"/>
    <n v="25"/>
    <n v="13"/>
    <n v="25"/>
    <n v="12"/>
    <n v="0.48"/>
    <x v="1"/>
  </r>
  <r>
    <n v="780"/>
    <x v="182"/>
    <d v="1899-12-30T11:30:00"/>
    <x v="122"/>
    <x v="0"/>
    <n v="52"/>
    <x v="2"/>
    <n v="2"/>
    <n v="25"/>
    <n v="13.25"/>
    <n v="50"/>
    <n v="36.75"/>
    <n v="0.73499999999999999"/>
    <x v="1"/>
  </r>
  <r>
    <n v="920"/>
    <x v="5"/>
    <d v="1899-12-30T10:25:00"/>
    <x v="123"/>
    <x v="1"/>
    <n v="28"/>
    <x v="1"/>
    <n v="3"/>
    <n v="25"/>
    <n v="6.75"/>
    <n v="75"/>
    <n v="68.25"/>
    <n v="0.91"/>
    <x v="4"/>
  </r>
  <r>
    <n v="1008"/>
    <x v="153"/>
    <d v="1899-12-30T08:51:00"/>
    <x v="31"/>
    <x v="0"/>
    <n v="30"/>
    <x v="2"/>
    <n v="4"/>
    <n v="25"/>
    <n v="13"/>
    <n v="100"/>
    <n v="87"/>
    <n v="0.87"/>
    <x v="4"/>
  </r>
  <r>
    <n v="1041"/>
    <x v="66"/>
    <d v="1899-12-30T07:27:00"/>
    <x v="119"/>
    <x v="0"/>
    <n v="34"/>
    <x v="0"/>
    <n v="2"/>
    <n v="25"/>
    <n v="11"/>
    <n v="50"/>
    <n v="39"/>
    <n v="0.78"/>
    <x v="4"/>
  </r>
  <r>
    <n v="1454"/>
    <x v="170"/>
    <d v="1899-12-30T11:18:00"/>
    <x v="47"/>
    <x v="1"/>
    <n v="46"/>
    <x v="1"/>
    <n v="1"/>
    <n v="25"/>
    <n v="6.75"/>
    <n v="25"/>
    <n v="18.25"/>
    <n v="0.73"/>
    <x v="1"/>
  </r>
  <r>
    <n v="1780"/>
    <x v="136"/>
    <d v="1899-12-30T10:00:00"/>
    <x v="120"/>
    <x v="0"/>
    <n v="52"/>
    <x v="2"/>
    <n v="2"/>
    <n v="25"/>
    <n v="10.5"/>
    <n v="50"/>
    <n v="39.5"/>
    <n v="0.79"/>
    <x v="1"/>
  </r>
  <r>
    <n v="1920"/>
    <x v="183"/>
    <d v="1899-12-30T08:33:00"/>
    <x v="40"/>
    <x v="1"/>
    <n v="28"/>
    <x v="1"/>
    <n v="3"/>
    <n v="25"/>
    <n v="9.25"/>
    <n v="75"/>
    <n v="65.75"/>
    <n v="0.87666666666666671"/>
    <x v="4"/>
  </r>
  <r>
    <n v="396"/>
    <x v="151"/>
    <d v="1899-12-30T07:11:00"/>
    <x v="65"/>
    <x v="1"/>
    <n v="55"/>
    <x v="1"/>
    <n v="1"/>
    <n v="30"/>
    <n v="10.8"/>
    <n v="30"/>
    <n v="19.2"/>
    <n v="0.64"/>
    <x v="1"/>
  </r>
  <r>
    <n v="1396"/>
    <x v="184"/>
    <d v="1899-12-30T06:23:00"/>
    <x v="124"/>
    <x v="1"/>
    <n v="55"/>
    <x v="1"/>
    <n v="1"/>
    <n v="30"/>
    <n v="8.4"/>
    <n v="30"/>
    <n v="21.6"/>
    <n v="0.72000000000000008"/>
    <x v="1"/>
  </r>
  <r>
    <n v="168"/>
    <x v="185"/>
    <d v="1899-12-30T09:20:00"/>
    <x v="77"/>
    <x v="0"/>
    <n v="53"/>
    <x v="0"/>
    <n v="1"/>
    <n v="300"/>
    <n v="102"/>
    <n v="300"/>
    <n v="198"/>
    <n v="0.66"/>
    <x v="1"/>
  </r>
  <r>
    <n v="400"/>
    <x v="186"/>
    <d v="1899-12-30T09:52:00"/>
    <x v="98"/>
    <x v="0"/>
    <n v="53"/>
    <x v="0"/>
    <n v="4"/>
    <n v="50"/>
    <n v="24"/>
    <n v="200"/>
    <n v="176"/>
    <n v="0.88"/>
    <x v="1"/>
  </r>
  <r>
    <n v="611"/>
    <x v="187"/>
    <d v="1899-12-30T08:13:00"/>
    <x v="125"/>
    <x v="0"/>
    <n v="51"/>
    <x v="1"/>
    <n v="3"/>
    <n v="500"/>
    <n v="180"/>
    <n v="1500"/>
    <n v="1320"/>
    <n v="0.88"/>
    <x v="1"/>
  </r>
  <r>
    <n v="800"/>
    <x v="112"/>
    <d v="1899-12-30T07:33:00"/>
    <x v="91"/>
    <x v="0"/>
    <n v="32"/>
    <x v="0"/>
    <n v="4"/>
    <n v="300"/>
    <n v="87"/>
    <n v="1200"/>
    <n v="1113"/>
    <n v="0.92749999999999999"/>
    <x v="4"/>
  </r>
  <r>
    <n v="1168"/>
    <x v="188"/>
    <d v="1899-12-30T07:56:00"/>
    <x v="22"/>
    <x v="0"/>
    <n v="53"/>
    <x v="0"/>
    <n v="1"/>
    <n v="300"/>
    <n v="150"/>
    <n v="300"/>
    <n v="150"/>
    <n v="0.5"/>
    <x v="1"/>
  </r>
  <r>
    <n v="1400"/>
    <x v="189"/>
    <d v="1899-12-30T11:54:00"/>
    <x v="37"/>
    <x v="0"/>
    <n v="53"/>
    <x v="0"/>
    <n v="4"/>
    <n v="50"/>
    <n v="20"/>
    <n v="200"/>
    <n v="180"/>
    <n v="0.9"/>
    <x v="1"/>
  </r>
  <r>
    <n v="1611"/>
    <x v="37"/>
    <d v="1899-12-30T07:30:00"/>
    <x v="99"/>
    <x v="0"/>
    <n v="51"/>
    <x v="1"/>
    <n v="3"/>
    <n v="500"/>
    <n v="180"/>
    <n v="1500"/>
    <n v="1320"/>
    <n v="0.88"/>
    <x v="1"/>
  </r>
  <r>
    <n v="1800"/>
    <x v="171"/>
    <d v="1899-12-30T10:53:00"/>
    <x v="15"/>
    <x v="0"/>
    <n v="32"/>
    <x v="0"/>
    <n v="4"/>
    <n v="300"/>
    <n v="111"/>
    <n v="1200"/>
    <n v="1089"/>
    <n v="0.90749999999999997"/>
    <x v="4"/>
  </r>
  <r>
    <n v="272"/>
    <x v="81"/>
    <d v="1899-12-30T11:57:00"/>
    <x v="116"/>
    <x v="1"/>
    <n v="61"/>
    <x v="2"/>
    <n v="2"/>
    <n v="50"/>
    <n v="27.5"/>
    <n v="100"/>
    <n v="72.5"/>
    <n v="0.72499999999999998"/>
    <x v="2"/>
  </r>
  <r>
    <n v="473"/>
    <x v="190"/>
    <d v="1899-12-30T10:09:00"/>
    <x v="15"/>
    <x v="0"/>
    <n v="64"/>
    <x v="1"/>
    <n v="1"/>
    <n v="50"/>
    <n v="14.5"/>
    <n v="50"/>
    <n v="35.5"/>
    <n v="0.71"/>
    <x v="2"/>
  </r>
  <r>
    <n v="506"/>
    <x v="185"/>
    <d v="1899-12-30T07:13:00"/>
    <x v="124"/>
    <x v="0"/>
    <n v="34"/>
    <x v="1"/>
    <n v="3"/>
    <n v="500"/>
    <n v="200"/>
    <n v="1500"/>
    <n v="1300"/>
    <n v="0.8666666666666667"/>
    <x v="4"/>
  </r>
  <r>
    <n v="766"/>
    <x v="191"/>
    <d v="1899-12-30T08:02:00"/>
    <x v="39"/>
    <x v="0"/>
    <n v="38"/>
    <x v="2"/>
    <n v="3"/>
    <n v="300"/>
    <n v="165"/>
    <n v="900"/>
    <n v="735"/>
    <n v="0.81666666666666665"/>
    <x v="0"/>
  </r>
  <r>
    <n v="1272"/>
    <x v="80"/>
    <d v="1899-12-30T11:59:00"/>
    <x v="8"/>
    <x v="1"/>
    <n v="61"/>
    <x v="2"/>
    <n v="2"/>
    <n v="50"/>
    <n v="17"/>
    <n v="100"/>
    <n v="83"/>
    <n v="0.83"/>
    <x v="2"/>
  </r>
  <r>
    <n v="1473"/>
    <x v="11"/>
    <d v="1899-12-30T09:06:00"/>
    <x v="126"/>
    <x v="0"/>
    <n v="64"/>
    <x v="1"/>
    <n v="1"/>
    <n v="50"/>
    <n v="13"/>
    <n v="50"/>
    <n v="37"/>
    <n v="0.74"/>
    <x v="2"/>
  </r>
  <r>
    <n v="1506"/>
    <x v="174"/>
    <d v="1899-12-30T07:31:00"/>
    <x v="1"/>
    <x v="0"/>
    <n v="34"/>
    <x v="1"/>
    <n v="3"/>
    <n v="500"/>
    <n v="245"/>
    <n v="1500"/>
    <n v="1255"/>
    <n v="0.83666666666666667"/>
    <x v="4"/>
  </r>
  <r>
    <n v="1766"/>
    <x v="34"/>
    <d v="1899-12-30T06:08:00"/>
    <x v="9"/>
    <x v="0"/>
    <n v="38"/>
    <x v="2"/>
    <n v="3"/>
    <n v="300"/>
    <n v="129"/>
    <n v="900"/>
    <n v="771"/>
    <n v="0.85666666666666669"/>
    <x v="0"/>
  </r>
  <r>
    <n v="135"/>
    <x v="192"/>
    <d v="1899-12-30T07:22:00"/>
    <x v="74"/>
    <x v="0"/>
    <n v="20"/>
    <x v="0"/>
    <n v="2"/>
    <n v="25"/>
    <n v="13"/>
    <n v="50"/>
    <n v="37"/>
    <n v="0.74"/>
    <x v="3"/>
  </r>
  <r>
    <n v="1135"/>
    <x v="193"/>
    <d v="1899-12-30T08:16:00"/>
    <x v="127"/>
    <x v="0"/>
    <n v="20"/>
    <x v="0"/>
    <n v="2"/>
    <n v="25"/>
    <n v="12.5"/>
    <n v="50"/>
    <n v="37.5"/>
    <n v="0.75"/>
    <x v="3"/>
  </r>
  <r>
    <n v="2"/>
    <x v="194"/>
    <d v="1899-12-30T10:07:00"/>
    <x v="74"/>
    <x v="1"/>
    <n v="26"/>
    <x v="0"/>
    <n v="2"/>
    <n v="500"/>
    <n v="135"/>
    <n v="1000"/>
    <n v="865"/>
    <n v="0.86499999999999999"/>
    <x v="4"/>
  </r>
  <r>
    <n v="158"/>
    <x v="93"/>
    <d v="1899-12-30T11:38:00"/>
    <x v="128"/>
    <x v="1"/>
    <n v="44"/>
    <x v="2"/>
    <n v="2"/>
    <n v="300"/>
    <n v="132"/>
    <n v="600"/>
    <n v="468"/>
    <n v="0.78"/>
    <x v="0"/>
  </r>
  <r>
    <n v="185"/>
    <x v="54"/>
    <d v="1899-12-30T09:48:00"/>
    <x v="38"/>
    <x v="0"/>
    <n v="24"/>
    <x v="0"/>
    <n v="1"/>
    <n v="25"/>
    <n v="7"/>
    <n v="25"/>
    <n v="18"/>
    <n v="0.72"/>
    <x v="3"/>
  </r>
  <r>
    <n v="433"/>
    <x v="195"/>
    <d v="1899-12-30T08:48:00"/>
    <x v="6"/>
    <x v="0"/>
    <n v="29"/>
    <x v="1"/>
    <n v="4"/>
    <n v="50"/>
    <n v="20"/>
    <n v="200"/>
    <n v="180"/>
    <n v="0.9"/>
    <x v="4"/>
  </r>
  <r>
    <n v="1002"/>
    <x v="196"/>
    <d v="1899-12-30T09:24:00"/>
    <x v="69"/>
    <x v="1"/>
    <n v="26"/>
    <x v="0"/>
    <n v="2"/>
    <n v="500"/>
    <n v="270"/>
    <n v="1000"/>
    <n v="730"/>
    <n v="0.73"/>
    <x v="4"/>
  </r>
  <r>
    <n v="1158"/>
    <x v="197"/>
    <d v="1899-12-30T09:29:00"/>
    <x v="29"/>
    <x v="1"/>
    <n v="44"/>
    <x v="2"/>
    <n v="2"/>
    <n v="300"/>
    <n v="138"/>
    <n v="600"/>
    <n v="462"/>
    <n v="0.77"/>
    <x v="0"/>
  </r>
  <r>
    <n v="1185"/>
    <x v="76"/>
    <d v="1899-12-30T10:28:00"/>
    <x v="129"/>
    <x v="0"/>
    <n v="24"/>
    <x v="0"/>
    <n v="1"/>
    <n v="25"/>
    <n v="10.25"/>
    <n v="25"/>
    <n v="14.75"/>
    <n v="0.59"/>
    <x v="3"/>
  </r>
  <r>
    <n v="1433"/>
    <x v="198"/>
    <d v="1899-12-30T11:41:00"/>
    <x v="130"/>
    <x v="0"/>
    <n v="29"/>
    <x v="1"/>
    <n v="4"/>
    <n v="50"/>
    <n v="15.5"/>
    <n v="200"/>
    <n v="184.5"/>
    <n v="0.92249999999999999"/>
    <x v="4"/>
  </r>
  <r>
    <n v="152"/>
    <x v="199"/>
    <d v="1899-12-30T11:58:00"/>
    <x v="10"/>
    <x v="0"/>
    <n v="43"/>
    <x v="2"/>
    <n v="4"/>
    <n v="500"/>
    <n v="210"/>
    <n v="2000"/>
    <n v="1790"/>
    <n v="0.89500000000000002"/>
    <x v="0"/>
  </r>
  <r>
    <n v="753"/>
    <x v="182"/>
    <d v="1899-12-30T10:07:00"/>
    <x v="118"/>
    <x v="1"/>
    <n v="32"/>
    <x v="0"/>
    <n v="1"/>
    <n v="30"/>
    <n v="15.9"/>
    <n v="30"/>
    <n v="14.1"/>
    <n v="0.47"/>
    <x v="4"/>
  </r>
  <r>
    <n v="763"/>
    <x v="200"/>
    <d v="1899-12-30T09:43:00"/>
    <x v="11"/>
    <x v="0"/>
    <n v="34"/>
    <x v="0"/>
    <n v="2"/>
    <n v="25"/>
    <n v="11.5"/>
    <n v="50"/>
    <n v="38.5"/>
    <n v="0.77"/>
    <x v="4"/>
  </r>
  <r>
    <n v="932"/>
    <x v="201"/>
    <d v="1899-12-30T08:33:00"/>
    <x v="10"/>
    <x v="1"/>
    <n v="45"/>
    <x v="1"/>
    <n v="4"/>
    <n v="25"/>
    <n v="7.75"/>
    <n v="100"/>
    <n v="92.25"/>
    <n v="0.92249999999999999"/>
    <x v="0"/>
  </r>
  <r>
    <n v="1152"/>
    <x v="87"/>
    <d v="1899-12-30T07:48:00"/>
    <x v="90"/>
    <x v="0"/>
    <n v="43"/>
    <x v="2"/>
    <n v="4"/>
    <n v="500"/>
    <n v="170"/>
    <n v="2000"/>
    <n v="1830"/>
    <n v="0.91500000000000004"/>
    <x v="0"/>
  </r>
  <r>
    <n v="1753"/>
    <x v="78"/>
    <d v="1899-12-30T07:40:00"/>
    <x v="75"/>
    <x v="1"/>
    <n v="32"/>
    <x v="0"/>
    <n v="1"/>
    <n v="30"/>
    <n v="10.5"/>
    <n v="30"/>
    <n v="19.5"/>
    <n v="0.65"/>
    <x v="4"/>
  </r>
  <r>
    <n v="1763"/>
    <x v="202"/>
    <d v="1899-12-30T11:37:00"/>
    <x v="108"/>
    <x v="0"/>
    <n v="34"/>
    <x v="0"/>
    <n v="2"/>
    <n v="25"/>
    <n v="13.5"/>
    <n v="50"/>
    <n v="36.5"/>
    <n v="0.73"/>
    <x v="4"/>
  </r>
  <r>
    <n v="1932"/>
    <x v="152"/>
    <d v="1899-12-30T07:07:00"/>
    <x v="131"/>
    <x v="1"/>
    <n v="45"/>
    <x v="1"/>
    <n v="4"/>
    <n v="25"/>
    <n v="6.25"/>
    <n v="100"/>
    <n v="93.75"/>
    <n v="0.9375"/>
    <x v="0"/>
  </r>
  <r>
    <n v="399"/>
    <x v="107"/>
    <d v="1899-12-30T09:25:00"/>
    <x v="87"/>
    <x v="1"/>
    <n v="64"/>
    <x v="1"/>
    <n v="2"/>
    <n v="30"/>
    <n v="12.9"/>
    <n v="60"/>
    <n v="47.1"/>
    <n v="0.78500000000000003"/>
    <x v="2"/>
  </r>
  <r>
    <n v="500"/>
    <x v="203"/>
    <d v="1899-12-30T06:11:00"/>
    <x v="10"/>
    <x v="1"/>
    <n v="60"/>
    <x v="1"/>
    <n v="4"/>
    <n v="25"/>
    <n v="11.5"/>
    <n v="100"/>
    <n v="88.5"/>
    <n v="0.88500000000000001"/>
    <x v="2"/>
  </r>
  <r>
    <n v="514"/>
    <x v="204"/>
    <d v="1899-12-30T08:35:00"/>
    <x v="78"/>
    <x v="1"/>
    <n v="18"/>
    <x v="2"/>
    <n v="1"/>
    <n v="300"/>
    <n v="96"/>
    <n v="300"/>
    <n v="204"/>
    <n v="0.68"/>
    <x v="3"/>
  </r>
  <r>
    <n v="1399"/>
    <x v="205"/>
    <d v="1899-12-30T09:32:00"/>
    <x v="34"/>
    <x v="1"/>
    <n v="64"/>
    <x v="1"/>
    <n v="2"/>
    <n v="30"/>
    <n v="16.2"/>
    <n v="60"/>
    <n v="43.8"/>
    <n v="0.73"/>
    <x v="2"/>
  </r>
  <r>
    <n v="1500"/>
    <x v="113"/>
    <d v="1899-12-30T08:36:00"/>
    <x v="132"/>
    <x v="1"/>
    <n v="60"/>
    <x v="1"/>
    <n v="4"/>
    <n v="25"/>
    <n v="8.5"/>
    <n v="100"/>
    <n v="91.5"/>
    <n v="0.91500000000000004"/>
    <x v="2"/>
  </r>
  <r>
    <n v="1514"/>
    <x v="206"/>
    <d v="1899-12-30T10:55:00"/>
    <x v="12"/>
    <x v="1"/>
    <n v="18"/>
    <x v="2"/>
    <n v="1"/>
    <n v="300"/>
    <n v="75"/>
    <n v="300"/>
    <n v="225"/>
    <n v="0.75"/>
    <x v="3"/>
  </r>
  <r>
    <n v="947"/>
    <x v="57"/>
    <d v="1899-12-30T07:09:00"/>
    <x v="133"/>
    <x v="0"/>
    <n v="50"/>
    <x v="1"/>
    <n v="1"/>
    <n v="300"/>
    <n v="129"/>
    <n v="300"/>
    <n v="171"/>
    <n v="0.56999999999999995"/>
    <x v="1"/>
  </r>
  <r>
    <n v="1947"/>
    <x v="43"/>
    <d v="1899-12-30T06:27:00"/>
    <x v="110"/>
    <x v="0"/>
    <n v="50"/>
    <x v="1"/>
    <n v="1"/>
    <n v="300"/>
    <n v="75"/>
    <n v="300"/>
    <n v="225"/>
    <n v="0.75"/>
    <x v="1"/>
  </r>
  <r>
    <n v="220"/>
    <x v="207"/>
    <d v="1899-12-30T06:44:00"/>
    <x v="77"/>
    <x v="0"/>
    <n v="64"/>
    <x v="1"/>
    <n v="1"/>
    <n v="500"/>
    <n v="140"/>
    <n v="500"/>
    <n v="360"/>
    <n v="0.72"/>
    <x v="2"/>
  </r>
  <r>
    <n v="339"/>
    <x v="208"/>
    <d v="1899-12-30T10:27:00"/>
    <x v="60"/>
    <x v="1"/>
    <n v="22"/>
    <x v="2"/>
    <n v="2"/>
    <n v="25"/>
    <n v="10.25"/>
    <n v="50"/>
    <n v="39.75"/>
    <n v="0.79500000000000004"/>
    <x v="3"/>
  </r>
  <r>
    <n v="785"/>
    <x v="106"/>
    <d v="1899-12-30T06:09:00"/>
    <x v="42"/>
    <x v="1"/>
    <n v="31"/>
    <x v="1"/>
    <n v="4"/>
    <n v="50"/>
    <n v="13"/>
    <n v="200"/>
    <n v="187"/>
    <n v="0.93500000000000005"/>
    <x v="4"/>
  </r>
  <r>
    <n v="885"/>
    <x v="70"/>
    <d v="1899-12-30T10:10:00"/>
    <x v="100"/>
    <x v="1"/>
    <n v="52"/>
    <x v="0"/>
    <n v="4"/>
    <n v="30"/>
    <n v="14.4"/>
    <n v="120"/>
    <n v="105.6"/>
    <n v="0.88"/>
    <x v="1"/>
  </r>
  <r>
    <n v="888"/>
    <x v="131"/>
    <d v="1899-12-30T06:03:00"/>
    <x v="112"/>
    <x v="1"/>
    <n v="52"/>
    <x v="2"/>
    <n v="4"/>
    <n v="25"/>
    <n v="12.75"/>
    <n v="100"/>
    <n v="87.25"/>
    <n v="0.87250000000000005"/>
    <x v="1"/>
  </r>
  <r>
    <n v="1220"/>
    <x v="209"/>
    <d v="1899-12-30T11:16:00"/>
    <x v="58"/>
    <x v="0"/>
    <n v="64"/>
    <x v="1"/>
    <n v="1"/>
    <n v="500"/>
    <n v="240"/>
    <n v="500"/>
    <n v="260"/>
    <n v="0.52"/>
    <x v="2"/>
  </r>
  <r>
    <n v="1339"/>
    <x v="179"/>
    <d v="1899-12-30T10:34:00"/>
    <x v="68"/>
    <x v="1"/>
    <n v="22"/>
    <x v="2"/>
    <n v="2"/>
    <n v="25"/>
    <n v="7.5"/>
    <n v="50"/>
    <n v="42.5"/>
    <n v="0.85"/>
    <x v="3"/>
  </r>
  <r>
    <n v="1785"/>
    <x v="120"/>
    <d v="1899-12-30T11:17:00"/>
    <x v="6"/>
    <x v="1"/>
    <n v="31"/>
    <x v="1"/>
    <n v="4"/>
    <n v="50"/>
    <n v="17"/>
    <n v="200"/>
    <n v="183"/>
    <n v="0.91500000000000004"/>
    <x v="4"/>
  </r>
  <r>
    <n v="1885"/>
    <x v="119"/>
    <d v="1899-12-30T07:32:00"/>
    <x v="121"/>
    <x v="1"/>
    <n v="52"/>
    <x v="0"/>
    <n v="4"/>
    <n v="30"/>
    <n v="10.8"/>
    <n v="120"/>
    <n v="109.2"/>
    <n v="0.91"/>
    <x v="1"/>
  </r>
  <r>
    <n v="1888"/>
    <x v="46"/>
    <d v="1899-12-30T08:10:00"/>
    <x v="5"/>
    <x v="1"/>
    <n v="52"/>
    <x v="2"/>
    <n v="4"/>
    <n v="25"/>
    <n v="12.5"/>
    <n v="100"/>
    <n v="87.5"/>
    <n v="0.875"/>
    <x v="1"/>
  </r>
  <r>
    <n v="621"/>
    <x v="26"/>
    <d v="1899-12-30T09:55:00"/>
    <x v="77"/>
    <x v="1"/>
    <n v="40"/>
    <x v="1"/>
    <n v="2"/>
    <n v="500"/>
    <n v="275"/>
    <n v="1000"/>
    <n v="725"/>
    <n v="0.72499999999999998"/>
    <x v="0"/>
  </r>
  <r>
    <n v="1621"/>
    <x v="210"/>
    <d v="1899-12-30T10:49:00"/>
    <x v="98"/>
    <x v="1"/>
    <n v="40"/>
    <x v="1"/>
    <n v="2"/>
    <n v="500"/>
    <n v="160"/>
    <n v="1000"/>
    <n v="840"/>
    <n v="0.84"/>
    <x v="0"/>
  </r>
  <r>
    <n v="52"/>
    <x v="112"/>
    <d v="1899-12-30T09:42:00"/>
    <x v="57"/>
    <x v="1"/>
    <n v="36"/>
    <x v="1"/>
    <n v="1"/>
    <n v="300"/>
    <n v="111"/>
    <n v="300"/>
    <n v="189"/>
    <n v="0.63"/>
    <x v="0"/>
  </r>
  <r>
    <n v="536"/>
    <x v="5"/>
    <d v="1899-12-30T06:25:00"/>
    <x v="23"/>
    <x v="1"/>
    <n v="55"/>
    <x v="1"/>
    <n v="4"/>
    <n v="30"/>
    <n v="8.6999999999999993"/>
    <n v="120"/>
    <n v="111.3"/>
    <n v="0.92749999999999999"/>
    <x v="1"/>
  </r>
  <r>
    <n v="1052"/>
    <x v="41"/>
    <d v="1899-12-30T06:12:00"/>
    <x v="30"/>
    <x v="1"/>
    <n v="36"/>
    <x v="1"/>
    <n v="1"/>
    <n v="300"/>
    <n v="120"/>
    <n v="300"/>
    <n v="180"/>
    <n v="0.6"/>
    <x v="0"/>
  </r>
  <r>
    <n v="1536"/>
    <x v="166"/>
    <d v="1899-12-30T07:23:00"/>
    <x v="134"/>
    <x v="1"/>
    <n v="55"/>
    <x v="1"/>
    <n v="4"/>
    <n v="30"/>
    <n v="13.5"/>
    <n v="120"/>
    <n v="106.5"/>
    <n v="0.88749999999999996"/>
    <x v="1"/>
  </r>
  <r>
    <n v="197"/>
    <x v="58"/>
    <d v="1899-12-30T11:57:00"/>
    <x v="134"/>
    <x v="1"/>
    <n v="42"/>
    <x v="0"/>
    <n v="4"/>
    <n v="50"/>
    <n v="25.5"/>
    <n v="200"/>
    <n v="174.5"/>
    <n v="0.87250000000000005"/>
    <x v="0"/>
  </r>
  <r>
    <n v="750"/>
    <x v="50"/>
    <d v="1899-12-30T07:33:00"/>
    <x v="69"/>
    <x v="1"/>
    <n v="35"/>
    <x v="0"/>
    <n v="3"/>
    <n v="25"/>
    <n v="8.75"/>
    <n v="75"/>
    <n v="66.25"/>
    <n v="0.8833333333333333"/>
    <x v="4"/>
  </r>
  <r>
    <n v="910"/>
    <x v="171"/>
    <d v="1899-12-30T06:29:00"/>
    <x v="77"/>
    <x v="1"/>
    <n v="20"/>
    <x v="1"/>
    <n v="3"/>
    <n v="50"/>
    <n v="22.5"/>
    <n v="150"/>
    <n v="127.5"/>
    <n v="0.85"/>
    <x v="3"/>
  </r>
  <r>
    <n v="917"/>
    <x v="211"/>
    <d v="1899-12-30T11:50:00"/>
    <x v="10"/>
    <x v="1"/>
    <n v="57"/>
    <x v="2"/>
    <n v="4"/>
    <n v="50"/>
    <n v="16.5"/>
    <n v="200"/>
    <n v="183.5"/>
    <n v="0.91749999999999998"/>
    <x v="2"/>
  </r>
  <r>
    <n v="1197"/>
    <x v="212"/>
    <d v="1899-12-30T10:07:00"/>
    <x v="29"/>
    <x v="1"/>
    <n v="42"/>
    <x v="0"/>
    <n v="4"/>
    <n v="50"/>
    <n v="19"/>
    <n v="200"/>
    <n v="181"/>
    <n v="0.90500000000000003"/>
    <x v="0"/>
  </r>
  <r>
    <n v="1750"/>
    <x v="213"/>
    <d v="1899-12-30T10:10:00"/>
    <x v="77"/>
    <x v="1"/>
    <n v="35"/>
    <x v="0"/>
    <n v="3"/>
    <n v="25"/>
    <n v="7.25"/>
    <n v="75"/>
    <n v="67.75"/>
    <n v="0.90333333333333332"/>
    <x v="4"/>
  </r>
  <r>
    <n v="1910"/>
    <x v="214"/>
    <d v="1899-12-30T06:22:00"/>
    <x v="128"/>
    <x v="1"/>
    <n v="20"/>
    <x v="1"/>
    <n v="3"/>
    <n v="50"/>
    <n v="18"/>
    <n v="150"/>
    <n v="132"/>
    <n v="0.88"/>
    <x v="3"/>
  </r>
  <r>
    <n v="1917"/>
    <x v="92"/>
    <d v="1899-12-30T07:17:00"/>
    <x v="1"/>
    <x v="1"/>
    <n v="57"/>
    <x v="2"/>
    <n v="4"/>
    <n v="50"/>
    <n v="24"/>
    <n v="200"/>
    <n v="176"/>
    <n v="0.88"/>
    <x v="2"/>
  </r>
  <r>
    <n v="198"/>
    <x v="215"/>
    <d v="1899-12-30T11:42:00"/>
    <x v="126"/>
    <x v="1"/>
    <n v="54"/>
    <x v="1"/>
    <n v="3"/>
    <n v="300"/>
    <n v="114"/>
    <n v="900"/>
    <n v="786"/>
    <n v="0.87333333333333329"/>
    <x v="1"/>
  </r>
  <r>
    <n v="444"/>
    <x v="122"/>
    <d v="1899-12-30T07:06:00"/>
    <x v="71"/>
    <x v="1"/>
    <n v="61"/>
    <x v="0"/>
    <n v="3"/>
    <n v="30"/>
    <n v="15.9"/>
    <n v="90"/>
    <n v="74.099999999999994"/>
    <n v="0.82333333333333325"/>
    <x v="2"/>
  </r>
  <r>
    <n v="547"/>
    <x v="4"/>
    <d v="1899-12-30T07:36:00"/>
    <x v="55"/>
    <x v="0"/>
    <n v="63"/>
    <x v="0"/>
    <n v="4"/>
    <n v="500"/>
    <n v="250"/>
    <n v="2000"/>
    <n v="1750"/>
    <n v="0.875"/>
    <x v="2"/>
  </r>
  <r>
    <n v="705"/>
    <x v="172"/>
    <d v="1899-12-30T07:28:00"/>
    <x v="70"/>
    <x v="0"/>
    <n v="60"/>
    <x v="2"/>
    <n v="2"/>
    <n v="25"/>
    <n v="6.25"/>
    <n v="50"/>
    <n v="43.75"/>
    <n v="0.875"/>
    <x v="2"/>
  </r>
  <r>
    <n v="1198"/>
    <x v="62"/>
    <d v="1899-12-30T10:43:00"/>
    <x v="33"/>
    <x v="1"/>
    <n v="54"/>
    <x v="1"/>
    <n v="3"/>
    <n v="300"/>
    <n v="159"/>
    <n v="900"/>
    <n v="741"/>
    <n v="0.82333333333333336"/>
    <x v="1"/>
  </r>
  <r>
    <n v="1444"/>
    <x v="185"/>
    <d v="1899-12-30T06:18:00"/>
    <x v="45"/>
    <x v="1"/>
    <n v="61"/>
    <x v="0"/>
    <n v="3"/>
    <n v="30"/>
    <n v="14.1"/>
    <n v="90"/>
    <n v="75.900000000000006"/>
    <n v="0.84333333333333338"/>
    <x v="2"/>
  </r>
  <r>
    <n v="1547"/>
    <x v="216"/>
    <d v="1899-12-30T06:39:00"/>
    <x v="113"/>
    <x v="0"/>
    <n v="63"/>
    <x v="0"/>
    <n v="4"/>
    <n v="500"/>
    <n v="235"/>
    <n v="2000"/>
    <n v="1765"/>
    <n v="0.88249999999999995"/>
    <x v="2"/>
  </r>
  <r>
    <n v="1705"/>
    <x v="128"/>
    <d v="1899-12-30T08:32:00"/>
    <x v="30"/>
    <x v="0"/>
    <n v="60"/>
    <x v="2"/>
    <n v="2"/>
    <n v="25"/>
    <n v="8.75"/>
    <n v="50"/>
    <n v="41.25"/>
    <n v="0.82499999999999996"/>
    <x v="2"/>
  </r>
  <r>
    <n v="423"/>
    <x v="217"/>
    <d v="1899-12-30T06:06:00"/>
    <x v="51"/>
    <x v="1"/>
    <n v="27"/>
    <x v="0"/>
    <n v="1"/>
    <n v="25"/>
    <n v="11.75"/>
    <n v="25"/>
    <n v="13.25"/>
    <n v="0.53"/>
    <x v="4"/>
  </r>
  <r>
    <n v="1423"/>
    <x v="104"/>
    <d v="1899-12-30T07:56:00"/>
    <x v="135"/>
    <x v="1"/>
    <n v="27"/>
    <x v="0"/>
    <n v="1"/>
    <n v="25"/>
    <n v="11"/>
    <n v="25"/>
    <n v="14"/>
    <n v="0.56000000000000005"/>
    <x v="4"/>
  </r>
  <r>
    <n v="248"/>
    <x v="218"/>
    <d v="1899-12-30T07:11:00"/>
    <x v="2"/>
    <x v="0"/>
    <n v="26"/>
    <x v="0"/>
    <n v="3"/>
    <n v="300"/>
    <n v="126"/>
    <n v="900"/>
    <n v="774"/>
    <n v="0.86"/>
    <x v="4"/>
  </r>
  <r>
    <n v="360"/>
    <x v="219"/>
    <d v="1899-12-30T09:04:00"/>
    <x v="86"/>
    <x v="0"/>
    <n v="42"/>
    <x v="0"/>
    <n v="4"/>
    <n v="25"/>
    <n v="10.5"/>
    <n v="100"/>
    <n v="89.5"/>
    <n v="0.89500000000000002"/>
    <x v="0"/>
  </r>
  <r>
    <n v="377"/>
    <x v="177"/>
    <d v="1899-12-30T08:30:00"/>
    <x v="128"/>
    <x v="1"/>
    <n v="46"/>
    <x v="0"/>
    <n v="4"/>
    <n v="50"/>
    <n v="18"/>
    <n v="200"/>
    <n v="182"/>
    <n v="0.91"/>
    <x v="1"/>
  </r>
  <r>
    <n v="1248"/>
    <x v="220"/>
    <d v="1899-12-30T08:20:00"/>
    <x v="22"/>
    <x v="0"/>
    <n v="26"/>
    <x v="0"/>
    <n v="3"/>
    <n v="300"/>
    <n v="111"/>
    <n v="900"/>
    <n v="789"/>
    <n v="0.87666666666666671"/>
    <x v="4"/>
  </r>
  <r>
    <n v="1360"/>
    <x v="221"/>
    <d v="1899-12-30T09:31:00"/>
    <x v="108"/>
    <x v="0"/>
    <n v="42"/>
    <x v="0"/>
    <n v="4"/>
    <n v="25"/>
    <n v="6.25"/>
    <n v="100"/>
    <n v="93.75"/>
    <n v="0.9375"/>
    <x v="0"/>
  </r>
  <r>
    <n v="1377"/>
    <x v="48"/>
    <d v="1899-12-30T07:52:00"/>
    <x v="41"/>
    <x v="1"/>
    <n v="46"/>
    <x v="0"/>
    <n v="4"/>
    <n v="50"/>
    <n v="14"/>
    <n v="200"/>
    <n v="186"/>
    <n v="0.93"/>
    <x v="1"/>
  </r>
  <r>
    <n v="397"/>
    <x v="222"/>
    <d v="1899-12-30T08:06:00"/>
    <x v="12"/>
    <x v="1"/>
    <n v="30"/>
    <x v="1"/>
    <n v="1"/>
    <n v="25"/>
    <n v="10.5"/>
    <n v="25"/>
    <n v="14.5"/>
    <n v="0.57999999999999996"/>
    <x v="4"/>
  </r>
  <r>
    <n v="623"/>
    <x v="223"/>
    <d v="1899-12-30T10:00:00"/>
    <x v="49"/>
    <x v="0"/>
    <n v="34"/>
    <x v="0"/>
    <n v="3"/>
    <n v="50"/>
    <n v="26"/>
    <n v="150"/>
    <n v="124"/>
    <n v="0.82666666666666666"/>
    <x v="4"/>
  </r>
  <r>
    <n v="1397"/>
    <x v="224"/>
    <d v="1899-12-30T11:05:00"/>
    <x v="9"/>
    <x v="1"/>
    <n v="30"/>
    <x v="1"/>
    <n v="1"/>
    <n v="25"/>
    <n v="11.75"/>
    <n v="25"/>
    <n v="13.25"/>
    <n v="0.53"/>
    <x v="4"/>
  </r>
  <r>
    <n v="1623"/>
    <x v="225"/>
    <d v="1899-12-30T06:14:00"/>
    <x v="104"/>
    <x v="0"/>
    <n v="34"/>
    <x v="0"/>
    <n v="3"/>
    <n v="50"/>
    <n v="22"/>
    <n v="150"/>
    <n v="128"/>
    <n v="0.85333333333333339"/>
    <x v="4"/>
  </r>
  <r>
    <n v="717"/>
    <x v="226"/>
    <d v="1899-12-30T08:15:00"/>
    <x v="59"/>
    <x v="0"/>
    <n v="57"/>
    <x v="0"/>
    <n v="1"/>
    <n v="500"/>
    <n v="190"/>
    <n v="500"/>
    <n v="310"/>
    <n v="0.62"/>
    <x v="2"/>
  </r>
  <r>
    <n v="1717"/>
    <x v="227"/>
    <d v="1899-12-30T09:40:00"/>
    <x v="103"/>
    <x v="0"/>
    <n v="57"/>
    <x v="0"/>
    <n v="1"/>
    <n v="500"/>
    <n v="175"/>
    <n v="500"/>
    <n v="325"/>
    <n v="0.65"/>
    <x v="2"/>
  </r>
  <r>
    <n v="130"/>
    <x v="228"/>
    <d v="1899-12-30T06:21:00"/>
    <x v="43"/>
    <x v="1"/>
    <n v="57"/>
    <x v="0"/>
    <n v="1"/>
    <n v="500"/>
    <n v="125"/>
    <n v="500"/>
    <n v="375"/>
    <n v="0.75"/>
    <x v="2"/>
  </r>
  <r>
    <n v="658"/>
    <x v="229"/>
    <d v="1899-12-30T07:47:00"/>
    <x v="108"/>
    <x v="0"/>
    <n v="59"/>
    <x v="0"/>
    <n v="1"/>
    <n v="25"/>
    <n v="6.5"/>
    <n v="25"/>
    <n v="18.5"/>
    <n v="0.74"/>
    <x v="2"/>
  </r>
  <r>
    <n v="1130"/>
    <x v="230"/>
    <d v="1899-12-30T09:03:00"/>
    <x v="75"/>
    <x v="1"/>
    <n v="57"/>
    <x v="0"/>
    <n v="1"/>
    <n v="500"/>
    <n v="180"/>
    <n v="500"/>
    <n v="320"/>
    <n v="0.64"/>
    <x v="2"/>
  </r>
  <r>
    <n v="1658"/>
    <x v="231"/>
    <d v="1899-12-30T06:08:00"/>
    <x v="121"/>
    <x v="0"/>
    <n v="59"/>
    <x v="0"/>
    <n v="1"/>
    <n v="25"/>
    <n v="12.25"/>
    <n v="25"/>
    <n v="12.75"/>
    <n v="0.51"/>
    <x v="2"/>
  </r>
  <r>
    <n v="7"/>
    <x v="232"/>
    <d v="1899-12-30T06:24:00"/>
    <x v="114"/>
    <x v="0"/>
    <n v="46"/>
    <x v="0"/>
    <n v="2"/>
    <n v="25"/>
    <n v="13.25"/>
    <n v="50"/>
    <n v="36.75"/>
    <n v="0.73499999999999999"/>
    <x v="1"/>
  </r>
  <r>
    <n v="119"/>
    <x v="233"/>
    <d v="1899-12-30T09:11:00"/>
    <x v="102"/>
    <x v="1"/>
    <n v="60"/>
    <x v="0"/>
    <n v="3"/>
    <n v="50"/>
    <n v="27.5"/>
    <n v="150"/>
    <n v="122.5"/>
    <n v="0.81666666666666665"/>
    <x v="2"/>
  </r>
  <r>
    <n v="278"/>
    <x v="234"/>
    <d v="1899-12-30T11:42:00"/>
    <x v="41"/>
    <x v="1"/>
    <n v="37"/>
    <x v="0"/>
    <n v="4"/>
    <n v="25"/>
    <n v="13.5"/>
    <n v="100"/>
    <n v="86.5"/>
    <n v="0.86499999999999999"/>
    <x v="0"/>
  </r>
  <r>
    <n v="1007"/>
    <x v="235"/>
    <d v="1899-12-30T10:09:00"/>
    <x v="34"/>
    <x v="0"/>
    <n v="46"/>
    <x v="0"/>
    <n v="2"/>
    <n v="25"/>
    <n v="11.5"/>
    <n v="50"/>
    <n v="38.5"/>
    <n v="0.77"/>
    <x v="1"/>
  </r>
  <r>
    <n v="1119"/>
    <x v="236"/>
    <d v="1899-12-30T09:36:00"/>
    <x v="15"/>
    <x v="1"/>
    <n v="60"/>
    <x v="0"/>
    <n v="3"/>
    <n v="50"/>
    <n v="25.5"/>
    <n v="150"/>
    <n v="124.5"/>
    <n v="0.83"/>
    <x v="2"/>
  </r>
  <r>
    <n v="1278"/>
    <x v="237"/>
    <d v="1899-12-30T06:19:00"/>
    <x v="75"/>
    <x v="1"/>
    <n v="37"/>
    <x v="0"/>
    <n v="4"/>
    <n v="25"/>
    <n v="6.75"/>
    <n v="100"/>
    <n v="93.25"/>
    <n v="0.9325"/>
    <x v="0"/>
  </r>
  <r>
    <n v="117"/>
    <x v="238"/>
    <d v="1899-12-30T11:38:00"/>
    <x v="59"/>
    <x v="0"/>
    <n v="19"/>
    <x v="2"/>
    <n v="2"/>
    <n v="500"/>
    <n v="230"/>
    <n v="1000"/>
    <n v="770"/>
    <n v="0.77"/>
    <x v="3"/>
  </r>
  <r>
    <n v="1117"/>
    <x v="239"/>
    <d v="1899-12-30T07:48:00"/>
    <x v="6"/>
    <x v="0"/>
    <n v="19"/>
    <x v="2"/>
    <n v="2"/>
    <n v="500"/>
    <n v="210"/>
    <n v="1000"/>
    <n v="790"/>
    <n v="0.79"/>
    <x v="3"/>
  </r>
  <r>
    <n v="442"/>
    <x v="240"/>
    <d v="1899-12-30T11:07:00"/>
    <x v="44"/>
    <x v="1"/>
    <n v="60"/>
    <x v="0"/>
    <n v="4"/>
    <n v="25"/>
    <n v="13.25"/>
    <n v="100"/>
    <n v="86.75"/>
    <n v="0.86750000000000005"/>
    <x v="2"/>
  </r>
  <r>
    <n v="590"/>
    <x v="241"/>
    <d v="1899-12-30T11:52:00"/>
    <x v="106"/>
    <x v="0"/>
    <n v="36"/>
    <x v="0"/>
    <n v="3"/>
    <n v="300"/>
    <n v="135"/>
    <n v="900"/>
    <n v="765"/>
    <n v="0.85"/>
    <x v="0"/>
  </r>
  <r>
    <n v="607"/>
    <x v="242"/>
    <d v="1899-12-30T09:33:00"/>
    <x v="136"/>
    <x v="0"/>
    <n v="54"/>
    <x v="0"/>
    <n v="3"/>
    <n v="25"/>
    <n v="13.25"/>
    <n v="75"/>
    <n v="61.75"/>
    <n v="0.82333333333333336"/>
    <x v="1"/>
  </r>
  <r>
    <n v="1442"/>
    <x v="243"/>
    <d v="1899-12-30T11:02:00"/>
    <x v="131"/>
    <x v="1"/>
    <n v="60"/>
    <x v="0"/>
    <n v="4"/>
    <n v="25"/>
    <n v="11.25"/>
    <n v="100"/>
    <n v="88.75"/>
    <n v="0.88749999999999996"/>
    <x v="2"/>
  </r>
  <r>
    <n v="1590"/>
    <x v="244"/>
    <d v="1899-12-30T09:39:00"/>
    <x v="113"/>
    <x v="0"/>
    <n v="36"/>
    <x v="0"/>
    <n v="3"/>
    <n v="300"/>
    <n v="147"/>
    <n v="900"/>
    <n v="753"/>
    <n v="0.83666666666666667"/>
    <x v="0"/>
  </r>
  <r>
    <n v="1607"/>
    <x v="245"/>
    <d v="1899-12-30T10:18:00"/>
    <x v="132"/>
    <x v="0"/>
    <n v="54"/>
    <x v="0"/>
    <n v="3"/>
    <n v="25"/>
    <n v="7.75"/>
    <n v="75"/>
    <n v="67.25"/>
    <n v="0.89666666666666661"/>
    <x v="1"/>
  </r>
  <r>
    <n v="436"/>
    <x v="246"/>
    <d v="1899-12-30T11:54:00"/>
    <x v="103"/>
    <x v="1"/>
    <n v="57"/>
    <x v="0"/>
    <n v="4"/>
    <n v="30"/>
    <n v="13.5"/>
    <n v="120"/>
    <n v="106.5"/>
    <n v="0.88749999999999996"/>
    <x v="2"/>
  </r>
  <r>
    <n v="942"/>
    <x v="247"/>
    <d v="1899-12-30T09:22:00"/>
    <x v="137"/>
    <x v="0"/>
    <n v="51"/>
    <x v="0"/>
    <n v="3"/>
    <n v="500"/>
    <n v="160"/>
    <n v="1500"/>
    <n v="1340"/>
    <n v="0.89333333333333331"/>
    <x v="1"/>
  </r>
  <r>
    <n v="1436"/>
    <x v="248"/>
    <d v="1899-12-30T11:29:00"/>
    <x v="15"/>
    <x v="1"/>
    <n v="57"/>
    <x v="0"/>
    <n v="4"/>
    <n v="30"/>
    <n v="9.9"/>
    <n v="120"/>
    <n v="110.1"/>
    <n v="0.91749999999999998"/>
    <x v="2"/>
  </r>
  <r>
    <n v="1942"/>
    <x v="249"/>
    <d v="1899-12-30T11:53:00"/>
    <x v="116"/>
    <x v="0"/>
    <n v="51"/>
    <x v="0"/>
    <n v="3"/>
    <n v="500"/>
    <n v="265"/>
    <n v="1500"/>
    <n v="1235"/>
    <n v="0.82333333333333336"/>
    <x v="1"/>
  </r>
  <r>
    <n v="659"/>
    <x v="235"/>
    <d v="1899-12-30T06:08:00"/>
    <x v="56"/>
    <x v="1"/>
    <n v="39"/>
    <x v="2"/>
    <n v="1"/>
    <n v="30"/>
    <n v="8.1"/>
    <n v="30"/>
    <n v="21.9"/>
    <n v="0.73"/>
    <x v="0"/>
  </r>
  <r>
    <n v="941"/>
    <x v="250"/>
    <d v="1899-12-30T09:58:00"/>
    <x v="49"/>
    <x v="1"/>
    <n v="57"/>
    <x v="0"/>
    <n v="2"/>
    <n v="25"/>
    <n v="6.5"/>
    <n v="50"/>
    <n v="43.5"/>
    <n v="0.87"/>
    <x v="2"/>
  </r>
  <r>
    <n v="1659"/>
    <x v="251"/>
    <d v="1899-12-30T09:29:00"/>
    <x v="47"/>
    <x v="1"/>
    <n v="39"/>
    <x v="2"/>
    <n v="1"/>
    <n v="30"/>
    <n v="9"/>
    <n v="30"/>
    <n v="21"/>
    <n v="0.7"/>
    <x v="0"/>
  </r>
  <r>
    <n v="1941"/>
    <x v="252"/>
    <d v="1899-12-30T06:14:00"/>
    <x v="4"/>
    <x v="1"/>
    <n v="57"/>
    <x v="0"/>
    <n v="2"/>
    <n v="25"/>
    <n v="12"/>
    <n v="50"/>
    <n v="38"/>
    <n v="0.76"/>
    <x v="2"/>
  </r>
  <r>
    <n v="136"/>
    <x v="253"/>
    <d v="1899-12-30T08:59:00"/>
    <x v="28"/>
    <x v="0"/>
    <n v="44"/>
    <x v="2"/>
    <n v="2"/>
    <n v="300"/>
    <n v="141"/>
    <n v="600"/>
    <n v="459"/>
    <n v="0.76500000000000001"/>
    <x v="0"/>
  </r>
  <r>
    <n v="175"/>
    <x v="254"/>
    <d v="1899-12-30T10:02:00"/>
    <x v="40"/>
    <x v="1"/>
    <n v="31"/>
    <x v="2"/>
    <n v="4"/>
    <n v="25"/>
    <n v="12.5"/>
    <n v="100"/>
    <n v="87.5"/>
    <n v="0.875"/>
    <x v="4"/>
  </r>
  <r>
    <n v="663"/>
    <x v="255"/>
    <d v="1899-12-30T06:32:00"/>
    <x v="138"/>
    <x v="0"/>
    <n v="23"/>
    <x v="0"/>
    <n v="4"/>
    <n v="300"/>
    <n v="87"/>
    <n v="1200"/>
    <n v="1113"/>
    <n v="0.92749999999999999"/>
    <x v="3"/>
  </r>
  <r>
    <n v="748"/>
    <x v="256"/>
    <d v="1899-12-30T09:35:00"/>
    <x v="68"/>
    <x v="0"/>
    <n v="25"/>
    <x v="0"/>
    <n v="3"/>
    <n v="50"/>
    <n v="24"/>
    <n v="150"/>
    <n v="126"/>
    <n v="0.84"/>
    <x v="3"/>
  </r>
  <r>
    <n v="806"/>
    <x v="257"/>
    <d v="1899-12-30T08:08:00"/>
    <x v="134"/>
    <x v="1"/>
    <n v="35"/>
    <x v="1"/>
    <n v="3"/>
    <n v="300"/>
    <n v="165"/>
    <n v="900"/>
    <n v="735"/>
    <n v="0.81666666666666665"/>
    <x v="4"/>
  </r>
  <r>
    <n v="1136"/>
    <x v="258"/>
    <d v="1899-12-30T08:41:00"/>
    <x v="108"/>
    <x v="0"/>
    <n v="44"/>
    <x v="2"/>
    <n v="2"/>
    <n v="300"/>
    <n v="81"/>
    <n v="600"/>
    <n v="519"/>
    <n v="0.86499999999999999"/>
    <x v="0"/>
  </r>
  <r>
    <n v="1175"/>
    <x v="259"/>
    <d v="1899-12-30T06:38:00"/>
    <x v="139"/>
    <x v="1"/>
    <n v="31"/>
    <x v="2"/>
    <n v="4"/>
    <n v="25"/>
    <n v="11.5"/>
    <n v="100"/>
    <n v="88.5"/>
    <n v="0.88500000000000001"/>
    <x v="4"/>
  </r>
  <r>
    <n v="1663"/>
    <x v="260"/>
    <d v="1899-12-30T07:04:00"/>
    <x v="60"/>
    <x v="0"/>
    <n v="23"/>
    <x v="0"/>
    <n v="4"/>
    <n v="300"/>
    <n v="81"/>
    <n v="1200"/>
    <n v="1119"/>
    <n v="0.9325"/>
    <x v="3"/>
  </r>
  <r>
    <n v="1748"/>
    <x v="261"/>
    <d v="1899-12-30T10:24:00"/>
    <x v="96"/>
    <x v="0"/>
    <n v="25"/>
    <x v="0"/>
    <n v="3"/>
    <n v="50"/>
    <n v="15.5"/>
    <n v="150"/>
    <n v="134.5"/>
    <n v="0.89666666666666661"/>
    <x v="3"/>
  </r>
  <r>
    <n v="1806"/>
    <x v="262"/>
    <d v="1899-12-30T10:13:00"/>
    <x v="63"/>
    <x v="1"/>
    <n v="35"/>
    <x v="1"/>
    <n v="3"/>
    <n v="300"/>
    <n v="102"/>
    <n v="900"/>
    <n v="798"/>
    <n v="0.88666666666666671"/>
    <x v="4"/>
  </r>
  <r>
    <n v="38"/>
    <x v="263"/>
    <d v="1899-12-30T11:39:00"/>
    <x v="33"/>
    <x v="0"/>
    <n v="38"/>
    <x v="1"/>
    <n v="4"/>
    <n v="50"/>
    <n v="26"/>
    <n v="200"/>
    <n v="174"/>
    <n v="0.87"/>
    <x v="0"/>
  </r>
  <r>
    <n v="313"/>
    <x v="264"/>
    <d v="1899-12-30T10:03:00"/>
    <x v="125"/>
    <x v="1"/>
    <n v="55"/>
    <x v="1"/>
    <n v="3"/>
    <n v="500"/>
    <n v="140"/>
    <n v="1500"/>
    <n v="1360"/>
    <n v="0.90666666666666662"/>
    <x v="1"/>
  </r>
  <r>
    <n v="402"/>
    <x v="265"/>
    <d v="1899-12-30T08:45:00"/>
    <x v="112"/>
    <x v="1"/>
    <n v="41"/>
    <x v="0"/>
    <n v="2"/>
    <n v="300"/>
    <n v="135"/>
    <n v="600"/>
    <n v="465"/>
    <n v="0.77500000000000002"/>
    <x v="0"/>
  </r>
  <r>
    <n v="459"/>
    <x v="266"/>
    <d v="1899-12-30T07:12:00"/>
    <x v="80"/>
    <x v="0"/>
    <n v="28"/>
    <x v="0"/>
    <n v="4"/>
    <n v="300"/>
    <n v="75"/>
    <n v="1200"/>
    <n v="1125"/>
    <n v="0.9375"/>
    <x v="4"/>
  </r>
  <r>
    <n v="1038"/>
    <x v="267"/>
    <d v="1899-12-30T09:09:00"/>
    <x v="125"/>
    <x v="0"/>
    <n v="38"/>
    <x v="1"/>
    <n v="4"/>
    <n v="50"/>
    <n v="20.5"/>
    <n v="200"/>
    <n v="179.5"/>
    <n v="0.89749999999999996"/>
    <x v="0"/>
  </r>
  <r>
    <n v="1313"/>
    <x v="268"/>
    <d v="1899-12-30T09:22:00"/>
    <x v="95"/>
    <x v="1"/>
    <n v="55"/>
    <x v="1"/>
    <n v="3"/>
    <n v="500"/>
    <n v="170"/>
    <n v="1500"/>
    <n v="1330"/>
    <n v="0.88666666666666671"/>
    <x v="1"/>
  </r>
  <r>
    <n v="1402"/>
    <x v="269"/>
    <d v="1899-12-30T06:47:00"/>
    <x v="140"/>
    <x v="1"/>
    <n v="41"/>
    <x v="0"/>
    <n v="2"/>
    <n v="300"/>
    <n v="156"/>
    <n v="600"/>
    <n v="444"/>
    <n v="0.74"/>
    <x v="0"/>
  </r>
  <r>
    <n v="1459"/>
    <x v="270"/>
    <d v="1899-12-30T06:46:00"/>
    <x v="94"/>
    <x v="0"/>
    <n v="28"/>
    <x v="0"/>
    <n v="4"/>
    <n v="300"/>
    <n v="144"/>
    <n v="1200"/>
    <n v="1056"/>
    <n v="0.88"/>
    <x v="4"/>
  </r>
  <r>
    <n v="161"/>
    <x v="271"/>
    <d v="1899-12-30T06:58:00"/>
    <x v="74"/>
    <x v="0"/>
    <n v="64"/>
    <x v="1"/>
    <n v="2"/>
    <n v="500"/>
    <n v="195"/>
    <n v="1000"/>
    <n v="805"/>
    <n v="0.80500000000000005"/>
    <x v="2"/>
  </r>
  <r>
    <n v="328"/>
    <x v="272"/>
    <d v="1899-12-30T06:56:00"/>
    <x v="124"/>
    <x v="0"/>
    <n v="39"/>
    <x v="1"/>
    <n v="2"/>
    <n v="50"/>
    <n v="27"/>
    <n v="100"/>
    <n v="73"/>
    <n v="0.73"/>
    <x v="0"/>
  </r>
  <r>
    <n v="383"/>
    <x v="273"/>
    <d v="1899-12-30T08:53:00"/>
    <x v="141"/>
    <x v="1"/>
    <n v="46"/>
    <x v="1"/>
    <n v="3"/>
    <n v="30"/>
    <n v="7.8"/>
    <n v="90"/>
    <n v="82.2"/>
    <n v="0.91333333333333333"/>
    <x v="1"/>
  </r>
  <r>
    <n v="973"/>
    <x v="274"/>
    <d v="1899-12-30T08:44:00"/>
    <x v="71"/>
    <x v="0"/>
    <n v="60"/>
    <x v="0"/>
    <n v="1"/>
    <n v="50"/>
    <n v="13"/>
    <n v="50"/>
    <n v="37"/>
    <n v="0.74"/>
    <x v="2"/>
  </r>
  <r>
    <n v="978"/>
    <x v="251"/>
    <d v="1899-12-30T09:58:00"/>
    <x v="24"/>
    <x v="1"/>
    <n v="53"/>
    <x v="0"/>
    <n v="3"/>
    <n v="50"/>
    <n v="19"/>
    <n v="150"/>
    <n v="131"/>
    <n v="0.87333333333333329"/>
    <x v="1"/>
  </r>
  <r>
    <n v="1161"/>
    <x v="275"/>
    <d v="1899-12-30T11:06:00"/>
    <x v="126"/>
    <x v="0"/>
    <n v="64"/>
    <x v="1"/>
    <n v="2"/>
    <n v="500"/>
    <n v="160"/>
    <n v="1000"/>
    <n v="840"/>
    <n v="0.84"/>
    <x v="2"/>
  </r>
  <r>
    <n v="1328"/>
    <x v="276"/>
    <d v="1899-12-30T07:49:00"/>
    <x v="111"/>
    <x v="0"/>
    <n v="39"/>
    <x v="1"/>
    <n v="2"/>
    <n v="50"/>
    <n v="24.5"/>
    <n v="100"/>
    <n v="75.5"/>
    <n v="0.755"/>
    <x v="0"/>
  </r>
  <r>
    <n v="1383"/>
    <x v="277"/>
    <d v="1899-12-30T09:13:00"/>
    <x v="22"/>
    <x v="1"/>
    <n v="46"/>
    <x v="1"/>
    <n v="3"/>
    <n v="30"/>
    <n v="14.1"/>
    <n v="90"/>
    <n v="75.900000000000006"/>
    <n v="0.84333333333333338"/>
    <x v="1"/>
  </r>
  <r>
    <n v="1973"/>
    <x v="278"/>
    <d v="1899-12-30T10:10:00"/>
    <x v="47"/>
    <x v="0"/>
    <n v="60"/>
    <x v="0"/>
    <n v="1"/>
    <n v="50"/>
    <n v="21.5"/>
    <n v="50"/>
    <n v="28.5"/>
    <n v="0.56999999999999995"/>
    <x v="2"/>
  </r>
  <r>
    <n v="1978"/>
    <x v="279"/>
    <d v="1899-12-30T11:59:00"/>
    <x v="51"/>
    <x v="1"/>
    <n v="53"/>
    <x v="0"/>
    <n v="3"/>
    <n v="50"/>
    <n v="15.5"/>
    <n v="150"/>
    <n v="134.5"/>
    <n v="0.89666666666666661"/>
    <x v="1"/>
  </r>
  <r>
    <n v="33"/>
    <x v="280"/>
    <d v="1899-12-30T07:40:00"/>
    <x v="60"/>
    <x v="1"/>
    <n v="50"/>
    <x v="2"/>
    <n v="2"/>
    <n v="50"/>
    <n v="21"/>
    <n v="100"/>
    <n v="79"/>
    <n v="0.79"/>
    <x v="1"/>
  </r>
  <r>
    <n v="138"/>
    <x v="281"/>
    <d v="1899-12-30T10:56:00"/>
    <x v="102"/>
    <x v="0"/>
    <n v="49"/>
    <x v="0"/>
    <n v="4"/>
    <n v="50"/>
    <n v="26.5"/>
    <n v="200"/>
    <n v="173.5"/>
    <n v="0.86750000000000005"/>
    <x v="1"/>
  </r>
  <r>
    <n v="471"/>
    <x v="282"/>
    <d v="1899-12-30T10:21:00"/>
    <x v="87"/>
    <x v="0"/>
    <n v="32"/>
    <x v="0"/>
    <n v="3"/>
    <n v="50"/>
    <n v="13"/>
    <n v="150"/>
    <n v="137"/>
    <n v="0.91333333333333333"/>
    <x v="4"/>
  </r>
  <r>
    <n v="636"/>
    <x v="283"/>
    <d v="1899-12-30T06:15:00"/>
    <x v="111"/>
    <x v="1"/>
    <n v="21"/>
    <x v="1"/>
    <n v="3"/>
    <n v="500"/>
    <n v="230"/>
    <n v="1500"/>
    <n v="1270"/>
    <n v="0.84666666666666668"/>
    <x v="3"/>
  </r>
  <r>
    <n v="1033"/>
    <x v="284"/>
    <d v="1899-12-30T06:52:00"/>
    <x v="120"/>
    <x v="1"/>
    <n v="50"/>
    <x v="2"/>
    <n v="2"/>
    <n v="50"/>
    <n v="19"/>
    <n v="100"/>
    <n v="81"/>
    <n v="0.81"/>
    <x v="1"/>
  </r>
  <r>
    <n v="1138"/>
    <x v="285"/>
    <d v="1899-12-30T11:59:00"/>
    <x v="84"/>
    <x v="0"/>
    <n v="49"/>
    <x v="0"/>
    <n v="4"/>
    <n v="50"/>
    <n v="14.5"/>
    <n v="200"/>
    <n v="185.5"/>
    <n v="0.92749999999999999"/>
    <x v="1"/>
  </r>
  <r>
    <n v="1471"/>
    <x v="286"/>
    <d v="1899-12-30T10:34:00"/>
    <x v="126"/>
    <x v="0"/>
    <n v="32"/>
    <x v="0"/>
    <n v="3"/>
    <n v="50"/>
    <n v="13"/>
    <n v="150"/>
    <n v="137"/>
    <n v="0.91333333333333333"/>
    <x v="4"/>
  </r>
  <r>
    <n v="1636"/>
    <x v="287"/>
    <d v="1899-12-30T11:26:00"/>
    <x v="17"/>
    <x v="1"/>
    <n v="21"/>
    <x v="1"/>
    <n v="3"/>
    <n v="500"/>
    <n v="150"/>
    <n v="1500"/>
    <n v="1350"/>
    <n v="0.9"/>
    <x v="3"/>
  </r>
  <r>
    <n v="177"/>
    <x v="273"/>
    <d v="1899-12-30T08:40:00"/>
    <x v="126"/>
    <x v="0"/>
    <n v="45"/>
    <x v="1"/>
    <n v="2"/>
    <n v="50"/>
    <n v="26.5"/>
    <n v="100"/>
    <n v="73.5"/>
    <n v="0.73499999999999999"/>
    <x v="0"/>
  </r>
  <r>
    <n v="426"/>
    <x v="288"/>
    <d v="1899-12-30T08:11:00"/>
    <x v="14"/>
    <x v="0"/>
    <n v="23"/>
    <x v="2"/>
    <n v="3"/>
    <n v="50"/>
    <n v="12.5"/>
    <n v="150"/>
    <n v="137.5"/>
    <n v="0.91666666666666663"/>
    <x v="3"/>
  </r>
  <r>
    <n v="1177"/>
    <x v="230"/>
    <d v="1899-12-30T09:19:00"/>
    <x v="27"/>
    <x v="0"/>
    <n v="45"/>
    <x v="1"/>
    <n v="2"/>
    <n v="50"/>
    <n v="15"/>
    <n v="100"/>
    <n v="85"/>
    <n v="0.85"/>
    <x v="0"/>
  </r>
  <r>
    <n v="1426"/>
    <x v="289"/>
    <d v="1899-12-30T11:32:00"/>
    <x v="43"/>
    <x v="0"/>
    <n v="23"/>
    <x v="2"/>
    <n v="3"/>
    <n v="50"/>
    <n v="25"/>
    <n v="150"/>
    <n v="125"/>
    <n v="0.83333333333333337"/>
    <x v="3"/>
  </r>
  <r>
    <n v="76"/>
    <x v="290"/>
    <d v="1899-12-30T07:33:00"/>
    <x v="118"/>
    <x v="1"/>
    <n v="22"/>
    <x v="2"/>
    <n v="2"/>
    <n v="50"/>
    <n v="14.5"/>
    <n v="100"/>
    <n v="85.5"/>
    <n v="0.85499999999999998"/>
    <x v="3"/>
  </r>
  <r>
    <n v="91"/>
    <x v="291"/>
    <d v="1899-12-30T06:31:00"/>
    <x v="53"/>
    <x v="1"/>
    <n v="55"/>
    <x v="2"/>
    <n v="1"/>
    <n v="500"/>
    <n v="235"/>
    <n v="500"/>
    <n v="265"/>
    <n v="0.53"/>
    <x v="1"/>
  </r>
  <r>
    <n v="461"/>
    <x v="292"/>
    <d v="1899-12-30T10:33:00"/>
    <x v="103"/>
    <x v="1"/>
    <n v="18"/>
    <x v="1"/>
    <n v="2"/>
    <n v="500"/>
    <n v="265"/>
    <n v="1000"/>
    <n v="735"/>
    <n v="0.73499999999999999"/>
    <x v="3"/>
  </r>
  <r>
    <n v="764"/>
    <x v="293"/>
    <d v="1899-12-30T08:46:00"/>
    <x v="58"/>
    <x v="1"/>
    <n v="40"/>
    <x v="0"/>
    <n v="1"/>
    <n v="25"/>
    <n v="11.25"/>
    <n v="25"/>
    <n v="13.75"/>
    <n v="0.55000000000000004"/>
    <x v="0"/>
  </r>
  <r>
    <n v="1076"/>
    <x v="294"/>
    <d v="1899-12-30T11:09:00"/>
    <x v="123"/>
    <x v="1"/>
    <n v="22"/>
    <x v="2"/>
    <n v="2"/>
    <n v="50"/>
    <n v="15"/>
    <n v="100"/>
    <n v="85"/>
    <n v="0.85"/>
    <x v="3"/>
  </r>
  <r>
    <n v="1091"/>
    <x v="295"/>
    <d v="1899-12-30T08:46:00"/>
    <x v="78"/>
    <x v="1"/>
    <n v="55"/>
    <x v="2"/>
    <n v="1"/>
    <n v="500"/>
    <n v="235"/>
    <n v="500"/>
    <n v="265"/>
    <n v="0.53"/>
    <x v="1"/>
  </r>
  <r>
    <n v="1461"/>
    <x v="296"/>
    <d v="1899-12-30T08:43:00"/>
    <x v="112"/>
    <x v="1"/>
    <n v="18"/>
    <x v="1"/>
    <n v="2"/>
    <n v="500"/>
    <n v="180"/>
    <n v="1000"/>
    <n v="820"/>
    <n v="0.82"/>
    <x v="3"/>
  </r>
  <r>
    <n v="1764"/>
    <x v="297"/>
    <d v="1899-12-30T11:04:00"/>
    <x v="94"/>
    <x v="1"/>
    <n v="40"/>
    <x v="0"/>
    <n v="1"/>
    <n v="25"/>
    <n v="11.75"/>
    <n v="25"/>
    <n v="13.25"/>
    <n v="0.53"/>
    <x v="0"/>
  </r>
  <r>
    <n v="202"/>
    <x v="254"/>
    <d v="1899-12-30T06:24:00"/>
    <x v="63"/>
    <x v="1"/>
    <n v="34"/>
    <x v="0"/>
    <n v="4"/>
    <n v="300"/>
    <n v="120"/>
    <n v="1200"/>
    <n v="1080"/>
    <n v="0.9"/>
    <x v="4"/>
  </r>
  <r>
    <n v="301"/>
    <x v="298"/>
    <d v="1899-12-30T10:58:00"/>
    <x v="74"/>
    <x v="0"/>
    <n v="30"/>
    <x v="0"/>
    <n v="4"/>
    <n v="30"/>
    <n v="9.6"/>
    <n v="120"/>
    <n v="110.4"/>
    <n v="0.92"/>
    <x v="4"/>
  </r>
  <r>
    <n v="703"/>
    <x v="299"/>
    <d v="1899-12-30T09:56:00"/>
    <x v="142"/>
    <x v="0"/>
    <n v="34"/>
    <x v="2"/>
    <n v="2"/>
    <n v="50"/>
    <n v="18.5"/>
    <n v="100"/>
    <n v="81.5"/>
    <n v="0.81499999999999995"/>
    <x v="4"/>
  </r>
  <r>
    <n v="1202"/>
    <x v="300"/>
    <d v="1899-12-30T06:56:00"/>
    <x v="27"/>
    <x v="1"/>
    <n v="34"/>
    <x v="0"/>
    <n v="4"/>
    <n v="300"/>
    <n v="144"/>
    <n v="1200"/>
    <n v="1056"/>
    <n v="0.88"/>
    <x v="4"/>
  </r>
  <r>
    <n v="1301"/>
    <x v="301"/>
    <d v="1899-12-30T09:58:00"/>
    <x v="118"/>
    <x v="0"/>
    <n v="30"/>
    <x v="0"/>
    <n v="4"/>
    <n v="30"/>
    <n v="10.5"/>
    <n v="120"/>
    <n v="109.5"/>
    <n v="0.91249999999999998"/>
    <x v="4"/>
  </r>
  <r>
    <n v="1703"/>
    <x v="302"/>
    <d v="1899-12-30T08:36:00"/>
    <x v="98"/>
    <x v="0"/>
    <n v="34"/>
    <x v="2"/>
    <n v="2"/>
    <n v="50"/>
    <n v="17"/>
    <n v="100"/>
    <n v="83"/>
    <n v="0.83"/>
    <x v="4"/>
  </r>
  <r>
    <n v="294"/>
    <x v="303"/>
    <d v="1899-12-30T09:24:00"/>
    <x v="27"/>
    <x v="1"/>
    <n v="23"/>
    <x v="0"/>
    <n v="3"/>
    <n v="30"/>
    <n v="15.3"/>
    <n v="90"/>
    <n v="74.7"/>
    <n v="0.83000000000000007"/>
    <x v="3"/>
  </r>
  <r>
    <n v="760"/>
    <x v="304"/>
    <d v="1899-12-30T07:59:00"/>
    <x v="134"/>
    <x v="0"/>
    <n v="27"/>
    <x v="1"/>
    <n v="1"/>
    <n v="500"/>
    <n v="125"/>
    <n v="500"/>
    <n v="375"/>
    <n v="0.75"/>
    <x v="4"/>
  </r>
  <r>
    <n v="1294"/>
    <x v="305"/>
    <d v="1899-12-30T11:24:00"/>
    <x v="59"/>
    <x v="1"/>
    <n v="23"/>
    <x v="0"/>
    <n v="3"/>
    <n v="30"/>
    <n v="10.5"/>
    <n v="90"/>
    <n v="79.5"/>
    <n v="0.8833333333333333"/>
    <x v="3"/>
  </r>
  <r>
    <n v="1760"/>
    <x v="306"/>
    <d v="1899-12-30T07:26:00"/>
    <x v="50"/>
    <x v="0"/>
    <n v="27"/>
    <x v="1"/>
    <n v="1"/>
    <n v="500"/>
    <n v="230"/>
    <n v="500"/>
    <n v="270"/>
    <n v="0.54"/>
    <x v="4"/>
  </r>
  <r>
    <n v="575"/>
    <x v="289"/>
    <d v="1899-12-30T10:29:00"/>
    <x v="134"/>
    <x v="0"/>
    <n v="60"/>
    <x v="0"/>
    <n v="2"/>
    <n v="50"/>
    <n v="23"/>
    <n v="100"/>
    <n v="77"/>
    <n v="0.77"/>
    <x v="2"/>
  </r>
  <r>
    <n v="1575"/>
    <x v="307"/>
    <d v="1899-12-30T11:54:00"/>
    <x v="86"/>
    <x v="0"/>
    <n v="60"/>
    <x v="0"/>
    <n v="2"/>
    <n v="50"/>
    <n v="22.5"/>
    <n v="100"/>
    <n v="77.5"/>
    <n v="0.77500000000000002"/>
    <x v="2"/>
  </r>
  <r>
    <n v="88"/>
    <x v="243"/>
    <d v="1899-12-30T08:31:00"/>
    <x v="80"/>
    <x v="0"/>
    <n v="56"/>
    <x v="0"/>
    <n v="1"/>
    <n v="500"/>
    <n v="185"/>
    <n v="500"/>
    <n v="315"/>
    <n v="0.63"/>
    <x v="2"/>
  </r>
  <r>
    <n v="1088"/>
    <x v="308"/>
    <d v="1899-12-30T07:00:00"/>
    <x v="9"/>
    <x v="0"/>
    <n v="56"/>
    <x v="0"/>
    <n v="1"/>
    <n v="500"/>
    <n v="155"/>
    <n v="500"/>
    <n v="345"/>
    <n v="0.69"/>
    <x v="2"/>
  </r>
  <r>
    <n v="975"/>
    <x v="309"/>
    <d v="1899-12-30T07:41:00"/>
    <x v="35"/>
    <x v="1"/>
    <n v="56"/>
    <x v="0"/>
    <n v="4"/>
    <n v="50"/>
    <n v="19.5"/>
    <n v="200"/>
    <n v="180.5"/>
    <n v="0.90249999999999997"/>
    <x v="2"/>
  </r>
  <r>
    <n v="1975"/>
    <x v="310"/>
    <d v="1899-12-30T10:48:00"/>
    <x v="112"/>
    <x v="1"/>
    <n v="56"/>
    <x v="0"/>
    <n v="4"/>
    <n v="50"/>
    <n v="25.5"/>
    <n v="200"/>
    <n v="174.5"/>
    <n v="0.87250000000000005"/>
    <x v="2"/>
  </r>
  <r>
    <n v="553"/>
    <x v="311"/>
    <d v="1899-12-30T06:17:00"/>
    <x v="83"/>
    <x v="0"/>
    <n v="24"/>
    <x v="0"/>
    <n v="4"/>
    <n v="300"/>
    <n v="81"/>
    <n v="1200"/>
    <n v="1119"/>
    <n v="0.9325"/>
    <x v="3"/>
  </r>
  <r>
    <n v="1553"/>
    <x v="312"/>
    <d v="1899-12-30T08:46:00"/>
    <x v="97"/>
    <x v="0"/>
    <n v="24"/>
    <x v="0"/>
    <n v="4"/>
    <n v="300"/>
    <n v="99"/>
    <n v="1200"/>
    <n v="1101"/>
    <n v="0.91749999999999998"/>
    <x v="3"/>
  </r>
  <r>
    <n v="462"/>
    <x v="313"/>
    <d v="1899-12-30T10:04:00"/>
    <x v="41"/>
    <x v="0"/>
    <n v="63"/>
    <x v="2"/>
    <n v="4"/>
    <n v="300"/>
    <n v="132"/>
    <n v="1200"/>
    <n v="1068"/>
    <n v="0.89"/>
    <x v="2"/>
  </r>
  <r>
    <n v="614"/>
    <x v="314"/>
    <d v="1899-12-30T06:28:00"/>
    <x v="63"/>
    <x v="1"/>
    <n v="39"/>
    <x v="1"/>
    <n v="4"/>
    <n v="300"/>
    <n v="120"/>
    <n v="1200"/>
    <n v="1080"/>
    <n v="0.9"/>
    <x v="0"/>
  </r>
  <r>
    <n v="808"/>
    <x v="315"/>
    <d v="1899-12-30T07:18:00"/>
    <x v="126"/>
    <x v="0"/>
    <n v="33"/>
    <x v="1"/>
    <n v="4"/>
    <n v="500"/>
    <n v="195"/>
    <n v="2000"/>
    <n v="1805"/>
    <n v="0.90249999999999997"/>
    <x v="4"/>
  </r>
  <r>
    <n v="1462"/>
    <x v="300"/>
    <d v="1899-12-30T10:42:00"/>
    <x v="127"/>
    <x v="0"/>
    <n v="63"/>
    <x v="2"/>
    <n v="4"/>
    <n v="300"/>
    <n v="114"/>
    <n v="1200"/>
    <n v="1086"/>
    <n v="0.90500000000000003"/>
    <x v="2"/>
  </r>
  <r>
    <n v="1614"/>
    <x v="306"/>
    <d v="1899-12-30T11:37:00"/>
    <x v="45"/>
    <x v="1"/>
    <n v="39"/>
    <x v="1"/>
    <n v="4"/>
    <n v="300"/>
    <n v="105"/>
    <n v="1200"/>
    <n v="1095"/>
    <n v="0.91249999999999998"/>
    <x v="0"/>
  </r>
  <r>
    <n v="1808"/>
    <x v="316"/>
    <d v="1899-12-30T10:48:00"/>
    <x v="136"/>
    <x v="0"/>
    <n v="33"/>
    <x v="1"/>
    <n v="4"/>
    <n v="500"/>
    <n v="210"/>
    <n v="2000"/>
    <n v="1790"/>
    <n v="0.89500000000000002"/>
    <x v="4"/>
  </r>
  <r>
    <n v="166"/>
    <x v="317"/>
    <d v="1899-12-30T11:42:00"/>
    <x v="120"/>
    <x v="0"/>
    <n v="34"/>
    <x v="0"/>
    <n v="4"/>
    <n v="500"/>
    <n v="225"/>
    <n v="2000"/>
    <n v="1775"/>
    <n v="0.88749999999999996"/>
    <x v="4"/>
  </r>
  <r>
    <n v="465"/>
    <x v="318"/>
    <d v="1899-12-30T11:52:00"/>
    <x v="89"/>
    <x v="1"/>
    <n v="43"/>
    <x v="2"/>
    <n v="3"/>
    <n v="50"/>
    <n v="15.5"/>
    <n v="150"/>
    <n v="134.5"/>
    <n v="0.89666666666666661"/>
    <x v="0"/>
  </r>
  <r>
    <n v="502"/>
    <x v="287"/>
    <d v="1899-12-30T11:00:00"/>
    <x v="73"/>
    <x v="0"/>
    <n v="43"/>
    <x v="2"/>
    <n v="3"/>
    <n v="50"/>
    <n v="22.5"/>
    <n v="150"/>
    <n v="127.5"/>
    <n v="0.85"/>
    <x v="0"/>
  </r>
  <r>
    <n v="905"/>
    <x v="319"/>
    <d v="1899-12-30T06:27:00"/>
    <x v="131"/>
    <x v="0"/>
    <n v="58"/>
    <x v="1"/>
    <n v="1"/>
    <n v="300"/>
    <n v="111"/>
    <n v="300"/>
    <n v="189"/>
    <n v="0.63"/>
    <x v="2"/>
  </r>
  <r>
    <n v="1166"/>
    <x v="237"/>
    <d v="1899-12-30T07:45:00"/>
    <x v="62"/>
    <x v="0"/>
    <n v="34"/>
    <x v="0"/>
    <n v="4"/>
    <n v="500"/>
    <n v="245"/>
    <n v="2000"/>
    <n v="1755"/>
    <n v="0.87749999999999995"/>
    <x v="4"/>
  </r>
  <r>
    <n v="1465"/>
    <x v="320"/>
    <d v="1899-12-30T09:36:00"/>
    <x v="135"/>
    <x v="1"/>
    <n v="43"/>
    <x v="2"/>
    <n v="3"/>
    <n v="50"/>
    <n v="26"/>
    <n v="150"/>
    <n v="124"/>
    <n v="0.82666666666666666"/>
    <x v="0"/>
  </r>
  <r>
    <n v="1502"/>
    <x v="321"/>
    <d v="1899-12-30T08:30:00"/>
    <x v="53"/>
    <x v="0"/>
    <n v="43"/>
    <x v="2"/>
    <n v="3"/>
    <n v="50"/>
    <n v="18"/>
    <n v="150"/>
    <n v="132"/>
    <n v="0.88"/>
    <x v="0"/>
  </r>
  <r>
    <n v="1905"/>
    <x v="322"/>
    <d v="1899-12-30T06:07:00"/>
    <x v="86"/>
    <x v="0"/>
    <n v="58"/>
    <x v="1"/>
    <n v="1"/>
    <n v="300"/>
    <n v="102"/>
    <n v="300"/>
    <n v="198"/>
    <n v="0.66"/>
    <x v="2"/>
  </r>
  <r>
    <n v="280"/>
    <x v="323"/>
    <d v="1899-12-30T09:35:00"/>
    <x v="104"/>
    <x v="1"/>
    <n v="37"/>
    <x v="0"/>
    <n v="3"/>
    <n v="500"/>
    <n v="240"/>
    <n v="1500"/>
    <n v="1260"/>
    <n v="0.84"/>
    <x v="0"/>
  </r>
  <r>
    <n v="719"/>
    <x v="258"/>
    <d v="1899-12-30T07:19:00"/>
    <x v="70"/>
    <x v="1"/>
    <n v="42"/>
    <x v="0"/>
    <n v="2"/>
    <n v="30"/>
    <n v="12"/>
    <n v="60"/>
    <n v="48"/>
    <n v="0.8"/>
    <x v="0"/>
  </r>
  <r>
    <n v="834"/>
    <x v="324"/>
    <d v="1899-12-30T06:55:00"/>
    <x v="94"/>
    <x v="1"/>
    <n v="56"/>
    <x v="1"/>
    <n v="2"/>
    <n v="30"/>
    <n v="14.7"/>
    <n v="60"/>
    <n v="45.3"/>
    <n v="0.755"/>
    <x v="2"/>
  </r>
  <r>
    <n v="1280"/>
    <x v="325"/>
    <d v="1899-12-30T09:15:00"/>
    <x v="31"/>
    <x v="1"/>
    <n v="37"/>
    <x v="0"/>
    <n v="3"/>
    <n v="500"/>
    <n v="255"/>
    <n v="1500"/>
    <n v="1245"/>
    <n v="0.83"/>
    <x v="0"/>
  </r>
  <r>
    <n v="1719"/>
    <x v="326"/>
    <d v="1899-12-30T07:29:00"/>
    <x v="133"/>
    <x v="1"/>
    <n v="42"/>
    <x v="0"/>
    <n v="2"/>
    <n v="30"/>
    <n v="10.8"/>
    <n v="60"/>
    <n v="49.2"/>
    <n v="0.82000000000000006"/>
    <x v="0"/>
  </r>
  <r>
    <n v="1834"/>
    <x v="291"/>
    <d v="1899-12-30T06:53:00"/>
    <x v="13"/>
    <x v="1"/>
    <n v="56"/>
    <x v="1"/>
    <n v="2"/>
    <n v="30"/>
    <n v="12.9"/>
    <n v="60"/>
    <n v="47.1"/>
    <n v="0.78500000000000003"/>
    <x v="2"/>
  </r>
  <r>
    <n v="891"/>
    <x v="309"/>
    <d v="1899-12-30T06:43:00"/>
    <x v="44"/>
    <x v="0"/>
    <n v="41"/>
    <x v="2"/>
    <n v="3"/>
    <n v="300"/>
    <n v="99"/>
    <n v="900"/>
    <n v="801"/>
    <n v="0.89"/>
    <x v="0"/>
  </r>
  <r>
    <n v="928"/>
    <x v="327"/>
    <d v="1899-12-30T10:20:00"/>
    <x v="7"/>
    <x v="1"/>
    <n v="35"/>
    <x v="0"/>
    <n v="4"/>
    <n v="300"/>
    <n v="90"/>
    <n v="1200"/>
    <n v="1110"/>
    <n v="0.92500000000000004"/>
    <x v="4"/>
  </r>
  <r>
    <n v="1891"/>
    <x v="234"/>
    <d v="1899-12-30T06:11:00"/>
    <x v="81"/>
    <x v="0"/>
    <n v="41"/>
    <x v="2"/>
    <n v="3"/>
    <n v="300"/>
    <n v="105"/>
    <n v="900"/>
    <n v="795"/>
    <n v="0.8833333333333333"/>
    <x v="0"/>
  </r>
  <r>
    <n v="1928"/>
    <x v="328"/>
    <d v="1899-12-30T06:39:00"/>
    <x v="108"/>
    <x v="1"/>
    <n v="35"/>
    <x v="0"/>
    <n v="4"/>
    <n v="300"/>
    <n v="75"/>
    <n v="1200"/>
    <n v="1125"/>
    <n v="0.9375"/>
    <x v="4"/>
  </r>
  <r>
    <n v="332"/>
    <x v="329"/>
    <d v="1899-12-30T11:28:00"/>
    <x v="77"/>
    <x v="0"/>
    <n v="58"/>
    <x v="2"/>
    <n v="4"/>
    <n v="300"/>
    <n v="105"/>
    <n v="1200"/>
    <n v="1095"/>
    <n v="0.91249999999999998"/>
    <x v="2"/>
  </r>
  <r>
    <n v="1332"/>
    <x v="330"/>
    <d v="1899-12-30T10:02:00"/>
    <x v="82"/>
    <x v="0"/>
    <n v="58"/>
    <x v="2"/>
    <n v="4"/>
    <n v="300"/>
    <n v="123"/>
    <n v="1200"/>
    <n v="1077"/>
    <n v="0.89749999999999996"/>
    <x v="2"/>
  </r>
  <r>
    <n v="255"/>
    <x v="331"/>
    <d v="1899-12-30T11:44:00"/>
    <x v="143"/>
    <x v="0"/>
    <n v="48"/>
    <x v="0"/>
    <n v="1"/>
    <n v="30"/>
    <n v="14.7"/>
    <n v="30"/>
    <n v="15.3"/>
    <n v="0.51"/>
    <x v="1"/>
  </r>
  <r>
    <n v="275"/>
    <x v="225"/>
    <d v="1899-12-30T11:34:00"/>
    <x v="98"/>
    <x v="0"/>
    <n v="43"/>
    <x v="0"/>
    <n v="2"/>
    <n v="500"/>
    <n v="260"/>
    <n v="1000"/>
    <n v="740"/>
    <n v="0.74"/>
    <x v="0"/>
  </r>
  <r>
    <n v="314"/>
    <x v="331"/>
    <d v="1899-12-30T07:37:00"/>
    <x v="15"/>
    <x v="0"/>
    <n v="52"/>
    <x v="0"/>
    <n v="4"/>
    <n v="30"/>
    <n v="7.8"/>
    <n v="120"/>
    <n v="112.2"/>
    <n v="0.93500000000000005"/>
    <x v="1"/>
  </r>
  <r>
    <n v="517"/>
    <x v="332"/>
    <d v="1899-12-30T08:54:00"/>
    <x v="55"/>
    <x v="1"/>
    <n v="47"/>
    <x v="0"/>
    <n v="4"/>
    <n v="25"/>
    <n v="9.25"/>
    <n v="100"/>
    <n v="90.75"/>
    <n v="0.90749999999999997"/>
    <x v="1"/>
  </r>
  <r>
    <n v="847"/>
    <x v="333"/>
    <d v="1899-12-30T08:42:00"/>
    <x v="98"/>
    <x v="1"/>
    <n v="18"/>
    <x v="2"/>
    <n v="4"/>
    <n v="300"/>
    <n v="162"/>
    <n v="1200"/>
    <n v="1038"/>
    <n v="0.86499999999999999"/>
    <x v="3"/>
  </r>
  <r>
    <n v="1255"/>
    <x v="248"/>
    <d v="1899-12-30T07:08:00"/>
    <x v="133"/>
    <x v="0"/>
    <n v="48"/>
    <x v="0"/>
    <n v="1"/>
    <n v="30"/>
    <n v="7.8"/>
    <n v="30"/>
    <n v="22.2"/>
    <n v="0.74"/>
    <x v="1"/>
  </r>
  <r>
    <n v="1275"/>
    <x v="261"/>
    <d v="1899-12-30T08:48:00"/>
    <x v="2"/>
    <x v="0"/>
    <n v="43"/>
    <x v="0"/>
    <n v="2"/>
    <n v="500"/>
    <n v="250"/>
    <n v="1000"/>
    <n v="750"/>
    <n v="0.75"/>
    <x v="0"/>
  </r>
  <r>
    <n v="1314"/>
    <x v="266"/>
    <d v="1899-12-30T10:26:00"/>
    <x v="98"/>
    <x v="0"/>
    <n v="52"/>
    <x v="0"/>
    <n v="4"/>
    <n v="30"/>
    <n v="16.2"/>
    <n v="120"/>
    <n v="103.8"/>
    <n v="0.86499999999999999"/>
    <x v="1"/>
  </r>
  <r>
    <n v="1517"/>
    <x v="334"/>
    <d v="1899-12-30T08:46:00"/>
    <x v="98"/>
    <x v="1"/>
    <n v="47"/>
    <x v="0"/>
    <n v="4"/>
    <n v="25"/>
    <n v="6.75"/>
    <n v="100"/>
    <n v="93.25"/>
    <n v="0.9325"/>
    <x v="1"/>
  </r>
  <r>
    <n v="1847"/>
    <x v="307"/>
    <d v="1899-12-30T07:14:00"/>
    <x v="2"/>
    <x v="1"/>
    <n v="18"/>
    <x v="2"/>
    <n v="4"/>
    <n v="300"/>
    <n v="123"/>
    <n v="1200"/>
    <n v="1077"/>
    <n v="0.89749999999999996"/>
    <x v="3"/>
  </r>
  <r>
    <n v="61"/>
    <x v="335"/>
    <d v="1899-12-30T11:47:00"/>
    <x v="133"/>
    <x v="0"/>
    <n v="21"/>
    <x v="1"/>
    <n v="4"/>
    <n v="50"/>
    <n v="20"/>
    <n v="200"/>
    <n v="180"/>
    <n v="0.9"/>
    <x v="3"/>
  </r>
  <r>
    <n v="274"/>
    <x v="291"/>
    <d v="1899-12-30T07:12:00"/>
    <x v="133"/>
    <x v="1"/>
    <n v="23"/>
    <x v="0"/>
    <n v="2"/>
    <n v="500"/>
    <n v="150"/>
    <n v="1000"/>
    <n v="850"/>
    <n v="0.85"/>
    <x v="3"/>
  </r>
  <r>
    <n v="486"/>
    <x v="336"/>
    <d v="1899-12-30T09:47:00"/>
    <x v="133"/>
    <x v="1"/>
    <n v="35"/>
    <x v="2"/>
    <n v="1"/>
    <n v="25"/>
    <n v="6.5"/>
    <n v="25"/>
    <n v="18.5"/>
    <n v="0.74"/>
    <x v="4"/>
  </r>
  <r>
    <n v="548"/>
    <x v="291"/>
    <d v="1899-12-30T07:00:00"/>
    <x v="133"/>
    <x v="1"/>
    <n v="51"/>
    <x v="0"/>
    <n v="2"/>
    <n v="30"/>
    <n v="15.6"/>
    <n v="60"/>
    <n v="44.4"/>
    <n v="0.74"/>
    <x v="1"/>
  </r>
  <r>
    <n v="886"/>
    <x v="337"/>
    <d v="1899-12-30T11:25:00"/>
    <x v="133"/>
    <x v="0"/>
    <n v="37"/>
    <x v="2"/>
    <n v="3"/>
    <n v="300"/>
    <n v="165"/>
    <n v="900"/>
    <n v="735"/>
    <n v="0.81666666666666665"/>
    <x v="0"/>
  </r>
  <r>
    <n v="892"/>
    <x v="338"/>
    <d v="1899-12-30T11:39:00"/>
    <x v="15"/>
    <x v="0"/>
    <n v="20"/>
    <x v="2"/>
    <n v="1"/>
    <n v="50"/>
    <n v="24"/>
    <n v="50"/>
    <n v="26"/>
    <n v="0.52"/>
    <x v="3"/>
  </r>
  <r>
    <n v="1061"/>
    <x v="339"/>
    <d v="1899-12-30T07:56:00"/>
    <x v="55"/>
    <x v="0"/>
    <n v="21"/>
    <x v="1"/>
    <n v="4"/>
    <n v="50"/>
    <n v="12.5"/>
    <n v="200"/>
    <n v="187.5"/>
    <n v="0.9375"/>
    <x v="3"/>
  </r>
  <r>
    <n v="1274"/>
    <x v="340"/>
    <d v="1899-12-30T09:01:00"/>
    <x v="98"/>
    <x v="1"/>
    <n v="23"/>
    <x v="0"/>
    <n v="2"/>
    <n v="500"/>
    <n v="185"/>
    <n v="1000"/>
    <n v="815"/>
    <n v="0.81499999999999995"/>
    <x v="3"/>
  </r>
  <r>
    <n v="1486"/>
    <x v="315"/>
    <d v="1899-12-30T08:58:00"/>
    <x v="133"/>
    <x v="1"/>
    <n v="35"/>
    <x v="2"/>
    <n v="1"/>
    <n v="25"/>
    <n v="8.75"/>
    <n v="25"/>
    <n v="16.25"/>
    <n v="0.65"/>
    <x v="4"/>
  </r>
  <r>
    <n v="1548"/>
    <x v="341"/>
    <d v="1899-12-30T08:15:00"/>
    <x v="15"/>
    <x v="1"/>
    <n v="51"/>
    <x v="0"/>
    <n v="2"/>
    <n v="30"/>
    <n v="12.6"/>
    <n v="60"/>
    <n v="47.4"/>
    <n v="0.78999999999999992"/>
    <x v="1"/>
  </r>
  <r>
    <n v="1886"/>
    <x v="342"/>
    <d v="1899-12-30T11:51:00"/>
    <x v="15"/>
    <x v="0"/>
    <n v="37"/>
    <x v="2"/>
    <n v="3"/>
    <n v="300"/>
    <n v="147"/>
    <n v="900"/>
    <n v="753"/>
    <n v="0.83666666666666667"/>
    <x v="0"/>
  </r>
  <r>
    <n v="1892"/>
    <x v="319"/>
    <d v="1899-12-30T07:22:00"/>
    <x v="55"/>
    <x v="0"/>
    <n v="20"/>
    <x v="2"/>
    <n v="1"/>
    <n v="50"/>
    <n v="23.5"/>
    <n v="50"/>
    <n v="26.5"/>
    <n v="0.53"/>
    <x v="3"/>
  </r>
  <r>
    <n v="601"/>
    <x v="343"/>
    <d v="1899-12-30T09:23:00"/>
    <x v="2"/>
    <x v="0"/>
    <n v="19"/>
    <x v="0"/>
    <n v="1"/>
    <n v="30"/>
    <n v="13.2"/>
    <n v="30"/>
    <n v="16.8"/>
    <n v="0.56000000000000005"/>
    <x v="3"/>
  </r>
  <r>
    <n v="901"/>
    <x v="344"/>
    <d v="1899-12-30T06:38:00"/>
    <x v="98"/>
    <x v="0"/>
    <n v="31"/>
    <x v="2"/>
    <n v="1"/>
    <n v="30"/>
    <n v="12"/>
    <n v="30"/>
    <n v="18"/>
    <n v="0.6"/>
    <x v="4"/>
  </r>
  <r>
    <n v="1601"/>
    <x v="308"/>
    <d v="1899-12-30T11:48:00"/>
    <x v="15"/>
    <x v="0"/>
    <n v="19"/>
    <x v="0"/>
    <n v="1"/>
    <n v="30"/>
    <n v="13.5"/>
    <n v="30"/>
    <n v="16.5"/>
    <n v="0.55000000000000004"/>
    <x v="3"/>
  </r>
  <r>
    <n v="1901"/>
    <x v="345"/>
    <d v="1899-12-30T11:05:00"/>
    <x v="133"/>
    <x v="0"/>
    <n v="31"/>
    <x v="2"/>
    <n v="1"/>
    <n v="30"/>
    <n v="8.4"/>
    <n v="30"/>
    <n v="21.6"/>
    <n v="0.72000000000000008"/>
    <x v="4"/>
  </r>
  <r>
    <n v="527"/>
    <x v="346"/>
    <d v="1899-12-30T11:35:00"/>
    <x v="15"/>
    <x v="0"/>
    <n v="57"/>
    <x v="0"/>
    <n v="2"/>
    <n v="25"/>
    <n v="11.5"/>
    <n v="50"/>
    <n v="38.5"/>
    <n v="0.77"/>
    <x v="2"/>
  </r>
  <r>
    <n v="1527"/>
    <x v="347"/>
    <d v="1899-12-30T08:30:00"/>
    <x v="15"/>
    <x v="0"/>
    <n v="57"/>
    <x v="0"/>
    <n v="2"/>
    <n v="25"/>
    <n v="11.75"/>
    <n v="50"/>
    <n v="38.25"/>
    <n v="0.76500000000000001"/>
    <x v="2"/>
  </r>
  <r>
    <n v="23"/>
    <x v="348"/>
    <d v="1899-12-30T07:05:00"/>
    <x v="133"/>
    <x v="1"/>
    <n v="35"/>
    <x v="0"/>
    <n v="4"/>
    <n v="30"/>
    <n v="14.7"/>
    <n v="120"/>
    <n v="105.3"/>
    <n v="0.87749999999999995"/>
    <x v="4"/>
  </r>
  <r>
    <n v="174"/>
    <x v="223"/>
    <d v="1899-12-30T06:07:00"/>
    <x v="98"/>
    <x v="1"/>
    <n v="39"/>
    <x v="1"/>
    <n v="1"/>
    <n v="300"/>
    <n v="126"/>
    <n v="300"/>
    <n v="174"/>
    <n v="0.57999999999999996"/>
    <x v="0"/>
  </r>
  <r>
    <n v="589"/>
    <x v="349"/>
    <d v="1899-12-30T07:11:00"/>
    <x v="2"/>
    <x v="1"/>
    <n v="36"/>
    <x v="1"/>
    <n v="2"/>
    <n v="500"/>
    <n v="145"/>
    <n v="1000"/>
    <n v="855"/>
    <n v="0.85499999999999998"/>
    <x v="0"/>
  </r>
  <r>
    <n v="774"/>
    <x v="350"/>
    <d v="1899-12-30T09:04:00"/>
    <x v="98"/>
    <x v="1"/>
    <n v="40"/>
    <x v="0"/>
    <n v="2"/>
    <n v="25"/>
    <n v="6.5"/>
    <n v="50"/>
    <n v="43.5"/>
    <n v="0.87"/>
    <x v="0"/>
  </r>
  <r>
    <n v="1000"/>
    <x v="351"/>
    <d v="1899-12-30T10:22:00"/>
    <x v="15"/>
    <x v="0"/>
    <n v="47"/>
    <x v="2"/>
    <n v="4"/>
    <n v="30"/>
    <n v="8.4"/>
    <n v="120"/>
    <n v="111.6"/>
    <n v="0.92999999999999994"/>
    <x v="1"/>
  </r>
  <r>
    <n v="1023"/>
    <x v="266"/>
    <d v="1899-12-30T08:40:00"/>
    <x v="2"/>
    <x v="1"/>
    <n v="35"/>
    <x v="0"/>
    <n v="4"/>
    <n v="30"/>
    <n v="8.1"/>
    <n v="120"/>
    <n v="111.9"/>
    <n v="0.9325"/>
    <x v="4"/>
  </r>
  <r>
    <n v="1174"/>
    <x v="352"/>
    <d v="1899-12-30T06:55:00"/>
    <x v="98"/>
    <x v="1"/>
    <n v="39"/>
    <x v="1"/>
    <n v="1"/>
    <n v="300"/>
    <n v="132"/>
    <n v="300"/>
    <n v="168"/>
    <n v="0.56000000000000005"/>
    <x v="0"/>
  </r>
  <r>
    <n v="1589"/>
    <x v="271"/>
    <d v="1899-12-30T06:30:00"/>
    <x v="2"/>
    <x v="1"/>
    <n v="36"/>
    <x v="1"/>
    <n v="2"/>
    <n v="500"/>
    <n v="145"/>
    <n v="1000"/>
    <n v="855"/>
    <n v="0.85499999999999998"/>
    <x v="0"/>
  </r>
  <r>
    <n v="1774"/>
    <x v="353"/>
    <d v="1899-12-30T06:48:00"/>
    <x v="98"/>
    <x v="1"/>
    <n v="40"/>
    <x v="0"/>
    <n v="2"/>
    <n v="25"/>
    <n v="8"/>
    <n v="50"/>
    <n v="42"/>
    <n v="0.84"/>
    <x v="0"/>
  </r>
  <r>
    <n v="2000"/>
    <x v="354"/>
    <d v="1899-12-30T06:38:00"/>
    <x v="133"/>
    <x v="0"/>
    <n v="47"/>
    <x v="2"/>
    <n v="4"/>
    <n v="30"/>
    <n v="10.8"/>
    <n v="120"/>
    <n v="109.2"/>
    <n v="0.91"/>
    <x v="1"/>
  </r>
  <r>
    <n v="210"/>
    <x v="355"/>
    <d v="1899-12-30T08:50:00"/>
    <x v="98"/>
    <x v="0"/>
    <n v="37"/>
    <x v="2"/>
    <n v="4"/>
    <n v="50"/>
    <n v="19"/>
    <n v="200"/>
    <n v="181"/>
    <n v="0.90500000000000003"/>
    <x v="0"/>
  </r>
  <r>
    <n v="478"/>
    <x v="356"/>
    <d v="1899-12-30T11:13:00"/>
    <x v="55"/>
    <x v="1"/>
    <n v="58"/>
    <x v="0"/>
    <n v="2"/>
    <n v="30"/>
    <n v="8.1"/>
    <n v="60"/>
    <n v="51.9"/>
    <n v="0.86499999999999999"/>
    <x v="2"/>
  </r>
  <r>
    <n v="745"/>
    <x v="357"/>
    <d v="1899-12-30T07:30:00"/>
    <x v="55"/>
    <x v="0"/>
    <n v="54"/>
    <x v="1"/>
    <n v="2"/>
    <n v="50"/>
    <n v="17"/>
    <n v="100"/>
    <n v="83"/>
    <n v="0.83"/>
    <x v="1"/>
  </r>
  <r>
    <n v="1210"/>
    <x v="358"/>
    <d v="1899-12-30T10:02:00"/>
    <x v="2"/>
    <x v="0"/>
    <n v="37"/>
    <x v="2"/>
    <n v="4"/>
    <n v="50"/>
    <n v="12.5"/>
    <n v="200"/>
    <n v="187.5"/>
    <n v="0.9375"/>
    <x v="0"/>
  </r>
  <r>
    <n v="1478"/>
    <x v="279"/>
    <d v="1899-12-30T09:18:00"/>
    <x v="15"/>
    <x v="1"/>
    <n v="58"/>
    <x v="0"/>
    <n v="2"/>
    <n v="30"/>
    <n v="13.5"/>
    <n v="60"/>
    <n v="46.5"/>
    <n v="0.77500000000000002"/>
    <x v="2"/>
  </r>
  <r>
    <n v="1745"/>
    <x v="348"/>
    <d v="1899-12-30T10:38:00"/>
    <x v="133"/>
    <x v="0"/>
    <n v="54"/>
    <x v="1"/>
    <n v="2"/>
    <n v="50"/>
    <n v="21"/>
    <n v="100"/>
    <n v="79"/>
    <n v="0.79"/>
    <x v="1"/>
  </r>
  <r>
    <n v="354"/>
    <x v="264"/>
    <d v="1899-12-30T07:58:00"/>
    <x v="2"/>
    <x v="1"/>
    <n v="49"/>
    <x v="1"/>
    <n v="4"/>
    <n v="50"/>
    <n v="24.5"/>
    <n v="200"/>
    <n v="175.5"/>
    <n v="0.87749999999999995"/>
    <x v="1"/>
  </r>
  <r>
    <n v="408"/>
    <x v="234"/>
    <d v="1899-12-30T08:18:00"/>
    <x v="133"/>
    <x v="1"/>
    <n v="64"/>
    <x v="1"/>
    <n v="1"/>
    <n v="500"/>
    <n v="140"/>
    <n v="500"/>
    <n v="360"/>
    <n v="0.72"/>
    <x v="2"/>
  </r>
  <r>
    <n v="1354"/>
    <x v="359"/>
    <d v="1899-12-30T09:34:00"/>
    <x v="2"/>
    <x v="1"/>
    <n v="49"/>
    <x v="1"/>
    <n v="4"/>
    <n v="50"/>
    <n v="26.5"/>
    <n v="200"/>
    <n v="173.5"/>
    <n v="0.86750000000000005"/>
    <x v="1"/>
  </r>
  <r>
    <n v="1408"/>
    <x v="360"/>
    <d v="1899-12-30T08:17:00"/>
    <x v="98"/>
    <x v="1"/>
    <n v="64"/>
    <x v="1"/>
    <n v="1"/>
    <n v="500"/>
    <n v="250"/>
    <n v="500"/>
    <n v="250"/>
    <n v="0.5"/>
    <x v="2"/>
  </r>
  <r>
    <n v="674"/>
    <x v="361"/>
    <d v="1899-12-30T11:10:00"/>
    <x v="98"/>
    <x v="1"/>
    <n v="38"/>
    <x v="0"/>
    <n v="1"/>
    <n v="300"/>
    <n v="84"/>
    <n v="300"/>
    <n v="216"/>
    <n v="0.72"/>
    <x v="0"/>
  </r>
  <r>
    <n v="1674"/>
    <x v="315"/>
    <d v="1899-12-30T09:21:00"/>
    <x v="15"/>
    <x v="1"/>
    <n v="38"/>
    <x v="0"/>
    <n v="1"/>
    <n v="300"/>
    <n v="123"/>
    <n v="300"/>
    <n v="177"/>
    <n v="0.59"/>
    <x v="0"/>
  </r>
  <r>
    <n v="967"/>
    <x v="238"/>
    <d v="1899-12-30T10:13:00"/>
    <x v="133"/>
    <x v="0"/>
    <n v="62"/>
    <x v="1"/>
    <n v="1"/>
    <n v="25"/>
    <n v="13.25"/>
    <n v="25"/>
    <n v="11.75"/>
    <n v="0.47"/>
    <x v="2"/>
  </r>
  <r>
    <n v="1967"/>
    <x v="362"/>
    <d v="1899-12-30T08:28:00"/>
    <x v="133"/>
    <x v="0"/>
    <n v="62"/>
    <x v="1"/>
    <n v="1"/>
    <n v="25"/>
    <n v="12.25"/>
    <n v="25"/>
    <n v="12.75"/>
    <n v="0.51"/>
    <x v="2"/>
  </r>
  <r>
    <n v="79"/>
    <x v="363"/>
    <d v="1899-12-30T10:15:00"/>
    <x v="15"/>
    <x v="0"/>
    <n v="34"/>
    <x v="1"/>
    <n v="1"/>
    <n v="300"/>
    <n v="96"/>
    <n v="300"/>
    <n v="204"/>
    <n v="0.68"/>
    <x v="4"/>
  </r>
  <r>
    <n v="406"/>
    <x v="351"/>
    <d v="1899-12-30T11:50:00"/>
    <x v="55"/>
    <x v="1"/>
    <n v="22"/>
    <x v="1"/>
    <n v="4"/>
    <n v="25"/>
    <n v="11"/>
    <n v="100"/>
    <n v="89"/>
    <n v="0.89"/>
    <x v="3"/>
  </r>
  <r>
    <n v="450"/>
    <x v="247"/>
    <d v="1899-12-30T06:35:00"/>
    <x v="98"/>
    <x v="1"/>
    <n v="59"/>
    <x v="1"/>
    <n v="2"/>
    <n v="25"/>
    <n v="11"/>
    <n v="50"/>
    <n v="39"/>
    <n v="0.78"/>
    <x v="2"/>
  </r>
  <r>
    <n v="562"/>
    <x v="364"/>
    <d v="1899-12-30T09:26:00"/>
    <x v="55"/>
    <x v="0"/>
    <n v="54"/>
    <x v="2"/>
    <n v="2"/>
    <n v="25"/>
    <n v="7.25"/>
    <n v="50"/>
    <n v="42.75"/>
    <n v="0.85499999999999998"/>
    <x v="1"/>
  </r>
  <r>
    <n v="1079"/>
    <x v="310"/>
    <d v="1899-12-30T06:45:00"/>
    <x v="15"/>
    <x v="0"/>
    <n v="34"/>
    <x v="1"/>
    <n v="1"/>
    <n v="300"/>
    <n v="117"/>
    <n v="300"/>
    <n v="183"/>
    <n v="0.61"/>
    <x v="4"/>
  </r>
  <r>
    <n v="1406"/>
    <x v="365"/>
    <d v="1899-12-30T08:45:00"/>
    <x v="98"/>
    <x v="1"/>
    <n v="22"/>
    <x v="1"/>
    <n v="4"/>
    <n v="25"/>
    <n v="10"/>
    <n v="100"/>
    <n v="90"/>
    <n v="0.9"/>
    <x v="3"/>
  </r>
  <r>
    <n v="1450"/>
    <x v="366"/>
    <d v="1899-12-30T08:52:00"/>
    <x v="15"/>
    <x v="1"/>
    <n v="59"/>
    <x v="1"/>
    <n v="2"/>
    <n v="25"/>
    <n v="10.25"/>
    <n v="50"/>
    <n v="39.75"/>
    <n v="0.79500000000000004"/>
    <x v="2"/>
  </r>
  <r>
    <n v="1562"/>
    <x v="324"/>
    <d v="1899-12-30T10:21:00"/>
    <x v="2"/>
    <x v="0"/>
    <n v="54"/>
    <x v="2"/>
    <n v="2"/>
    <n v="25"/>
    <n v="12.75"/>
    <n v="50"/>
    <n v="37.25"/>
    <n v="0.745"/>
    <x v="1"/>
  </r>
  <r>
    <n v="108"/>
    <x v="305"/>
    <d v="1899-12-30T09:38:00"/>
    <x v="2"/>
    <x v="1"/>
    <n v="27"/>
    <x v="1"/>
    <n v="3"/>
    <n v="25"/>
    <n v="13.5"/>
    <n v="75"/>
    <n v="61.5"/>
    <n v="0.82"/>
    <x v="4"/>
  </r>
  <r>
    <n v="111"/>
    <x v="367"/>
    <d v="1899-12-30T09:45:00"/>
    <x v="2"/>
    <x v="1"/>
    <n v="34"/>
    <x v="2"/>
    <n v="3"/>
    <n v="500"/>
    <n v="130"/>
    <n v="1500"/>
    <n v="1370"/>
    <n v="0.91333333333333333"/>
    <x v="4"/>
  </r>
  <r>
    <n v="207"/>
    <x v="368"/>
    <d v="1899-12-30T08:34:00"/>
    <x v="55"/>
    <x v="1"/>
    <n v="42"/>
    <x v="1"/>
    <n v="2"/>
    <n v="25"/>
    <n v="10.25"/>
    <n v="50"/>
    <n v="39.75"/>
    <n v="0.79500000000000004"/>
    <x v="0"/>
  </r>
  <r>
    <n v="724"/>
    <x v="262"/>
    <d v="1899-12-30T06:56:00"/>
    <x v="55"/>
    <x v="0"/>
    <n v="61"/>
    <x v="0"/>
    <n v="3"/>
    <n v="50"/>
    <n v="20"/>
    <n v="150"/>
    <n v="130"/>
    <n v="0.8666666666666667"/>
    <x v="2"/>
  </r>
  <r>
    <n v="836"/>
    <x v="369"/>
    <d v="1899-12-30T06:32:00"/>
    <x v="98"/>
    <x v="1"/>
    <n v="22"/>
    <x v="0"/>
    <n v="1"/>
    <n v="50"/>
    <n v="27.5"/>
    <n v="50"/>
    <n v="22.5"/>
    <n v="0.45"/>
    <x v="3"/>
  </r>
  <r>
    <n v="969"/>
    <x v="370"/>
    <d v="1899-12-30T11:47:00"/>
    <x v="98"/>
    <x v="1"/>
    <n v="40"/>
    <x v="0"/>
    <n v="3"/>
    <n v="300"/>
    <n v="84"/>
    <n v="900"/>
    <n v="816"/>
    <n v="0.90666666666666662"/>
    <x v="0"/>
  </r>
  <r>
    <n v="1108"/>
    <x v="349"/>
    <d v="1899-12-30T10:27:00"/>
    <x v="15"/>
    <x v="1"/>
    <n v="27"/>
    <x v="1"/>
    <n v="3"/>
    <n v="25"/>
    <n v="10"/>
    <n v="75"/>
    <n v="65"/>
    <n v="0.8666666666666667"/>
    <x v="4"/>
  </r>
  <r>
    <n v="1111"/>
    <x v="371"/>
    <d v="1899-12-30T21:34:00"/>
    <x v="98"/>
    <x v="1"/>
    <n v="34"/>
    <x v="2"/>
    <n v="3"/>
    <n v="500"/>
    <n v="185"/>
    <n v="1500"/>
    <n v="1315"/>
    <n v="0.87666666666666671"/>
    <x v="4"/>
  </r>
  <r>
    <n v="1207"/>
    <x v="240"/>
    <d v="1899-12-30T21:48:00"/>
    <x v="55"/>
    <x v="1"/>
    <n v="42"/>
    <x v="1"/>
    <n v="2"/>
    <n v="25"/>
    <n v="10"/>
    <n v="50"/>
    <n v="40"/>
    <n v="0.8"/>
    <x v="0"/>
  </r>
  <r>
    <n v="1724"/>
    <x v="372"/>
    <d v="1899-12-30T20:53:00"/>
    <x v="133"/>
    <x v="0"/>
    <n v="61"/>
    <x v="0"/>
    <n v="3"/>
    <n v="50"/>
    <n v="17"/>
    <n v="150"/>
    <n v="133"/>
    <n v="0.88666666666666671"/>
    <x v="2"/>
  </r>
  <r>
    <n v="1836"/>
    <x v="314"/>
    <d v="1899-12-30T17:19:00"/>
    <x v="55"/>
    <x v="1"/>
    <n v="22"/>
    <x v="0"/>
    <n v="1"/>
    <n v="50"/>
    <n v="23.5"/>
    <n v="50"/>
    <n v="26.5"/>
    <n v="0.53"/>
    <x v="3"/>
  </r>
  <r>
    <n v="1969"/>
    <x v="225"/>
    <d v="1899-12-30T19:34:00"/>
    <x v="133"/>
    <x v="1"/>
    <n v="40"/>
    <x v="0"/>
    <n v="3"/>
    <n v="300"/>
    <n v="126"/>
    <n v="900"/>
    <n v="774"/>
    <n v="0.86"/>
    <x v="0"/>
  </r>
  <r>
    <n v="246"/>
    <x v="260"/>
    <d v="1899-12-30T20:05:00"/>
    <x v="133"/>
    <x v="1"/>
    <n v="48"/>
    <x v="2"/>
    <n v="2"/>
    <n v="25"/>
    <n v="13.25"/>
    <n v="50"/>
    <n v="36.75"/>
    <n v="0.73499999999999999"/>
    <x v="1"/>
  </r>
  <r>
    <n v="298"/>
    <x v="373"/>
    <d v="1899-12-30T19:05:00"/>
    <x v="55"/>
    <x v="0"/>
    <n v="27"/>
    <x v="1"/>
    <n v="4"/>
    <n v="300"/>
    <n v="84"/>
    <n v="1200"/>
    <n v="1116"/>
    <n v="0.93"/>
    <x v="4"/>
  </r>
  <r>
    <n v="374"/>
    <x v="374"/>
    <d v="1899-12-30T17:45:00"/>
    <x v="133"/>
    <x v="1"/>
    <n v="59"/>
    <x v="1"/>
    <n v="3"/>
    <n v="25"/>
    <n v="7.75"/>
    <n v="75"/>
    <n v="67.25"/>
    <n v="0.89666666666666661"/>
    <x v="2"/>
  </r>
  <r>
    <n v="572"/>
    <x v="288"/>
    <d v="1899-12-30T18:33:00"/>
    <x v="2"/>
    <x v="0"/>
    <n v="31"/>
    <x v="0"/>
    <n v="4"/>
    <n v="500"/>
    <n v="185"/>
    <n v="2000"/>
    <n v="1815"/>
    <n v="0.90749999999999997"/>
    <x v="4"/>
  </r>
  <r>
    <n v="665"/>
    <x v="375"/>
    <d v="1899-12-30T22:49:00"/>
    <x v="15"/>
    <x v="0"/>
    <n v="57"/>
    <x v="0"/>
    <n v="1"/>
    <n v="50"/>
    <n v="19"/>
    <n v="50"/>
    <n v="31"/>
    <n v="0.62"/>
    <x v="2"/>
  </r>
  <r>
    <n v="1246"/>
    <x v="376"/>
    <d v="1899-12-30T22:54:00"/>
    <x v="55"/>
    <x v="1"/>
    <n v="48"/>
    <x v="2"/>
    <n v="2"/>
    <n v="25"/>
    <n v="11.5"/>
    <n v="50"/>
    <n v="38.5"/>
    <n v="0.77"/>
    <x v="1"/>
  </r>
  <r>
    <n v="1298"/>
    <x v="377"/>
    <d v="1899-12-30T19:51:00"/>
    <x v="15"/>
    <x v="0"/>
    <n v="27"/>
    <x v="1"/>
    <n v="4"/>
    <n v="300"/>
    <n v="120"/>
    <n v="1200"/>
    <n v="1080"/>
    <n v="0.9"/>
    <x v="4"/>
  </r>
  <r>
    <n v="1374"/>
    <x v="378"/>
    <d v="1899-12-30T22:03:00"/>
    <x v="55"/>
    <x v="1"/>
    <n v="59"/>
    <x v="1"/>
    <n v="3"/>
    <n v="25"/>
    <n v="8.25"/>
    <n v="75"/>
    <n v="66.75"/>
    <n v="0.89"/>
    <x v="2"/>
  </r>
  <r>
    <n v="1572"/>
    <x v="379"/>
    <d v="1899-12-30T22:20:00"/>
    <x v="15"/>
    <x v="0"/>
    <n v="31"/>
    <x v="0"/>
    <n v="4"/>
    <n v="500"/>
    <n v="175"/>
    <n v="2000"/>
    <n v="1825"/>
    <n v="0.91249999999999998"/>
    <x v="4"/>
  </r>
  <r>
    <n v="1665"/>
    <x v="380"/>
    <d v="1899-12-30T19:38:00"/>
    <x v="133"/>
    <x v="0"/>
    <n v="57"/>
    <x v="0"/>
    <n v="1"/>
    <n v="50"/>
    <n v="14"/>
    <n v="50"/>
    <n v="36"/>
    <n v="0.72"/>
    <x v="2"/>
  </r>
  <r>
    <n v="39"/>
    <x v="381"/>
    <d v="1899-12-30T22:44:00"/>
    <x v="2"/>
    <x v="0"/>
    <n v="23"/>
    <x v="0"/>
    <n v="4"/>
    <n v="30"/>
    <n v="8.6999999999999993"/>
    <n v="120"/>
    <n v="111.3"/>
    <n v="0.92749999999999999"/>
    <x v="3"/>
  </r>
  <r>
    <n v="893"/>
    <x v="382"/>
    <d v="1899-12-30T18:52:00"/>
    <x v="15"/>
    <x v="0"/>
    <n v="49"/>
    <x v="2"/>
    <n v="1"/>
    <n v="50"/>
    <n v="17"/>
    <n v="50"/>
    <n v="33"/>
    <n v="0.66"/>
    <x v="1"/>
  </r>
  <r>
    <n v="1039"/>
    <x v="383"/>
    <d v="1899-12-30T20:01:00"/>
    <x v="15"/>
    <x v="0"/>
    <n v="23"/>
    <x v="0"/>
    <n v="4"/>
    <n v="30"/>
    <n v="13.8"/>
    <n v="120"/>
    <n v="106.2"/>
    <n v="0.88500000000000001"/>
    <x v="3"/>
  </r>
  <r>
    <n v="1893"/>
    <x v="263"/>
    <d v="1899-12-30T17:04:00"/>
    <x v="55"/>
    <x v="0"/>
    <n v="49"/>
    <x v="2"/>
    <n v="1"/>
    <n v="50"/>
    <n v="22.5"/>
    <n v="50"/>
    <n v="27.5"/>
    <n v="0.55000000000000004"/>
    <x v="1"/>
  </r>
  <r>
    <n v="17"/>
    <x v="263"/>
    <d v="1899-12-30T21:08:00"/>
    <x v="55"/>
    <x v="1"/>
    <n v="27"/>
    <x v="0"/>
    <n v="4"/>
    <n v="25"/>
    <n v="13"/>
    <n v="100"/>
    <n v="87"/>
    <n v="0.87"/>
    <x v="4"/>
  </r>
  <r>
    <n v="316"/>
    <x v="384"/>
    <d v="1899-12-30T17:25:00"/>
    <x v="55"/>
    <x v="1"/>
    <n v="48"/>
    <x v="0"/>
    <n v="2"/>
    <n v="25"/>
    <n v="13.75"/>
    <n v="50"/>
    <n v="36.25"/>
    <n v="0.72499999999999998"/>
    <x v="1"/>
  </r>
  <r>
    <n v="755"/>
    <x v="370"/>
    <d v="1899-12-30T20:07:00"/>
    <x v="15"/>
    <x v="1"/>
    <n v="58"/>
    <x v="0"/>
    <n v="3"/>
    <n v="25"/>
    <n v="6.75"/>
    <n v="75"/>
    <n v="68.25"/>
    <n v="0.91"/>
    <x v="2"/>
  </r>
  <r>
    <n v="1017"/>
    <x v="385"/>
    <d v="1899-12-30T18:41:00"/>
    <x v="98"/>
    <x v="1"/>
    <n v="27"/>
    <x v="0"/>
    <n v="4"/>
    <n v="25"/>
    <n v="12"/>
    <n v="100"/>
    <n v="88"/>
    <n v="0.88"/>
    <x v="4"/>
  </r>
  <r>
    <n v="1316"/>
    <x v="386"/>
    <d v="1899-12-30T17:11:00"/>
    <x v="15"/>
    <x v="1"/>
    <n v="48"/>
    <x v="0"/>
    <n v="2"/>
    <n v="25"/>
    <n v="11.75"/>
    <n v="50"/>
    <n v="38.25"/>
    <n v="0.76500000000000001"/>
    <x v="1"/>
  </r>
  <r>
    <n v="1755"/>
    <x v="266"/>
    <d v="1899-12-30T21:47:00"/>
    <x v="98"/>
    <x v="1"/>
    <n v="58"/>
    <x v="0"/>
    <n v="3"/>
    <n v="25"/>
    <n v="8"/>
    <n v="75"/>
    <n v="67"/>
    <n v="0.89333333333333331"/>
    <x v="2"/>
  </r>
  <r>
    <n v="28"/>
    <x v="337"/>
    <d v="1899-12-30T22:34:00"/>
    <x v="55"/>
    <x v="1"/>
    <n v="43"/>
    <x v="1"/>
    <n v="1"/>
    <n v="500"/>
    <n v="150"/>
    <n v="500"/>
    <n v="350"/>
    <n v="0.7"/>
    <x v="0"/>
  </r>
  <r>
    <n v="98"/>
    <x v="387"/>
    <d v="1899-12-30T19:41:00"/>
    <x v="15"/>
    <x v="1"/>
    <n v="55"/>
    <x v="1"/>
    <n v="2"/>
    <n v="50"/>
    <n v="19.5"/>
    <n v="100"/>
    <n v="80.5"/>
    <n v="0.80500000000000005"/>
    <x v="1"/>
  </r>
  <r>
    <n v="129"/>
    <x v="320"/>
    <d v="1899-12-30T17:42:00"/>
    <x v="15"/>
    <x v="1"/>
    <n v="21"/>
    <x v="1"/>
    <n v="2"/>
    <n v="300"/>
    <n v="75"/>
    <n v="600"/>
    <n v="525"/>
    <n v="0.875"/>
    <x v="3"/>
  </r>
  <r>
    <n v="230"/>
    <x v="388"/>
    <d v="1899-12-30T17:44:00"/>
    <x v="2"/>
    <x v="0"/>
    <n v="54"/>
    <x v="1"/>
    <n v="1"/>
    <n v="25"/>
    <n v="12.5"/>
    <n v="25"/>
    <n v="12.5"/>
    <n v="0.5"/>
    <x v="1"/>
  </r>
  <r>
    <n v="613"/>
    <x v="389"/>
    <d v="1899-12-30T17:23:00"/>
    <x v="98"/>
    <x v="1"/>
    <n v="52"/>
    <x v="0"/>
    <n v="3"/>
    <n v="30"/>
    <n v="11.4"/>
    <n v="90"/>
    <n v="78.599999999999994"/>
    <n v="0.87333333333333329"/>
    <x v="1"/>
  </r>
  <r>
    <n v="691"/>
    <x v="390"/>
    <d v="1899-12-30T21:09:00"/>
    <x v="2"/>
    <x v="1"/>
    <n v="51"/>
    <x v="0"/>
    <n v="3"/>
    <n v="30"/>
    <n v="14.7"/>
    <n v="90"/>
    <n v="75.3"/>
    <n v="0.83666666666666667"/>
    <x v="1"/>
  </r>
  <r>
    <n v="693"/>
    <x v="391"/>
    <d v="1899-12-30T17:12:00"/>
    <x v="15"/>
    <x v="0"/>
    <n v="41"/>
    <x v="1"/>
    <n v="3"/>
    <n v="500"/>
    <n v="270"/>
    <n v="1500"/>
    <n v="1230"/>
    <n v="0.82"/>
    <x v="0"/>
  </r>
  <r>
    <n v="1028"/>
    <x v="353"/>
    <d v="1899-12-30T18:09:00"/>
    <x v="15"/>
    <x v="1"/>
    <n v="43"/>
    <x v="1"/>
    <n v="1"/>
    <n v="500"/>
    <n v="250"/>
    <n v="500"/>
    <n v="250"/>
    <n v="0.5"/>
    <x v="0"/>
  </r>
  <r>
    <n v="1098"/>
    <x v="232"/>
    <d v="1899-12-30T22:34:00"/>
    <x v="55"/>
    <x v="1"/>
    <n v="55"/>
    <x v="1"/>
    <n v="2"/>
    <n v="50"/>
    <n v="19.5"/>
    <n v="100"/>
    <n v="80.5"/>
    <n v="0.80500000000000005"/>
    <x v="1"/>
  </r>
  <r>
    <n v="1129"/>
    <x v="392"/>
    <d v="1899-12-30T21:46:00"/>
    <x v="15"/>
    <x v="1"/>
    <n v="21"/>
    <x v="1"/>
    <n v="2"/>
    <n v="300"/>
    <n v="156"/>
    <n v="600"/>
    <n v="444"/>
    <n v="0.74"/>
    <x v="3"/>
  </r>
  <r>
    <n v="1230"/>
    <x v="330"/>
    <d v="1899-12-30T21:24:00"/>
    <x v="15"/>
    <x v="0"/>
    <n v="54"/>
    <x v="1"/>
    <n v="1"/>
    <n v="25"/>
    <n v="13.25"/>
    <n v="25"/>
    <n v="11.75"/>
    <n v="0.47"/>
    <x v="1"/>
  </r>
  <r>
    <n v="1613"/>
    <x v="393"/>
    <d v="1899-12-30T21:58:00"/>
    <x v="133"/>
    <x v="1"/>
    <n v="52"/>
    <x v="0"/>
    <n v="3"/>
    <n v="30"/>
    <n v="9.9"/>
    <n v="90"/>
    <n v="80.099999999999994"/>
    <n v="0.8899999999999999"/>
    <x v="1"/>
  </r>
  <r>
    <n v="1691"/>
    <x v="394"/>
    <d v="1899-12-30T20:01:00"/>
    <x v="15"/>
    <x v="1"/>
    <n v="51"/>
    <x v="0"/>
    <n v="3"/>
    <n v="30"/>
    <n v="13.5"/>
    <n v="90"/>
    <n v="76.5"/>
    <n v="0.85"/>
    <x v="1"/>
  </r>
  <r>
    <n v="1693"/>
    <x v="230"/>
    <d v="1899-12-30T18:21:00"/>
    <x v="15"/>
    <x v="0"/>
    <n v="41"/>
    <x v="1"/>
    <n v="3"/>
    <n v="500"/>
    <n v="130"/>
    <n v="1500"/>
    <n v="1370"/>
    <n v="0.91333333333333333"/>
    <x v="0"/>
  </r>
  <r>
    <n v="477"/>
    <x v="383"/>
    <d v="1899-12-30T17:24:00"/>
    <x v="55"/>
    <x v="0"/>
    <n v="43"/>
    <x v="0"/>
    <n v="4"/>
    <n v="30"/>
    <n v="16.2"/>
    <n v="120"/>
    <n v="103.8"/>
    <n v="0.86499999999999999"/>
    <x v="0"/>
  </r>
  <r>
    <n v="863"/>
    <x v="395"/>
    <d v="1899-12-30T22:40:00"/>
    <x v="133"/>
    <x v="1"/>
    <n v="30"/>
    <x v="2"/>
    <n v="2"/>
    <n v="25"/>
    <n v="11.25"/>
    <n v="50"/>
    <n v="38.75"/>
    <n v="0.77500000000000002"/>
    <x v="4"/>
  </r>
  <r>
    <n v="1477"/>
    <x v="396"/>
    <d v="1899-12-30T21:59:00"/>
    <x v="55"/>
    <x v="0"/>
    <n v="43"/>
    <x v="0"/>
    <n v="4"/>
    <n v="30"/>
    <n v="15.6"/>
    <n v="120"/>
    <n v="104.4"/>
    <n v="0.87"/>
    <x v="0"/>
  </r>
  <r>
    <n v="1863"/>
    <x v="397"/>
    <d v="1899-12-30T22:33:00"/>
    <x v="133"/>
    <x v="1"/>
    <n v="30"/>
    <x v="2"/>
    <n v="2"/>
    <n v="25"/>
    <n v="10"/>
    <n v="50"/>
    <n v="40"/>
    <n v="0.8"/>
    <x v="4"/>
  </r>
  <r>
    <n v="6"/>
    <x v="223"/>
    <d v="1899-12-30T22:16:00"/>
    <x v="98"/>
    <x v="1"/>
    <n v="45"/>
    <x v="1"/>
    <n v="1"/>
    <n v="30"/>
    <n v="15"/>
    <n v="30"/>
    <n v="15"/>
    <n v="0.5"/>
    <x v="0"/>
  </r>
  <r>
    <n v="483"/>
    <x v="398"/>
    <d v="1899-12-30T17:25:00"/>
    <x v="98"/>
    <x v="0"/>
    <n v="55"/>
    <x v="0"/>
    <n v="1"/>
    <n v="30"/>
    <n v="8.4"/>
    <n v="30"/>
    <n v="21.6"/>
    <n v="0.72000000000000008"/>
    <x v="1"/>
  </r>
  <r>
    <n v="738"/>
    <x v="399"/>
    <d v="1899-12-30T18:24:00"/>
    <x v="2"/>
    <x v="0"/>
    <n v="41"/>
    <x v="0"/>
    <n v="2"/>
    <n v="50"/>
    <n v="26"/>
    <n v="100"/>
    <n v="74"/>
    <n v="0.74"/>
    <x v="0"/>
  </r>
  <r>
    <n v="1006"/>
    <x v="272"/>
    <d v="1899-12-30T19:23:00"/>
    <x v="98"/>
    <x v="1"/>
    <n v="45"/>
    <x v="1"/>
    <n v="1"/>
    <n v="30"/>
    <n v="14.1"/>
    <n v="30"/>
    <n v="15.9"/>
    <n v="0.53"/>
    <x v="0"/>
  </r>
  <r>
    <n v="1483"/>
    <x v="225"/>
    <d v="1899-12-30T19:53:00"/>
    <x v="15"/>
    <x v="0"/>
    <n v="55"/>
    <x v="0"/>
    <n v="1"/>
    <n v="30"/>
    <n v="8.6999999999999993"/>
    <n v="30"/>
    <n v="21.3"/>
    <n v="0.71000000000000008"/>
    <x v="1"/>
  </r>
  <r>
    <n v="1738"/>
    <x v="395"/>
    <d v="1899-12-30T21:33:00"/>
    <x v="15"/>
    <x v="0"/>
    <n v="41"/>
    <x v="0"/>
    <n v="2"/>
    <n v="50"/>
    <n v="16"/>
    <n v="100"/>
    <n v="84"/>
    <n v="0.84"/>
    <x v="0"/>
  </r>
  <r>
    <n v="222"/>
    <x v="394"/>
    <d v="1899-12-30T18:56:00"/>
    <x v="133"/>
    <x v="0"/>
    <n v="51"/>
    <x v="0"/>
    <n v="4"/>
    <n v="30"/>
    <n v="10.5"/>
    <n v="120"/>
    <n v="109.5"/>
    <n v="0.91249999999999998"/>
    <x v="1"/>
  </r>
  <r>
    <n v="588"/>
    <x v="400"/>
    <d v="1899-12-30T17:54:00"/>
    <x v="2"/>
    <x v="0"/>
    <n v="38"/>
    <x v="2"/>
    <n v="2"/>
    <n v="30"/>
    <n v="13.8"/>
    <n v="60"/>
    <n v="46.2"/>
    <n v="0.77"/>
    <x v="0"/>
  </r>
  <r>
    <n v="953"/>
    <x v="258"/>
    <d v="1899-12-30T17:58:00"/>
    <x v="15"/>
    <x v="0"/>
    <n v="45"/>
    <x v="1"/>
    <n v="3"/>
    <n v="30"/>
    <n v="12.6"/>
    <n v="90"/>
    <n v="77.400000000000006"/>
    <n v="0.8600000000000001"/>
    <x v="0"/>
  </r>
  <r>
    <n v="1222"/>
    <x v="359"/>
    <d v="1899-12-30T18:15:00"/>
    <x v="55"/>
    <x v="0"/>
    <n v="51"/>
    <x v="0"/>
    <n v="4"/>
    <n v="30"/>
    <n v="11.1"/>
    <n v="120"/>
    <n v="108.9"/>
    <n v="0.90750000000000008"/>
    <x v="1"/>
  </r>
  <r>
    <n v="1588"/>
    <x v="286"/>
    <d v="1899-12-30T21:29:00"/>
    <x v="133"/>
    <x v="0"/>
    <n v="38"/>
    <x v="2"/>
    <n v="2"/>
    <n v="30"/>
    <n v="13.2"/>
    <n v="60"/>
    <n v="46.8"/>
    <n v="0.77999999999999992"/>
    <x v="0"/>
  </r>
  <r>
    <n v="1953"/>
    <x v="401"/>
    <d v="1899-12-30T17:34:00"/>
    <x v="55"/>
    <x v="0"/>
    <n v="45"/>
    <x v="1"/>
    <n v="3"/>
    <n v="30"/>
    <n v="10.199999999999999"/>
    <n v="90"/>
    <n v="79.8"/>
    <n v="0.8866666666666666"/>
    <x v="0"/>
  </r>
  <r>
    <n v="66"/>
    <x v="379"/>
    <d v="1899-12-30T22:49:00"/>
    <x v="55"/>
    <x v="1"/>
    <n v="45"/>
    <x v="2"/>
    <n v="1"/>
    <n v="30"/>
    <n v="9"/>
    <n v="30"/>
    <n v="21"/>
    <n v="0.7"/>
    <x v="0"/>
  </r>
  <r>
    <n v="482"/>
    <x v="402"/>
    <d v="1899-12-30T18:57:00"/>
    <x v="55"/>
    <x v="1"/>
    <n v="28"/>
    <x v="0"/>
    <n v="4"/>
    <n v="300"/>
    <n v="141"/>
    <n v="1200"/>
    <n v="1059"/>
    <n v="0.88249999999999995"/>
    <x v="4"/>
  </r>
  <r>
    <n v="903"/>
    <x v="251"/>
    <d v="1899-12-30T22:14:00"/>
    <x v="55"/>
    <x v="1"/>
    <n v="51"/>
    <x v="1"/>
    <n v="4"/>
    <n v="50"/>
    <n v="14"/>
    <n v="200"/>
    <n v="186"/>
    <n v="0.93"/>
    <x v="1"/>
  </r>
  <r>
    <n v="1066"/>
    <x v="340"/>
    <d v="1899-12-30T18:11:00"/>
    <x v="133"/>
    <x v="1"/>
    <n v="45"/>
    <x v="2"/>
    <n v="1"/>
    <n v="30"/>
    <n v="8.4"/>
    <n v="30"/>
    <n v="21.6"/>
    <n v="0.72000000000000008"/>
    <x v="0"/>
  </r>
  <r>
    <n v="1482"/>
    <x v="403"/>
    <d v="1899-12-30T22:22:00"/>
    <x v="15"/>
    <x v="1"/>
    <n v="28"/>
    <x v="0"/>
    <n v="4"/>
    <n v="300"/>
    <n v="114"/>
    <n v="1200"/>
    <n v="1086"/>
    <n v="0.90500000000000003"/>
    <x v="4"/>
  </r>
  <r>
    <n v="1903"/>
    <x v="251"/>
    <d v="1899-12-30T21:44:00"/>
    <x v="2"/>
    <x v="1"/>
    <n v="51"/>
    <x v="1"/>
    <n v="4"/>
    <n v="50"/>
    <n v="19"/>
    <n v="200"/>
    <n v="181"/>
    <n v="0.90500000000000003"/>
    <x v="1"/>
  </r>
  <r>
    <n v="102"/>
    <x v="320"/>
    <d v="1899-12-30T21:34:00"/>
    <x v="2"/>
    <x v="1"/>
    <n v="47"/>
    <x v="1"/>
    <n v="2"/>
    <n v="25"/>
    <n v="7.25"/>
    <n v="50"/>
    <n v="42.75"/>
    <n v="0.85499999999999998"/>
    <x v="1"/>
  </r>
  <r>
    <n v="228"/>
    <x v="404"/>
    <d v="1899-12-30T20:26:00"/>
    <x v="133"/>
    <x v="1"/>
    <n v="59"/>
    <x v="2"/>
    <n v="2"/>
    <n v="30"/>
    <n v="10.8"/>
    <n v="60"/>
    <n v="49.2"/>
    <n v="0.82000000000000006"/>
    <x v="2"/>
  </r>
  <r>
    <n v="236"/>
    <x v="351"/>
    <d v="1899-12-30T22:18:00"/>
    <x v="2"/>
    <x v="1"/>
    <n v="54"/>
    <x v="0"/>
    <n v="1"/>
    <n v="25"/>
    <n v="6.5"/>
    <n v="25"/>
    <n v="18.5"/>
    <n v="0.74"/>
    <x v="1"/>
  </r>
  <r>
    <n v="1102"/>
    <x v="310"/>
    <d v="1899-12-30T18:04:00"/>
    <x v="2"/>
    <x v="1"/>
    <n v="47"/>
    <x v="1"/>
    <n v="2"/>
    <n v="25"/>
    <n v="6.5"/>
    <n v="50"/>
    <n v="43.5"/>
    <n v="0.87"/>
    <x v="1"/>
  </r>
  <r>
    <n v="1228"/>
    <x v="269"/>
    <d v="1899-12-30T21:37:00"/>
    <x v="2"/>
    <x v="1"/>
    <n v="59"/>
    <x v="2"/>
    <n v="2"/>
    <n v="30"/>
    <n v="11.4"/>
    <n v="60"/>
    <n v="48.6"/>
    <n v="0.81"/>
    <x v="2"/>
  </r>
  <r>
    <n v="1236"/>
    <x v="405"/>
    <d v="1899-12-30T18:19:00"/>
    <x v="133"/>
    <x v="1"/>
    <n v="54"/>
    <x v="0"/>
    <n v="1"/>
    <n v="25"/>
    <n v="8.75"/>
    <n v="25"/>
    <n v="16.25"/>
    <n v="0.65"/>
    <x v="1"/>
  </r>
  <r>
    <n v="660"/>
    <x v="328"/>
    <d v="1899-12-30T18:46:00"/>
    <x v="98"/>
    <x v="1"/>
    <n v="38"/>
    <x v="1"/>
    <n v="2"/>
    <n v="500"/>
    <n v="270"/>
    <n v="1000"/>
    <n v="730"/>
    <n v="0.73"/>
    <x v="0"/>
  </r>
  <r>
    <n v="884"/>
    <x v="406"/>
    <d v="1899-12-30T20:31:00"/>
    <x v="15"/>
    <x v="1"/>
    <n v="26"/>
    <x v="0"/>
    <n v="2"/>
    <n v="30"/>
    <n v="7.5"/>
    <n v="60"/>
    <n v="52.5"/>
    <n v="0.875"/>
    <x v="4"/>
  </r>
  <r>
    <n v="987"/>
    <x v="407"/>
    <d v="1899-12-30T18:45:00"/>
    <x v="15"/>
    <x v="1"/>
    <n v="30"/>
    <x v="0"/>
    <n v="3"/>
    <n v="300"/>
    <n v="165"/>
    <n v="900"/>
    <n v="735"/>
    <n v="0.81666666666666665"/>
    <x v="4"/>
  </r>
  <r>
    <n v="1660"/>
    <x v="408"/>
    <d v="1899-12-30T20:27:00"/>
    <x v="98"/>
    <x v="1"/>
    <n v="38"/>
    <x v="1"/>
    <n v="2"/>
    <n v="500"/>
    <n v="160"/>
    <n v="1000"/>
    <n v="840"/>
    <n v="0.84"/>
    <x v="0"/>
  </r>
  <r>
    <n v="1884"/>
    <x v="409"/>
    <d v="1899-12-30T21:45:00"/>
    <x v="98"/>
    <x v="1"/>
    <n v="26"/>
    <x v="0"/>
    <n v="2"/>
    <n v="30"/>
    <n v="11.4"/>
    <n v="60"/>
    <n v="48.6"/>
    <n v="0.81"/>
    <x v="4"/>
  </r>
  <r>
    <n v="1987"/>
    <x v="397"/>
    <d v="1899-12-30T18:18:00"/>
    <x v="98"/>
    <x v="1"/>
    <n v="30"/>
    <x v="0"/>
    <n v="3"/>
    <n v="300"/>
    <n v="129"/>
    <n v="900"/>
    <n v="771"/>
    <n v="0.85666666666666669"/>
    <x v="4"/>
  </r>
  <r>
    <n v="18"/>
    <x v="277"/>
    <d v="1899-12-30T19:13:00"/>
    <x v="2"/>
    <x v="1"/>
    <n v="47"/>
    <x v="2"/>
    <n v="2"/>
    <n v="25"/>
    <n v="12.5"/>
    <n v="50"/>
    <n v="37.5"/>
    <n v="0.75"/>
    <x v="1"/>
  </r>
  <r>
    <n v="69"/>
    <x v="410"/>
    <d v="1899-12-30T22:44:00"/>
    <x v="15"/>
    <x v="1"/>
    <n v="56"/>
    <x v="1"/>
    <n v="3"/>
    <n v="25"/>
    <n v="8.5"/>
    <n v="75"/>
    <n v="66.5"/>
    <n v="0.88666666666666671"/>
    <x v="2"/>
  </r>
  <r>
    <n v="995"/>
    <x v="411"/>
    <d v="1899-12-30T22:38:00"/>
    <x v="133"/>
    <x v="1"/>
    <n v="41"/>
    <x v="0"/>
    <n v="1"/>
    <n v="30"/>
    <n v="9.9"/>
    <n v="30"/>
    <n v="20.100000000000001"/>
    <n v="0.67"/>
    <x v="0"/>
  </r>
  <r>
    <n v="1018"/>
    <x v="232"/>
    <d v="1899-12-30T19:13:00"/>
    <x v="133"/>
    <x v="1"/>
    <n v="47"/>
    <x v="2"/>
    <n v="2"/>
    <n v="25"/>
    <n v="13"/>
    <n v="50"/>
    <n v="37"/>
    <n v="0.74"/>
    <x v="1"/>
  </r>
  <r>
    <n v="1069"/>
    <x v="412"/>
    <d v="1899-12-30T19:05:00"/>
    <x v="98"/>
    <x v="1"/>
    <n v="56"/>
    <x v="1"/>
    <n v="3"/>
    <n v="25"/>
    <n v="6.75"/>
    <n v="75"/>
    <n v="68.25"/>
    <n v="0.91"/>
    <x v="2"/>
  </r>
  <r>
    <n v="1995"/>
    <x v="276"/>
    <d v="1899-12-30T22:18:00"/>
    <x v="2"/>
    <x v="1"/>
    <n v="41"/>
    <x v="0"/>
    <n v="1"/>
    <n v="30"/>
    <n v="14.7"/>
    <n v="30"/>
    <n v="15.3"/>
    <n v="0.51"/>
    <x v="0"/>
  </r>
  <r>
    <n v="337"/>
    <x v="413"/>
    <d v="1899-12-30T17:56:00"/>
    <x v="15"/>
    <x v="0"/>
    <n v="38"/>
    <x v="0"/>
    <n v="1"/>
    <n v="500"/>
    <n v="275"/>
    <n v="500"/>
    <n v="225"/>
    <n v="0.45"/>
    <x v="0"/>
  </r>
  <r>
    <n v="585"/>
    <x v="414"/>
    <d v="1899-12-30T21:49:00"/>
    <x v="55"/>
    <x v="1"/>
    <n v="24"/>
    <x v="0"/>
    <n v="1"/>
    <n v="25"/>
    <n v="13.75"/>
    <n v="25"/>
    <n v="11.25"/>
    <n v="0.45"/>
    <x v="3"/>
  </r>
  <r>
    <n v="652"/>
    <x v="415"/>
    <d v="1899-12-30T17:05:00"/>
    <x v="133"/>
    <x v="1"/>
    <n v="34"/>
    <x v="1"/>
    <n v="2"/>
    <n v="50"/>
    <n v="20.5"/>
    <n v="100"/>
    <n v="79.5"/>
    <n v="0.79500000000000004"/>
    <x v="4"/>
  </r>
  <r>
    <n v="1337"/>
    <x v="386"/>
    <d v="1899-12-30T19:56:00"/>
    <x v="98"/>
    <x v="0"/>
    <n v="38"/>
    <x v="0"/>
    <n v="1"/>
    <n v="500"/>
    <n v="225"/>
    <n v="500"/>
    <n v="275"/>
    <n v="0.55000000000000004"/>
    <x v="0"/>
  </r>
  <r>
    <n v="1585"/>
    <x v="373"/>
    <d v="1899-12-30T20:00:00"/>
    <x v="98"/>
    <x v="1"/>
    <n v="24"/>
    <x v="0"/>
    <n v="1"/>
    <n v="25"/>
    <n v="7.25"/>
    <n v="25"/>
    <n v="17.75"/>
    <n v="0.71"/>
    <x v="3"/>
  </r>
  <r>
    <n v="1652"/>
    <x v="416"/>
    <d v="1899-12-30T20:00:00"/>
    <x v="98"/>
    <x v="1"/>
    <n v="34"/>
    <x v="1"/>
    <n v="2"/>
    <n v="50"/>
    <n v="20.5"/>
    <n v="100"/>
    <n v="79.5"/>
    <n v="0.79500000000000004"/>
    <x v="4"/>
  </r>
  <r>
    <n v="242"/>
    <x v="319"/>
    <d v="1899-12-30T18:28:00"/>
    <x v="15"/>
    <x v="0"/>
    <n v="21"/>
    <x v="0"/>
    <n v="1"/>
    <n v="25"/>
    <n v="8"/>
    <n v="25"/>
    <n v="17"/>
    <n v="0.68"/>
    <x v="3"/>
  </r>
  <r>
    <n v="293"/>
    <x v="417"/>
    <d v="1899-12-30T19:04:00"/>
    <x v="133"/>
    <x v="0"/>
    <n v="50"/>
    <x v="2"/>
    <n v="3"/>
    <n v="30"/>
    <n v="9.6"/>
    <n v="90"/>
    <n v="80.400000000000006"/>
    <n v="0.89333333333333342"/>
    <x v="1"/>
  </r>
  <r>
    <n v="460"/>
    <x v="296"/>
    <d v="1899-12-30T23:00:00"/>
    <x v="98"/>
    <x v="0"/>
    <n v="40"/>
    <x v="1"/>
    <n v="1"/>
    <n v="50"/>
    <n v="19"/>
    <n v="50"/>
    <n v="31"/>
    <n v="0.62"/>
    <x v="0"/>
  </r>
  <r>
    <n v="1242"/>
    <x v="370"/>
    <d v="1899-12-30T18:32:00"/>
    <x v="2"/>
    <x v="0"/>
    <n v="21"/>
    <x v="0"/>
    <n v="1"/>
    <n v="25"/>
    <n v="11.25"/>
    <n v="25"/>
    <n v="13.75"/>
    <n v="0.55000000000000004"/>
    <x v="3"/>
  </r>
  <r>
    <n v="1293"/>
    <x v="271"/>
    <d v="1899-12-30T18:52:00"/>
    <x v="55"/>
    <x v="0"/>
    <n v="50"/>
    <x v="2"/>
    <n v="3"/>
    <n v="30"/>
    <n v="14.1"/>
    <n v="90"/>
    <n v="75.900000000000006"/>
    <n v="0.84333333333333338"/>
    <x v="1"/>
  </r>
  <r>
    <n v="1460"/>
    <x v="254"/>
    <d v="1899-12-30T19:42:00"/>
    <x v="133"/>
    <x v="0"/>
    <n v="40"/>
    <x v="1"/>
    <n v="1"/>
    <n v="50"/>
    <n v="22"/>
    <n v="50"/>
    <n v="28"/>
    <n v="0.56000000000000005"/>
    <x v="0"/>
  </r>
  <r>
    <n v="188"/>
    <x v="279"/>
    <d v="1899-12-30T18:50:00"/>
    <x v="55"/>
    <x v="0"/>
    <n v="40"/>
    <x v="0"/>
    <n v="3"/>
    <n v="25"/>
    <n v="8.5"/>
    <n v="75"/>
    <n v="66.5"/>
    <n v="0.88666666666666671"/>
    <x v="0"/>
  </r>
  <r>
    <n v="357"/>
    <x v="418"/>
    <d v="1899-12-30T18:57:00"/>
    <x v="133"/>
    <x v="1"/>
    <n v="40"/>
    <x v="2"/>
    <n v="3"/>
    <n v="25"/>
    <n v="7.5"/>
    <n v="75"/>
    <n v="67.5"/>
    <n v="0.9"/>
    <x v="0"/>
  </r>
  <r>
    <n v="646"/>
    <x v="397"/>
    <d v="1899-12-30T21:02:00"/>
    <x v="55"/>
    <x v="0"/>
    <n v="38"/>
    <x v="0"/>
    <n v="3"/>
    <n v="30"/>
    <n v="13.5"/>
    <n v="90"/>
    <n v="76.5"/>
    <n v="0.85"/>
    <x v="0"/>
  </r>
  <r>
    <n v="749"/>
    <x v="342"/>
    <d v="1899-12-30T20:33:00"/>
    <x v="98"/>
    <x v="0"/>
    <n v="42"/>
    <x v="1"/>
    <n v="1"/>
    <n v="30"/>
    <n v="8.4"/>
    <n v="30"/>
    <n v="21.6"/>
    <n v="0.72000000000000008"/>
    <x v="0"/>
  </r>
  <r>
    <n v="974"/>
    <x v="326"/>
    <d v="1899-12-30T18:39:00"/>
    <x v="55"/>
    <x v="0"/>
    <n v="47"/>
    <x v="1"/>
    <n v="1"/>
    <n v="30"/>
    <n v="11.7"/>
    <n v="30"/>
    <n v="18.3"/>
    <n v="0.61"/>
    <x v="1"/>
  </r>
  <r>
    <n v="1188"/>
    <x v="268"/>
    <d v="1899-12-30T22:43:00"/>
    <x v="98"/>
    <x v="0"/>
    <n v="40"/>
    <x v="0"/>
    <n v="3"/>
    <n v="25"/>
    <n v="10.75"/>
    <n v="75"/>
    <n v="64.25"/>
    <n v="0.85666666666666669"/>
    <x v="0"/>
  </r>
  <r>
    <n v="1357"/>
    <x v="311"/>
    <d v="1899-12-30T19:14:00"/>
    <x v="55"/>
    <x v="1"/>
    <n v="40"/>
    <x v="2"/>
    <n v="3"/>
    <n v="25"/>
    <n v="11.5"/>
    <n v="75"/>
    <n v="63.5"/>
    <n v="0.84666666666666668"/>
    <x v="0"/>
  </r>
  <r>
    <n v="1646"/>
    <x v="419"/>
    <d v="1899-12-30T19:43:00"/>
    <x v="15"/>
    <x v="0"/>
    <n v="38"/>
    <x v="0"/>
    <n v="3"/>
    <n v="30"/>
    <n v="15.6"/>
    <n v="90"/>
    <n v="74.400000000000006"/>
    <n v="0.82666666666666677"/>
    <x v="0"/>
  </r>
  <r>
    <n v="1749"/>
    <x v="420"/>
    <d v="1899-12-30T19:55:00"/>
    <x v="98"/>
    <x v="0"/>
    <n v="42"/>
    <x v="1"/>
    <n v="1"/>
    <n v="30"/>
    <n v="9"/>
    <n v="30"/>
    <n v="21"/>
    <n v="0.7"/>
    <x v="0"/>
  </r>
  <r>
    <n v="1974"/>
    <x v="421"/>
    <d v="1899-12-30T20:20:00"/>
    <x v="55"/>
    <x v="0"/>
    <n v="47"/>
    <x v="1"/>
    <n v="1"/>
    <n v="30"/>
    <n v="12.9"/>
    <n v="30"/>
    <n v="17.100000000000001"/>
    <n v="0.57000000000000006"/>
    <x v="1"/>
  </r>
  <r>
    <n v="190"/>
    <x v="254"/>
    <d v="1899-12-30T17:56:00"/>
    <x v="98"/>
    <x v="1"/>
    <n v="60"/>
    <x v="1"/>
    <n v="3"/>
    <n v="30"/>
    <n v="10.5"/>
    <n v="90"/>
    <n v="79.5"/>
    <n v="0.8833333333333333"/>
    <x v="2"/>
  </r>
  <r>
    <n v="849"/>
    <x v="286"/>
    <d v="1899-12-30T19:33:00"/>
    <x v="2"/>
    <x v="0"/>
    <n v="32"/>
    <x v="0"/>
    <n v="2"/>
    <n v="25"/>
    <n v="12.5"/>
    <n v="50"/>
    <n v="37.5"/>
    <n v="0.75"/>
    <x v="4"/>
  </r>
  <r>
    <n v="853"/>
    <x v="422"/>
    <d v="1899-12-30T22:29:00"/>
    <x v="55"/>
    <x v="0"/>
    <n v="21"/>
    <x v="1"/>
    <n v="2"/>
    <n v="500"/>
    <n v="155"/>
    <n v="1000"/>
    <n v="845"/>
    <n v="0.84499999999999997"/>
    <x v="3"/>
  </r>
  <r>
    <n v="1190"/>
    <x v="347"/>
    <d v="1899-12-30T21:00:00"/>
    <x v="133"/>
    <x v="1"/>
    <n v="60"/>
    <x v="1"/>
    <n v="3"/>
    <n v="30"/>
    <n v="10.8"/>
    <n v="90"/>
    <n v="79.2"/>
    <n v="0.88"/>
    <x v="2"/>
  </r>
  <r>
    <n v="1849"/>
    <x v="386"/>
    <d v="1899-12-30T22:42:00"/>
    <x v="15"/>
    <x v="0"/>
    <n v="32"/>
    <x v="0"/>
    <n v="2"/>
    <n v="25"/>
    <n v="12"/>
    <n v="50"/>
    <n v="38"/>
    <n v="0.76"/>
    <x v="4"/>
  </r>
  <r>
    <n v="1853"/>
    <x v="423"/>
    <d v="1899-12-30T18:39:00"/>
    <x v="98"/>
    <x v="0"/>
    <n v="21"/>
    <x v="1"/>
    <n v="2"/>
    <n v="500"/>
    <n v="190"/>
    <n v="1000"/>
    <n v="810"/>
    <n v="0.81"/>
    <x v="3"/>
  </r>
  <r>
    <n v="252"/>
    <x v="242"/>
    <d v="1899-12-30T17:37:00"/>
    <x v="15"/>
    <x v="0"/>
    <n v="54"/>
    <x v="2"/>
    <n v="1"/>
    <n v="300"/>
    <n v="84"/>
    <n v="300"/>
    <n v="216"/>
    <n v="0.72"/>
    <x v="1"/>
  </r>
  <r>
    <n v="606"/>
    <x v="424"/>
    <d v="1899-12-30T20:19:00"/>
    <x v="98"/>
    <x v="0"/>
    <n v="22"/>
    <x v="2"/>
    <n v="1"/>
    <n v="50"/>
    <n v="19.5"/>
    <n v="50"/>
    <n v="30.5"/>
    <n v="0.61"/>
    <x v="3"/>
  </r>
  <r>
    <n v="779"/>
    <x v="401"/>
    <d v="1899-12-30T19:19:00"/>
    <x v="55"/>
    <x v="1"/>
    <n v="56"/>
    <x v="2"/>
    <n v="2"/>
    <n v="500"/>
    <n v="155"/>
    <n v="1000"/>
    <n v="845"/>
    <n v="0.84499999999999997"/>
    <x v="2"/>
  </r>
  <r>
    <n v="824"/>
    <x v="263"/>
    <d v="1899-12-30T19:10:00"/>
    <x v="55"/>
    <x v="0"/>
    <n v="63"/>
    <x v="0"/>
    <n v="4"/>
    <n v="30"/>
    <n v="9.3000000000000007"/>
    <n v="120"/>
    <n v="110.7"/>
    <n v="0.92249999999999999"/>
    <x v="2"/>
  </r>
  <r>
    <n v="866"/>
    <x v="232"/>
    <d v="1899-12-30T18:16:00"/>
    <x v="133"/>
    <x v="0"/>
    <n v="24"/>
    <x v="2"/>
    <n v="1"/>
    <n v="50"/>
    <n v="22.5"/>
    <n v="50"/>
    <n v="27.5"/>
    <n v="0.55000000000000004"/>
    <x v="3"/>
  </r>
  <r>
    <n v="1252"/>
    <x v="267"/>
    <d v="1899-12-30T20:18:00"/>
    <x v="2"/>
    <x v="0"/>
    <n v="54"/>
    <x v="2"/>
    <n v="1"/>
    <n v="300"/>
    <n v="117"/>
    <n v="300"/>
    <n v="183"/>
    <n v="0.61"/>
    <x v="1"/>
  </r>
  <r>
    <n v="1606"/>
    <x v="425"/>
    <d v="1899-12-30T19:52:00"/>
    <x v="98"/>
    <x v="0"/>
    <n v="22"/>
    <x v="2"/>
    <n v="1"/>
    <n v="50"/>
    <n v="26.5"/>
    <n v="50"/>
    <n v="23.5"/>
    <n v="0.47"/>
    <x v="3"/>
  </r>
  <r>
    <n v="1779"/>
    <x v="426"/>
    <d v="1899-12-30T19:45:00"/>
    <x v="55"/>
    <x v="1"/>
    <n v="56"/>
    <x v="2"/>
    <n v="2"/>
    <n v="500"/>
    <n v="190"/>
    <n v="1000"/>
    <n v="810"/>
    <n v="0.81"/>
    <x v="2"/>
  </r>
  <r>
    <n v="1824"/>
    <x v="305"/>
    <d v="1899-12-30T20:19:00"/>
    <x v="133"/>
    <x v="0"/>
    <n v="63"/>
    <x v="0"/>
    <n v="4"/>
    <n v="30"/>
    <n v="12.6"/>
    <n v="120"/>
    <n v="107.4"/>
    <n v="0.89500000000000002"/>
    <x v="2"/>
  </r>
  <r>
    <n v="1866"/>
    <x v="427"/>
    <d v="1899-12-30T22:38:00"/>
    <x v="2"/>
    <x v="0"/>
    <n v="24"/>
    <x v="2"/>
    <n v="1"/>
    <n v="50"/>
    <n v="20"/>
    <n v="50"/>
    <n v="30"/>
    <n v="0.6"/>
    <x v="3"/>
  </r>
  <r>
    <n v="5"/>
    <x v="385"/>
    <d v="1899-12-30T22:10:00"/>
    <x v="55"/>
    <x v="0"/>
    <n v="30"/>
    <x v="1"/>
    <n v="2"/>
    <n v="50"/>
    <n v="24"/>
    <n v="100"/>
    <n v="76"/>
    <n v="0.76"/>
    <x v="4"/>
  </r>
  <r>
    <n v="90"/>
    <x v="428"/>
    <d v="1899-12-30T17:53:00"/>
    <x v="55"/>
    <x v="1"/>
    <n v="51"/>
    <x v="2"/>
    <n v="1"/>
    <n v="30"/>
    <n v="13.5"/>
    <n v="30"/>
    <n v="16.5"/>
    <n v="0.55000000000000004"/>
    <x v="1"/>
  </r>
  <r>
    <n v="380"/>
    <x v="429"/>
    <d v="1899-12-30T22:26:00"/>
    <x v="98"/>
    <x v="0"/>
    <n v="56"/>
    <x v="2"/>
    <n v="2"/>
    <n v="300"/>
    <n v="102"/>
    <n v="600"/>
    <n v="498"/>
    <n v="0.83"/>
    <x v="2"/>
  </r>
  <r>
    <n v="593"/>
    <x v="419"/>
    <d v="1899-12-30T22:05:00"/>
    <x v="98"/>
    <x v="0"/>
    <n v="35"/>
    <x v="2"/>
    <n v="2"/>
    <n v="30"/>
    <n v="13.2"/>
    <n v="60"/>
    <n v="46.8"/>
    <n v="0.77999999999999992"/>
    <x v="4"/>
  </r>
  <r>
    <n v="820"/>
    <x v="430"/>
    <d v="1899-12-30T22:49:00"/>
    <x v="15"/>
    <x v="0"/>
    <n v="49"/>
    <x v="2"/>
    <n v="4"/>
    <n v="50"/>
    <n v="24"/>
    <n v="200"/>
    <n v="176"/>
    <n v="0.88"/>
    <x v="1"/>
  </r>
  <r>
    <n v="1005"/>
    <x v="402"/>
    <d v="1899-12-30T20:38:00"/>
    <x v="98"/>
    <x v="0"/>
    <n v="30"/>
    <x v="1"/>
    <n v="2"/>
    <n v="50"/>
    <n v="17.5"/>
    <n v="100"/>
    <n v="82.5"/>
    <n v="0.82499999999999996"/>
    <x v="4"/>
  </r>
  <r>
    <n v="1090"/>
    <x v="406"/>
    <d v="1899-12-30T19:54:00"/>
    <x v="133"/>
    <x v="1"/>
    <n v="51"/>
    <x v="2"/>
    <n v="1"/>
    <n v="30"/>
    <n v="7.5"/>
    <n v="30"/>
    <n v="22.5"/>
    <n v="0.75"/>
    <x v="1"/>
  </r>
  <r>
    <n v="1380"/>
    <x v="431"/>
    <d v="1899-12-30T19:45:00"/>
    <x v="55"/>
    <x v="0"/>
    <n v="56"/>
    <x v="2"/>
    <n v="2"/>
    <n v="300"/>
    <n v="159"/>
    <n v="600"/>
    <n v="441"/>
    <n v="0.73499999999999999"/>
    <x v="2"/>
  </r>
  <r>
    <n v="1593"/>
    <x v="432"/>
    <d v="1899-12-30T22:39:00"/>
    <x v="2"/>
    <x v="0"/>
    <n v="35"/>
    <x v="2"/>
    <n v="2"/>
    <n v="30"/>
    <n v="14.4"/>
    <n v="60"/>
    <n v="45.6"/>
    <n v="0.76"/>
    <x v="4"/>
  </r>
  <r>
    <n v="1820"/>
    <x v="433"/>
    <d v="1899-12-30T21:31:00"/>
    <x v="15"/>
    <x v="0"/>
    <n v="49"/>
    <x v="2"/>
    <n v="4"/>
    <n v="50"/>
    <n v="22"/>
    <n v="200"/>
    <n v="178"/>
    <n v="0.89"/>
    <x v="1"/>
  </r>
  <r>
    <n v="120"/>
    <x v="354"/>
    <d v="1899-12-30T19:35:00"/>
    <x v="133"/>
    <x v="0"/>
    <n v="60"/>
    <x v="1"/>
    <n v="1"/>
    <n v="50"/>
    <n v="12.5"/>
    <n v="50"/>
    <n v="37.5"/>
    <n v="0.75"/>
    <x v="2"/>
  </r>
  <r>
    <n v="221"/>
    <x v="370"/>
    <d v="1899-12-30T21:01:00"/>
    <x v="55"/>
    <x v="0"/>
    <n v="39"/>
    <x v="1"/>
    <n v="2"/>
    <n v="300"/>
    <n v="111"/>
    <n v="600"/>
    <n v="489"/>
    <n v="0.81499999999999995"/>
    <x v="0"/>
  </r>
  <r>
    <n v="341"/>
    <x v="248"/>
    <d v="1899-12-30T17:06:00"/>
    <x v="2"/>
    <x v="0"/>
    <n v="31"/>
    <x v="0"/>
    <n v="4"/>
    <n v="50"/>
    <n v="18.5"/>
    <n v="200"/>
    <n v="181.5"/>
    <n v="0.90749999999999997"/>
    <x v="4"/>
  </r>
  <r>
    <n v="640"/>
    <x v="434"/>
    <d v="1899-12-30T20:05:00"/>
    <x v="55"/>
    <x v="1"/>
    <n v="51"/>
    <x v="2"/>
    <n v="4"/>
    <n v="30"/>
    <n v="12.6"/>
    <n v="120"/>
    <n v="107.4"/>
    <n v="0.89500000000000002"/>
    <x v="1"/>
  </r>
  <r>
    <n v="744"/>
    <x v="266"/>
    <d v="1899-12-30T18:02:00"/>
    <x v="15"/>
    <x v="0"/>
    <n v="40"/>
    <x v="2"/>
    <n v="1"/>
    <n v="25"/>
    <n v="6.5"/>
    <n v="25"/>
    <n v="18.5"/>
    <n v="0.74"/>
    <x v="0"/>
  </r>
  <r>
    <n v="1120"/>
    <x v="261"/>
    <d v="1899-12-30T19:32:00"/>
    <x v="133"/>
    <x v="0"/>
    <n v="60"/>
    <x v="1"/>
    <n v="1"/>
    <n v="50"/>
    <n v="26.5"/>
    <n v="50"/>
    <n v="23.5"/>
    <n v="0.47"/>
    <x v="2"/>
  </r>
  <r>
    <n v="1221"/>
    <x v="308"/>
    <d v="1899-12-30T22:57:00"/>
    <x v="2"/>
    <x v="0"/>
    <n v="39"/>
    <x v="1"/>
    <n v="2"/>
    <n v="300"/>
    <n v="114"/>
    <n v="600"/>
    <n v="486"/>
    <n v="0.81"/>
    <x v="0"/>
  </r>
  <r>
    <n v="1341"/>
    <x v="435"/>
    <d v="1899-12-30T22:10:00"/>
    <x v="15"/>
    <x v="0"/>
    <n v="31"/>
    <x v="0"/>
    <n v="4"/>
    <n v="50"/>
    <n v="21"/>
    <n v="200"/>
    <n v="179"/>
    <n v="0.89500000000000002"/>
    <x v="4"/>
  </r>
  <r>
    <n v="1640"/>
    <x v="302"/>
    <d v="1899-12-30T19:44:00"/>
    <x v="2"/>
    <x v="1"/>
    <n v="51"/>
    <x v="2"/>
    <n v="4"/>
    <n v="30"/>
    <n v="14.1"/>
    <n v="120"/>
    <n v="105.9"/>
    <n v="0.88250000000000006"/>
    <x v="1"/>
  </r>
  <r>
    <n v="1744"/>
    <x v="335"/>
    <d v="1899-12-30T21:49:00"/>
    <x v="133"/>
    <x v="0"/>
    <n v="40"/>
    <x v="2"/>
    <n v="1"/>
    <n v="25"/>
    <n v="8.75"/>
    <n v="25"/>
    <n v="16.25"/>
    <n v="0.65"/>
    <x v="0"/>
  </r>
  <r>
    <n v="273"/>
    <x v="436"/>
    <d v="1899-12-30T20:24:00"/>
    <x v="15"/>
    <x v="1"/>
    <n v="22"/>
    <x v="1"/>
    <n v="1"/>
    <n v="50"/>
    <n v="14.5"/>
    <n v="50"/>
    <n v="35.5"/>
    <n v="0.71"/>
    <x v="3"/>
  </r>
  <r>
    <n v="283"/>
    <x v="437"/>
    <d v="1899-12-30T20:08:00"/>
    <x v="55"/>
    <x v="1"/>
    <n v="18"/>
    <x v="2"/>
    <n v="1"/>
    <n v="500"/>
    <n v="165"/>
    <n v="500"/>
    <n v="335"/>
    <n v="0.67"/>
    <x v="3"/>
  </r>
  <r>
    <n v="452"/>
    <x v="435"/>
    <d v="1899-12-30T22:41:00"/>
    <x v="133"/>
    <x v="1"/>
    <n v="48"/>
    <x v="0"/>
    <n v="3"/>
    <n v="500"/>
    <n v="240"/>
    <n v="1500"/>
    <n v="1260"/>
    <n v="0.84"/>
    <x v="1"/>
  </r>
  <r>
    <n v="469"/>
    <x v="438"/>
    <d v="1899-12-30T19:24:00"/>
    <x v="133"/>
    <x v="0"/>
    <n v="18"/>
    <x v="1"/>
    <n v="3"/>
    <n v="25"/>
    <n v="8.75"/>
    <n v="75"/>
    <n v="66.25"/>
    <n v="0.8833333333333333"/>
    <x v="3"/>
  </r>
  <r>
    <n v="620"/>
    <x v="350"/>
    <d v="1899-12-30T20:59:00"/>
    <x v="133"/>
    <x v="0"/>
    <n v="63"/>
    <x v="2"/>
    <n v="3"/>
    <n v="25"/>
    <n v="7"/>
    <n v="75"/>
    <n v="68"/>
    <n v="0.90666666666666662"/>
    <x v="2"/>
  </r>
  <r>
    <n v="946"/>
    <x v="439"/>
    <d v="1899-12-30T20:15:00"/>
    <x v="98"/>
    <x v="0"/>
    <n v="62"/>
    <x v="2"/>
    <n v="4"/>
    <n v="500"/>
    <n v="235"/>
    <n v="2000"/>
    <n v="1765"/>
    <n v="0.88249999999999995"/>
    <x v="2"/>
  </r>
  <r>
    <n v="1273"/>
    <x v="440"/>
    <d v="1899-12-30T20:39:00"/>
    <x v="15"/>
    <x v="1"/>
    <n v="22"/>
    <x v="1"/>
    <n v="1"/>
    <n v="50"/>
    <n v="25.5"/>
    <n v="50"/>
    <n v="24.5"/>
    <n v="0.49"/>
    <x v="3"/>
  </r>
  <r>
    <n v="1283"/>
    <x v="441"/>
    <d v="1899-12-30T20:15:00"/>
    <x v="15"/>
    <x v="1"/>
    <n v="18"/>
    <x v="2"/>
    <n v="1"/>
    <n v="500"/>
    <n v="130"/>
    <n v="500"/>
    <n v="370"/>
    <n v="0.74"/>
    <x v="3"/>
  </r>
  <r>
    <n v="1452"/>
    <x v="368"/>
    <d v="1899-12-30T17:41:00"/>
    <x v="55"/>
    <x v="1"/>
    <n v="48"/>
    <x v="0"/>
    <n v="3"/>
    <n v="500"/>
    <n v="185"/>
    <n v="1500"/>
    <n v="1315"/>
    <n v="0.87666666666666671"/>
    <x v="1"/>
  </r>
  <r>
    <n v="1469"/>
    <x v="442"/>
    <d v="1899-12-30T17:22:00"/>
    <x v="55"/>
    <x v="0"/>
    <n v="18"/>
    <x v="1"/>
    <n v="3"/>
    <n v="25"/>
    <n v="12.5"/>
    <n v="75"/>
    <n v="62.5"/>
    <n v="0.83333333333333337"/>
    <x v="3"/>
  </r>
  <r>
    <n v="1620"/>
    <x v="443"/>
    <d v="1899-12-30T22:48:00"/>
    <x v="2"/>
    <x v="0"/>
    <n v="63"/>
    <x v="2"/>
    <n v="3"/>
    <n v="25"/>
    <n v="7.75"/>
    <n v="75"/>
    <n v="67.25"/>
    <n v="0.89666666666666661"/>
    <x v="2"/>
  </r>
  <r>
    <n v="1946"/>
    <x v="251"/>
    <d v="1899-12-30T20:48:00"/>
    <x v="2"/>
    <x v="0"/>
    <n v="62"/>
    <x v="2"/>
    <n v="4"/>
    <n v="500"/>
    <n v="165"/>
    <n v="2000"/>
    <n v="1835"/>
    <n v="0.91749999999999998"/>
    <x v="2"/>
  </r>
  <r>
    <n v="148"/>
    <x v="444"/>
    <d v="1899-12-30T20:39:00"/>
    <x v="2"/>
    <x v="0"/>
    <n v="18"/>
    <x v="0"/>
    <n v="2"/>
    <n v="30"/>
    <n v="9.9"/>
    <n v="60"/>
    <n v="50.1"/>
    <n v="0.83500000000000008"/>
    <x v="3"/>
  </r>
  <r>
    <n v="414"/>
    <x v="445"/>
    <d v="1899-12-30T19:40:00"/>
    <x v="15"/>
    <x v="0"/>
    <n v="48"/>
    <x v="1"/>
    <n v="4"/>
    <n v="25"/>
    <n v="9.75"/>
    <n v="100"/>
    <n v="90.25"/>
    <n v="0.90249999999999997"/>
    <x v="1"/>
  </r>
  <r>
    <n v="883"/>
    <x v="332"/>
    <d v="1899-12-30T20:43:00"/>
    <x v="2"/>
    <x v="0"/>
    <n v="40"/>
    <x v="2"/>
    <n v="1"/>
    <n v="500"/>
    <n v="245"/>
    <n v="500"/>
    <n v="255"/>
    <n v="0.51"/>
    <x v="0"/>
  </r>
  <r>
    <n v="1148"/>
    <x v="446"/>
    <d v="1899-12-30T22:04:00"/>
    <x v="98"/>
    <x v="0"/>
    <n v="18"/>
    <x v="0"/>
    <n v="2"/>
    <n v="30"/>
    <n v="10.8"/>
    <n v="60"/>
    <n v="49.2"/>
    <n v="0.82000000000000006"/>
    <x v="3"/>
  </r>
  <r>
    <n v="1414"/>
    <x v="315"/>
    <d v="1899-12-30T21:28:00"/>
    <x v="133"/>
    <x v="0"/>
    <n v="48"/>
    <x v="1"/>
    <n v="4"/>
    <n v="25"/>
    <n v="11.25"/>
    <n v="100"/>
    <n v="88.75"/>
    <n v="0.88749999999999996"/>
    <x v="1"/>
  </r>
  <r>
    <n v="1883"/>
    <x v="447"/>
    <d v="1899-12-30T17:54:00"/>
    <x v="55"/>
    <x v="0"/>
    <n v="40"/>
    <x v="2"/>
    <n v="1"/>
    <n v="500"/>
    <n v="200"/>
    <n v="500"/>
    <n v="300"/>
    <n v="0.6"/>
    <x v="0"/>
  </r>
  <r>
    <n v="731"/>
    <x v="448"/>
    <d v="1899-12-30T18:49:00"/>
    <x v="15"/>
    <x v="0"/>
    <n v="54"/>
    <x v="0"/>
    <n v="4"/>
    <n v="500"/>
    <n v="165"/>
    <n v="2000"/>
    <n v="1835"/>
    <n v="0.91749999999999998"/>
    <x v="1"/>
  </r>
  <r>
    <n v="930"/>
    <x v="227"/>
    <d v="1899-12-30T17:54:00"/>
    <x v="15"/>
    <x v="0"/>
    <n v="54"/>
    <x v="0"/>
    <n v="4"/>
    <n v="50"/>
    <n v="26"/>
    <n v="200"/>
    <n v="174"/>
    <n v="0.87"/>
    <x v="1"/>
  </r>
  <r>
    <n v="1731"/>
    <x v="449"/>
    <d v="1899-12-30T17:41:00"/>
    <x v="55"/>
    <x v="0"/>
    <n v="54"/>
    <x v="0"/>
    <n v="4"/>
    <n v="500"/>
    <n v="195"/>
    <n v="2000"/>
    <n v="1805"/>
    <n v="0.90249999999999997"/>
    <x v="1"/>
  </r>
  <r>
    <n v="1930"/>
    <x v="450"/>
    <d v="1899-12-30T19:58:00"/>
    <x v="2"/>
    <x v="0"/>
    <n v="54"/>
    <x v="0"/>
    <n v="4"/>
    <n v="50"/>
    <n v="13"/>
    <n v="200"/>
    <n v="187"/>
    <n v="0.93500000000000005"/>
    <x v="1"/>
  </r>
  <r>
    <n v="518"/>
    <x v="299"/>
    <d v="1899-12-30T17:01:00"/>
    <x v="98"/>
    <x v="1"/>
    <n v="40"/>
    <x v="0"/>
    <n v="1"/>
    <n v="30"/>
    <n v="16.2"/>
    <n v="30"/>
    <n v="13.8"/>
    <n v="0.46"/>
    <x v="0"/>
  </r>
  <r>
    <n v="1518"/>
    <x v="418"/>
    <d v="1899-12-30T20:03:00"/>
    <x v="55"/>
    <x v="1"/>
    <n v="40"/>
    <x v="0"/>
    <n v="1"/>
    <n v="30"/>
    <n v="12.6"/>
    <n v="30"/>
    <n v="17.399999999999999"/>
    <n v="0.57999999999999996"/>
    <x v="0"/>
  </r>
  <r>
    <n v="758"/>
    <x v="451"/>
    <d v="1899-12-30T18:30:00"/>
    <x v="15"/>
    <x v="0"/>
    <n v="64"/>
    <x v="0"/>
    <n v="4"/>
    <n v="25"/>
    <n v="6.75"/>
    <n v="100"/>
    <n v="93.25"/>
    <n v="0.9325"/>
    <x v="2"/>
  </r>
  <r>
    <n v="1758"/>
    <x v="287"/>
    <d v="1899-12-30T18:19:00"/>
    <x v="55"/>
    <x v="0"/>
    <n v="64"/>
    <x v="0"/>
    <n v="4"/>
    <n v="25"/>
    <n v="7.5"/>
    <n v="100"/>
    <n v="92.5"/>
    <n v="0.92500000000000004"/>
    <x v="2"/>
  </r>
  <r>
    <n v="639"/>
    <x v="452"/>
    <d v="1899-12-30T19:47:00"/>
    <x v="133"/>
    <x v="1"/>
    <n v="62"/>
    <x v="1"/>
    <n v="4"/>
    <n v="50"/>
    <n v="26.5"/>
    <n v="200"/>
    <n v="173.5"/>
    <n v="0.86750000000000005"/>
    <x v="2"/>
  </r>
  <r>
    <n v="838"/>
    <x v="448"/>
    <d v="1899-12-30T21:20:00"/>
    <x v="15"/>
    <x v="0"/>
    <n v="47"/>
    <x v="2"/>
    <n v="2"/>
    <n v="300"/>
    <n v="153"/>
    <n v="600"/>
    <n v="447"/>
    <n v="0.745"/>
    <x v="1"/>
  </r>
  <r>
    <n v="1639"/>
    <x v="453"/>
    <d v="1899-12-30T18:13:00"/>
    <x v="2"/>
    <x v="1"/>
    <n v="62"/>
    <x v="1"/>
    <n v="4"/>
    <n v="50"/>
    <n v="24"/>
    <n v="200"/>
    <n v="176"/>
    <n v="0.88"/>
    <x v="2"/>
  </r>
  <r>
    <n v="1838"/>
    <x v="454"/>
    <d v="1899-12-30T17:06:00"/>
    <x v="133"/>
    <x v="0"/>
    <n v="47"/>
    <x v="2"/>
    <n v="2"/>
    <n v="300"/>
    <n v="102"/>
    <n v="600"/>
    <n v="498"/>
    <n v="0.83"/>
    <x v="1"/>
  </r>
  <r>
    <n v="353"/>
    <x v="455"/>
    <d v="1899-12-30T21:35:00"/>
    <x v="2"/>
    <x v="0"/>
    <n v="31"/>
    <x v="2"/>
    <n v="1"/>
    <n v="500"/>
    <n v="270"/>
    <n v="500"/>
    <n v="230"/>
    <n v="0.46"/>
    <x v="4"/>
  </r>
  <r>
    <n v="501"/>
    <x v="454"/>
    <d v="1899-12-30T20:21:00"/>
    <x v="98"/>
    <x v="0"/>
    <n v="39"/>
    <x v="2"/>
    <n v="2"/>
    <n v="30"/>
    <n v="9"/>
    <n v="60"/>
    <n v="51"/>
    <n v="0.85"/>
    <x v="0"/>
  </r>
  <r>
    <n v="721"/>
    <x v="456"/>
    <d v="1899-12-30T17:10:00"/>
    <x v="2"/>
    <x v="1"/>
    <n v="52"/>
    <x v="0"/>
    <n v="1"/>
    <n v="500"/>
    <n v="145"/>
    <n v="500"/>
    <n v="355"/>
    <n v="0.71"/>
    <x v="1"/>
  </r>
  <r>
    <n v="1353"/>
    <x v="457"/>
    <d v="1899-12-30T21:59:00"/>
    <x v="55"/>
    <x v="0"/>
    <n v="31"/>
    <x v="2"/>
    <n v="1"/>
    <n v="500"/>
    <n v="235"/>
    <n v="500"/>
    <n v="265"/>
    <n v="0.53"/>
    <x v="4"/>
  </r>
  <r>
    <n v="1501"/>
    <x v="458"/>
    <d v="1899-12-30T18:00:00"/>
    <x v="15"/>
    <x v="0"/>
    <n v="39"/>
    <x v="2"/>
    <n v="2"/>
    <n v="30"/>
    <n v="13.5"/>
    <n v="60"/>
    <n v="46.5"/>
    <n v="0.77500000000000002"/>
    <x v="0"/>
  </r>
  <r>
    <n v="1721"/>
    <x v="459"/>
    <d v="1899-12-30T22:42:00"/>
    <x v="55"/>
    <x v="1"/>
    <n v="52"/>
    <x v="0"/>
    <n v="1"/>
    <n v="500"/>
    <n v="215"/>
    <n v="500"/>
    <n v="285"/>
    <n v="0.56999999999999995"/>
    <x v="1"/>
  </r>
  <r>
    <n v="123"/>
    <x v="446"/>
    <d v="1899-12-30T19:00:00"/>
    <x v="55"/>
    <x v="1"/>
    <n v="40"/>
    <x v="2"/>
    <n v="2"/>
    <n v="30"/>
    <n v="11.7"/>
    <n v="60"/>
    <n v="48.3"/>
    <n v="0.80499999999999994"/>
    <x v="0"/>
  </r>
  <r>
    <n v="164"/>
    <x v="460"/>
    <d v="1899-12-30T18:26:00"/>
    <x v="55"/>
    <x v="1"/>
    <n v="47"/>
    <x v="1"/>
    <n v="3"/>
    <n v="500"/>
    <n v="185"/>
    <n v="1500"/>
    <n v="1315"/>
    <n v="0.87666666666666671"/>
    <x v="1"/>
  </r>
  <r>
    <n v="425"/>
    <x v="461"/>
    <d v="1899-12-30T18:28:00"/>
    <x v="98"/>
    <x v="1"/>
    <n v="55"/>
    <x v="2"/>
    <n v="4"/>
    <n v="30"/>
    <n v="15.6"/>
    <n v="120"/>
    <n v="104.4"/>
    <n v="0.87"/>
    <x v="1"/>
  </r>
  <r>
    <n v="1123"/>
    <x v="337"/>
    <d v="1899-12-30T21:04:00"/>
    <x v="15"/>
    <x v="1"/>
    <n v="40"/>
    <x v="2"/>
    <n v="2"/>
    <n v="30"/>
    <n v="10.8"/>
    <n v="60"/>
    <n v="49.2"/>
    <n v="0.82000000000000006"/>
    <x v="0"/>
  </r>
  <r>
    <n v="1164"/>
    <x v="462"/>
    <d v="1899-12-30T20:53:00"/>
    <x v="15"/>
    <x v="1"/>
    <n v="47"/>
    <x v="1"/>
    <n v="3"/>
    <n v="500"/>
    <n v="245"/>
    <n v="1500"/>
    <n v="1255"/>
    <n v="0.83666666666666667"/>
    <x v="1"/>
  </r>
  <r>
    <n v="1425"/>
    <x v="336"/>
    <d v="1899-12-30T22:15:00"/>
    <x v="15"/>
    <x v="1"/>
    <n v="55"/>
    <x v="2"/>
    <n v="4"/>
    <n v="30"/>
    <n v="10.199999999999999"/>
    <n v="120"/>
    <n v="109.8"/>
    <n v="0.91499999999999992"/>
    <x v="1"/>
  </r>
  <r>
    <n v="48"/>
    <x v="340"/>
    <d v="1899-12-30T17:34:00"/>
    <x v="98"/>
    <x v="0"/>
    <n v="54"/>
    <x v="2"/>
    <n v="3"/>
    <n v="300"/>
    <n v="123"/>
    <n v="900"/>
    <n v="777"/>
    <n v="0.86333333333333329"/>
    <x v="1"/>
  </r>
  <r>
    <n v="118"/>
    <x v="463"/>
    <d v="1899-12-30T20:07:00"/>
    <x v="55"/>
    <x v="1"/>
    <n v="30"/>
    <x v="2"/>
    <n v="4"/>
    <n v="500"/>
    <n v="270"/>
    <n v="2000"/>
    <n v="1730"/>
    <n v="0.86499999999999999"/>
    <x v="4"/>
  </r>
  <r>
    <n v="203"/>
    <x v="464"/>
    <d v="1899-12-30T21:33:00"/>
    <x v="133"/>
    <x v="0"/>
    <n v="56"/>
    <x v="0"/>
    <n v="2"/>
    <n v="500"/>
    <n v="175"/>
    <n v="1000"/>
    <n v="825"/>
    <n v="0.82499999999999996"/>
    <x v="2"/>
  </r>
  <r>
    <n v="305"/>
    <x v="465"/>
    <d v="1899-12-30T22:09:00"/>
    <x v="133"/>
    <x v="1"/>
    <n v="18"/>
    <x v="1"/>
    <n v="1"/>
    <n v="30"/>
    <n v="14.4"/>
    <n v="30"/>
    <n v="15.6"/>
    <n v="0.52"/>
    <x v="3"/>
  </r>
  <r>
    <n v="358"/>
    <x v="466"/>
    <d v="1899-12-30T18:32:00"/>
    <x v="133"/>
    <x v="1"/>
    <n v="32"/>
    <x v="1"/>
    <n v="1"/>
    <n v="300"/>
    <n v="132"/>
    <n v="300"/>
    <n v="168"/>
    <n v="0.56000000000000005"/>
    <x v="4"/>
  </r>
  <r>
    <n v="376"/>
    <x v="312"/>
    <d v="1899-12-30T18:21:00"/>
    <x v="133"/>
    <x v="1"/>
    <n v="64"/>
    <x v="1"/>
    <n v="1"/>
    <n v="30"/>
    <n v="12"/>
    <n v="30"/>
    <n v="18"/>
    <n v="0.6"/>
    <x v="2"/>
  </r>
  <r>
    <n v="398"/>
    <x v="362"/>
    <d v="1899-12-30T21:17:00"/>
    <x v="2"/>
    <x v="1"/>
    <n v="48"/>
    <x v="0"/>
    <n v="2"/>
    <n v="300"/>
    <n v="114"/>
    <n v="600"/>
    <n v="486"/>
    <n v="0.81"/>
    <x v="1"/>
  </r>
  <r>
    <n v="411"/>
    <x v="467"/>
    <d v="1899-12-30T20:04:00"/>
    <x v="55"/>
    <x v="0"/>
    <n v="62"/>
    <x v="2"/>
    <n v="4"/>
    <n v="50"/>
    <n v="24.5"/>
    <n v="200"/>
    <n v="175.5"/>
    <n v="0.87749999999999995"/>
    <x v="2"/>
  </r>
  <r>
    <n v="504"/>
    <x v="354"/>
    <d v="1899-12-30T18:07:00"/>
    <x v="133"/>
    <x v="1"/>
    <n v="38"/>
    <x v="1"/>
    <n v="3"/>
    <n v="50"/>
    <n v="22"/>
    <n v="150"/>
    <n v="128"/>
    <n v="0.85333333333333339"/>
    <x v="0"/>
  </r>
  <r>
    <n v="970"/>
    <x v="468"/>
    <d v="1899-12-30T18:13:00"/>
    <x v="98"/>
    <x v="0"/>
    <n v="59"/>
    <x v="2"/>
    <n v="4"/>
    <n v="500"/>
    <n v="220"/>
    <n v="2000"/>
    <n v="1780"/>
    <n v="0.89"/>
    <x v="2"/>
  </r>
  <r>
    <n v="996"/>
    <x v="444"/>
    <d v="1899-12-30T17:38:00"/>
    <x v="98"/>
    <x v="0"/>
    <n v="62"/>
    <x v="0"/>
    <n v="1"/>
    <n v="50"/>
    <n v="13.5"/>
    <n v="50"/>
    <n v="36.5"/>
    <n v="0.73"/>
    <x v="2"/>
  </r>
  <r>
    <n v="1048"/>
    <x v="265"/>
    <d v="1899-12-30T19:14:00"/>
    <x v="55"/>
    <x v="0"/>
    <n v="54"/>
    <x v="2"/>
    <n v="3"/>
    <n v="300"/>
    <n v="93"/>
    <n v="900"/>
    <n v="807"/>
    <n v="0.89666666666666661"/>
    <x v="1"/>
  </r>
  <r>
    <n v="1118"/>
    <x v="412"/>
    <d v="1899-12-30T17:24:00"/>
    <x v="15"/>
    <x v="1"/>
    <n v="30"/>
    <x v="2"/>
    <n v="4"/>
    <n v="500"/>
    <n v="170"/>
    <n v="2000"/>
    <n v="1830"/>
    <n v="0.91500000000000004"/>
    <x v="4"/>
  </r>
  <r>
    <n v="1203"/>
    <x v="324"/>
    <d v="1899-12-30T18:36:00"/>
    <x v="98"/>
    <x v="0"/>
    <n v="56"/>
    <x v="0"/>
    <n v="2"/>
    <n v="500"/>
    <n v="145"/>
    <n v="1000"/>
    <n v="855"/>
    <n v="0.85499999999999998"/>
    <x v="2"/>
  </r>
  <r>
    <n v="1305"/>
    <x v="469"/>
    <d v="1899-12-30T18:24:00"/>
    <x v="2"/>
    <x v="1"/>
    <n v="18"/>
    <x v="1"/>
    <n v="1"/>
    <n v="30"/>
    <n v="7.8"/>
    <n v="30"/>
    <n v="22.2"/>
    <n v="0.74"/>
    <x v="3"/>
  </r>
  <r>
    <n v="1358"/>
    <x v="241"/>
    <d v="1899-12-30T21:40:00"/>
    <x v="2"/>
    <x v="1"/>
    <n v="32"/>
    <x v="1"/>
    <n v="1"/>
    <n v="300"/>
    <n v="156"/>
    <n v="300"/>
    <n v="144"/>
    <n v="0.48"/>
    <x v="4"/>
  </r>
  <r>
    <n v="1376"/>
    <x v="295"/>
    <d v="1899-12-30T19:49:00"/>
    <x v="55"/>
    <x v="1"/>
    <n v="64"/>
    <x v="1"/>
    <n v="1"/>
    <n v="30"/>
    <n v="9.9"/>
    <n v="30"/>
    <n v="20.100000000000001"/>
    <n v="0.67"/>
    <x v="2"/>
  </r>
  <r>
    <n v="1398"/>
    <x v="237"/>
    <d v="1899-12-30T17:20:00"/>
    <x v="15"/>
    <x v="1"/>
    <n v="48"/>
    <x v="0"/>
    <n v="2"/>
    <n v="300"/>
    <n v="120"/>
    <n v="600"/>
    <n v="480"/>
    <n v="0.8"/>
    <x v="1"/>
  </r>
  <r>
    <n v="1411"/>
    <x v="470"/>
    <d v="1899-12-30T20:27:00"/>
    <x v="15"/>
    <x v="0"/>
    <n v="62"/>
    <x v="2"/>
    <n v="4"/>
    <n v="50"/>
    <n v="26"/>
    <n v="200"/>
    <n v="174"/>
    <n v="0.87"/>
    <x v="2"/>
  </r>
  <r>
    <n v="1504"/>
    <x v="254"/>
    <d v="1899-12-30T17:01:00"/>
    <x v="133"/>
    <x v="1"/>
    <n v="38"/>
    <x v="1"/>
    <n v="3"/>
    <n v="50"/>
    <n v="25.5"/>
    <n v="150"/>
    <n v="124.5"/>
    <n v="0.83"/>
    <x v="0"/>
  </r>
  <r>
    <n v="1970"/>
    <x v="471"/>
    <d v="1899-12-30T17:44:00"/>
    <x v="2"/>
    <x v="0"/>
    <n v="59"/>
    <x v="2"/>
    <n v="4"/>
    <n v="500"/>
    <n v="230"/>
    <n v="2000"/>
    <n v="1770"/>
    <n v="0.88500000000000001"/>
    <x v="2"/>
  </r>
  <r>
    <n v="1996"/>
    <x v="260"/>
    <d v="1899-12-30T18:49:00"/>
    <x v="98"/>
    <x v="0"/>
    <n v="62"/>
    <x v="0"/>
    <n v="1"/>
    <n v="50"/>
    <n v="25"/>
    <n v="50"/>
    <n v="25"/>
    <n v="0.5"/>
    <x v="2"/>
  </r>
  <r>
    <n v="81"/>
    <x v="472"/>
    <d v="1899-12-30T22:48:00"/>
    <x v="133"/>
    <x v="0"/>
    <n v="40"/>
    <x v="2"/>
    <n v="1"/>
    <n v="50"/>
    <n v="14.5"/>
    <n v="50"/>
    <n v="35.5"/>
    <n v="0.71"/>
    <x v="0"/>
  </r>
  <r>
    <n v="155"/>
    <x v="292"/>
    <d v="1899-12-30T18:05:00"/>
    <x v="55"/>
    <x v="0"/>
    <n v="31"/>
    <x v="2"/>
    <n v="4"/>
    <n v="500"/>
    <n v="150"/>
    <n v="2000"/>
    <n v="1850"/>
    <n v="0.92500000000000004"/>
    <x v="4"/>
  </r>
  <r>
    <n v="470"/>
    <x v="253"/>
    <d v="1899-12-30T18:58:00"/>
    <x v="133"/>
    <x v="1"/>
    <n v="57"/>
    <x v="0"/>
    <n v="2"/>
    <n v="500"/>
    <n v="165"/>
    <n v="1000"/>
    <n v="835"/>
    <n v="0.83499999999999996"/>
    <x v="2"/>
  </r>
  <r>
    <n v="1081"/>
    <x v="473"/>
    <d v="1899-12-30T22:23:00"/>
    <x v="2"/>
    <x v="0"/>
    <n v="40"/>
    <x v="2"/>
    <n v="1"/>
    <n v="50"/>
    <n v="17"/>
    <n v="50"/>
    <n v="33"/>
    <n v="0.66"/>
    <x v="0"/>
  </r>
  <r>
    <n v="1155"/>
    <x v="383"/>
    <d v="1899-12-30T18:22:00"/>
    <x v="55"/>
    <x v="0"/>
    <n v="31"/>
    <x v="2"/>
    <n v="4"/>
    <n v="500"/>
    <n v="255"/>
    <n v="2000"/>
    <n v="1745"/>
    <n v="0.87250000000000005"/>
    <x v="4"/>
  </r>
  <r>
    <n v="1470"/>
    <x v="304"/>
    <d v="1899-12-30T19:47:00"/>
    <x v="15"/>
    <x v="1"/>
    <n v="57"/>
    <x v="0"/>
    <n v="2"/>
    <n v="500"/>
    <n v="165"/>
    <n v="1000"/>
    <n v="835"/>
    <n v="0.83499999999999996"/>
    <x v="2"/>
  </r>
  <r>
    <n v="106"/>
    <x v="352"/>
    <d v="1899-12-30T18:58:00"/>
    <x v="15"/>
    <x v="1"/>
    <n v="46"/>
    <x v="0"/>
    <n v="1"/>
    <n v="50"/>
    <n v="15"/>
    <n v="50"/>
    <n v="35"/>
    <n v="0.7"/>
    <x v="1"/>
  </r>
  <r>
    <n v="818"/>
    <x v="423"/>
    <d v="1899-12-30T18:56:00"/>
    <x v="133"/>
    <x v="0"/>
    <n v="30"/>
    <x v="2"/>
    <n v="1"/>
    <n v="500"/>
    <n v="265"/>
    <n v="500"/>
    <n v="235"/>
    <n v="0.47"/>
    <x v="4"/>
  </r>
  <r>
    <n v="1106"/>
    <x v="402"/>
    <d v="1899-12-30T17:50:00"/>
    <x v="55"/>
    <x v="1"/>
    <n v="46"/>
    <x v="0"/>
    <n v="1"/>
    <n v="50"/>
    <n v="14"/>
    <n v="50"/>
    <n v="36"/>
    <n v="0.72"/>
    <x v="1"/>
  </r>
  <r>
    <n v="1818"/>
    <x v="447"/>
    <d v="1899-12-30T17:29:00"/>
    <x v="133"/>
    <x v="0"/>
    <n v="30"/>
    <x v="2"/>
    <n v="1"/>
    <n v="500"/>
    <n v="150"/>
    <n v="500"/>
    <n v="350"/>
    <n v="0.7"/>
    <x v="4"/>
  </r>
  <r>
    <n v="94"/>
    <x v="463"/>
    <d v="1899-12-30T22:39:00"/>
    <x v="2"/>
    <x v="1"/>
    <n v="47"/>
    <x v="1"/>
    <n v="2"/>
    <n v="500"/>
    <n v="250"/>
    <n v="1000"/>
    <n v="750"/>
    <n v="0.75"/>
    <x v="1"/>
  </r>
  <r>
    <n v="811"/>
    <x v="367"/>
    <d v="1899-12-30T18:34:00"/>
    <x v="98"/>
    <x v="0"/>
    <n v="61"/>
    <x v="1"/>
    <n v="2"/>
    <n v="25"/>
    <n v="6.75"/>
    <n v="50"/>
    <n v="43.25"/>
    <n v="0.86499999999999999"/>
    <x v="2"/>
  </r>
  <r>
    <n v="881"/>
    <x v="450"/>
    <d v="1899-12-30T20:52:00"/>
    <x v="133"/>
    <x v="0"/>
    <n v="22"/>
    <x v="2"/>
    <n v="1"/>
    <n v="300"/>
    <n v="99"/>
    <n v="300"/>
    <n v="201"/>
    <n v="0.67"/>
    <x v="3"/>
  </r>
  <r>
    <n v="1094"/>
    <x v="474"/>
    <d v="1899-12-30T20:34:00"/>
    <x v="15"/>
    <x v="1"/>
    <n v="47"/>
    <x v="1"/>
    <n v="2"/>
    <n v="500"/>
    <n v="210"/>
    <n v="1000"/>
    <n v="790"/>
    <n v="0.79"/>
    <x v="1"/>
  </r>
  <r>
    <n v="1811"/>
    <x v="475"/>
    <d v="1899-12-30T21:58:00"/>
    <x v="2"/>
    <x v="0"/>
    <n v="61"/>
    <x v="1"/>
    <n v="2"/>
    <n v="25"/>
    <n v="8.5"/>
    <n v="50"/>
    <n v="41.5"/>
    <n v="0.83"/>
    <x v="2"/>
  </r>
  <r>
    <n v="1881"/>
    <x v="381"/>
    <d v="1899-12-30T17:23:00"/>
    <x v="2"/>
    <x v="0"/>
    <n v="22"/>
    <x v="2"/>
    <n v="1"/>
    <n v="300"/>
    <n v="147"/>
    <n v="300"/>
    <n v="153"/>
    <n v="0.51"/>
    <x v="3"/>
  </r>
  <r>
    <n v="403"/>
    <x v="476"/>
    <d v="1899-12-30T19:31:00"/>
    <x v="2"/>
    <x v="0"/>
    <n v="32"/>
    <x v="0"/>
    <n v="2"/>
    <n v="300"/>
    <n v="78"/>
    <n v="600"/>
    <n v="522"/>
    <n v="0.87"/>
    <x v="4"/>
  </r>
  <r>
    <n v="653"/>
    <x v="477"/>
    <d v="1899-12-30T22:53:00"/>
    <x v="55"/>
    <x v="0"/>
    <n v="54"/>
    <x v="0"/>
    <n v="3"/>
    <n v="25"/>
    <n v="9.25"/>
    <n v="75"/>
    <n v="65.75"/>
    <n v="0.87666666666666671"/>
    <x v="1"/>
  </r>
  <r>
    <n v="694"/>
    <x v="240"/>
    <d v="1899-12-30T17:47:00"/>
    <x v="55"/>
    <x v="1"/>
    <n v="39"/>
    <x v="2"/>
    <n v="2"/>
    <n v="25"/>
    <n v="10"/>
    <n v="50"/>
    <n v="40"/>
    <n v="0.8"/>
    <x v="0"/>
  </r>
  <r>
    <n v="1403"/>
    <x v="478"/>
    <d v="1899-12-30T18:20:00"/>
    <x v="133"/>
    <x v="0"/>
    <n v="32"/>
    <x v="0"/>
    <n v="2"/>
    <n v="300"/>
    <n v="162"/>
    <n v="600"/>
    <n v="438"/>
    <n v="0.73"/>
    <x v="4"/>
  </r>
  <r>
    <n v="1653"/>
    <x v="479"/>
    <d v="1899-12-30T19:34:00"/>
    <x v="98"/>
    <x v="0"/>
    <n v="54"/>
    <x v="0"/>
    <n v="3"/>
    <n v="25"/>
    <n v="12.75"/>
    <n v="75"/>
    <n v="62.25"/>
    <n v="0.83"/>
    <x v="1"/>
  </r>
  <r>
    <n v="1694"/>
    <x v="333"/>
    <d v="1899-12-30T19:22:00"/>
    <x v="133"/>
    <x v="1"/>
    <n v="39"/>
    <x v="2"/>
    <n v="2"/>
    <n v="25"/>
    <n v="9.75"/>
    <n v="50"/>
    <n v="40.25"/>
    <n v="0.80500000000000005"/>
    <x v="0"/>
  </r>
  <r>
    <n v="4"/>
    <x v="480"/>
    <d v="1899-12-30T18:12:00"/>
    <x v="55"/>
    <x v="0"/>
    <n v="37"/>
    <x v="0"/>
    <n v="1"/>
    <n v="500"/>
    <n v="200"/>
    <n v="500"/>
    <n v="300"/>
    <n v="0.6"/>
    <x v="0"/>
  </r>
  <r>
    <n v="647"/>
    <x v="256"/>
    <d v="1899-12-30T19:53:00"/>
    <x v="2"/>
    <x v="0"/>
    <n v="59"/>
    <x v="0"/>
    <n v="3"/>
    <n v="500"/>
    <n v="190"/>
    <n v="1500"/>
    <n v="1310"/>
    <n v="0.87333333333333329"/>
    <x v="2"/>
  </r>
  <r>
    <n v="911"/>
    <x v="295"/>
    <d v="1899-12-30T17:29:00"/>
    <x v="55"/>
    <x v="0"/>
    <n v="42"/>
    <x v="2"/>
    <n v="3"/>
    <n v="300"/>
    <n v="84"/>
    <n v="900"/>
    <n v="816"/>
    <n v="0.90666666666666662"/>
    <x v="0"/>
  </r>
  <r>
    <n v="1004"/>
    <x v="481"/>
    <d v="1899-12-30T21:46:00"/>
    <x v="98"/>
    <x v="0"/>
    <n v="37"/>
    <x v="0"/>
    <n v="1"/>
    <n v="500"/>
    <n v="230"/>
    <n v="500"/>
    <n v="270"/>
    <n v="0.54"/>
    <x v="0"/>
  </r>
  <r>
    <n v="1647"/>
    <x v="296"/>
    <d v="1899-12-30T20:26:00"/>
    <x v="2"/>
    <x v="0"/>
    <n v="59"/>
    <x v="0"/>
    <n v="3"/>
    <n v="500"/>
    <n v="240"/>
    <n v="1500"/>
    <n v="1260"/>
    <n v="0.84"/>
    <x v="2"/>
  </r>
  <r>
    <n v="1911"/>
    <x v="288"/>
    <d v="1899-12-30T18:33:00"/>
    <x v="133"/>
    <x v="0"/>
    <n v="42"/>
    <x v="2"/>
    <n v="3"/>
    <n v="300"/>
    <n v="75"/>
    <n v="900"/>
    <n v="825"/>
    <n v="0.91666666666666663"/>
    <x v="0"/>
  </r>
  <r>
    <n v="419"/>
    <x v="354"/>
    <d v="1899-12-30T19:18:00"/>
    <x v="2"/>
    <x v="1"/>
    <n v="44"/>
    <x v="0"/>
    <n v="3"/>
    <n v="30"/>
    <n v="11.7"/>
    <n v="90"/>
    <n v="78.3"/>
    <n v="0.87"/>
    <x v="0"/>
  </r>
  <r>
    <n v="642"/>
    <x v="241"/>
    <d v="1899-12-30T21:40:00"/>
    <x v="15"/>
    <x v="1"/>
    <n v="54"/>
    <x v="0"/>
    <n v="4"/>
    <n v="25"/>
    <n v="12"/>
    <n v="100"/>
    <n v="88"/>
    <n v="0.88"/>
    <x v="1"/>
  </r>
  <r>
    <n v="843"/>
    <x v="254"/>
    <d v="1899-12-30T22:46:00"/>
    <x v="55"/>
    <x v="0"/>
    <n v="21"/>
    <x v="1"/>
    <n v="3"/>
    <n v="500"/>
    <n v="180"/>
    <n v="1500"/>
    <n v="1320"/>
    <n v="0.88"/>
    <x v="3"/>
  </r>
  <r>
    <n v="895"/>
    <x v="279"/>
    <d v="1899-12-30T21:51:00"/>
    <x v="55"/>
    <x v="1"/>
    <n v="55"/>
    <x v="0"/>
    <n v="4"/>
    <n v="30"/>
    <n v="14.4"/>
    <n v="120"/>
    <n v="105.6"/>
    <n v="0.88"/>
    <x v="1"/>
  </r>
  <r>
    <n v="1419"/>
    <x v="399"/>
    <d v="1899-12-30T18:42:00"/>
    <x v="55"/>
    <x v="1"/>
    <n v="44"/>
    <x v="0"/>
    <n v="3"/>
    <n v="30"/>
    <n v="9.3000000000000007"/>
    <n v="90"/>
    <n v="80.7"/>
    <n v="0.89666666666666672"/>
    <x v="0"/>
  </r>
  <r>
    <n v="1642"/>
    <x v="482"/>
    <d v="1899-12-30T18:30:00"/>
    <x v="133"/>
    <x v="1"/>
    <n v="54"/>
    <x v="0"/>
    <n v="4"/>
    <n v="25"/>
    <n v="11.5"/>
    <n v="100"/>
    <n v="88.5"/>
    <n v="0.88500000000000001"/>
    <x v="1"/>
  </r>
  <r>
    <n v="1843"/>
    <x v="483"/>
    <d v="1899-12-30T18:58:00"/>
    <x v="15"/>
    <x v="0"/>
    <n v="21"/>
    <x v="1"/>
    <n v="3"/>
    <n v="500"/>
    <n v="240"/>
    <n v="1500"/>
    <n v="1260"/>
    <n v="0.84"/>
    <x v="3"/>
  </r>
  <r>
    <n v="1895"/>
    <x v="484"/>
    <d v="1899-12-30T20:59:00"/>
    <x v="133"/>
    <x v="1"/>
    <n v="55"/>
    <x v="0"/>
    <n v="4"/>
    <n v="30"/>
    <n v="15.3"/>
    <n v="120"/>
    <n v="104.7"/>
    <n v="0.87250000000000005"/>
    <x v="1"/>
  </r>
  <r>
    <n v="31"/>
    <x v="485"/>
    <d v="1899-12-30T17:47:00"/>
    <x v="55"/>
    <x v="0"/>
    <n v="44"/>
    <x v="2"/>
    <n v="4"/>
    <n v="300"/>
    <n v="129"/>
    <n v="1200"/>
    <n v="1071"/>
    <n v="0.89249999999999996"/>
    <x v="0"/>
  </r>
  <r>
    <n v="37"/>
    <x v="397"/>
    <d v="1899-12-30T22:42:00"/>
    <x v="98"/>
    <x v="1"/>
    <n v="18"/>
    <x v="1"/>
    <n v="3"/>
    <n v="25"/>
    <n v="8.75"/>
    <n v="75"/>
    <n v="66.25"/>
    <n v="0.8833333333333333"/>
    <x v="3"/>
  </r>
  <r>
    <n v="72"/>
    <x v="486"/>
    <d v="1899-12-30T19:19:00"/>
    <x v="2"/>
    <x v="1"/>
    <n v="20"/>
    <x v="2"/>
    <n v="4"/>
    <n v="500"/>
    <n v="195"/>
    <n v="2000"/>
    <n v="1805"/>
    <n v="0.90249999999999997"/>
    <x v="3"/>
  </r>
  <r>
    <n v="243"/>
    <x v="269"/>
    <d v="1899-12-30T18:02:00"/>
    <x v="2"/>
    <x v="1"/>
    <n v="47"/>
    <x v="2"/>
    <n v="3"/>
    <n v="300"/>
    <n v="156"/>
    <n v="900"/>
    <n v="744"/>
    <n v="0.82666666666666666"/>
    <x v="1"/>
  </r>
  <r>
    <n v="281"/>
    <x v="339"/>
    <d v="1899-12-30T20:09:00"/>
    <x v="133"/>
    <x v="1"/>
    <n v="29"/>
    <x v="1"/>
    <n v="4"/>
    <n v="500"/>
    <n v="275"/>
    <n v="2000"/>
    <n v="1725"/>
    <n v="0.86250000000000004"/>
    <x v="4"/>
  </r>
  <r>
    <n v="489"/>
    <x v="415"/>
    <d v="1899-12-30T22:01:00"/>
    <x v="15"/>
    <x v="0"/>
    <n v="44"/>
    <x v="2"/>
    <n v="1"/>
    <n v="30"/>
    <n v="14.4"/>
    <n v="30"/>
    <n v="15.6"/>
    <n v="0.52"/>
    <x v="0"/>
  </r>
  <r>
    <n v="491"/>
    <x v="267"/>
    <d v="1899-12-30T21:11:00"/>
    <x v="133"/>
    <x v="1"/>
    <n v="60"/>
    <x v="2"/>
    <n v="3"/>
    <n v="300"/>
    <n v="78"/>
    <n v="900"/>
    <n v="822"/>
    <n v="0.91333333333333333"/>
    <x v="2"/>
  </r>
  <r>
    <n v="729"/>
    <x v="313"/>
    <d v="1899-12-30T22:29:00"/>
    <x v="55"/>
    <x v="0"/>
    <n v="29"/>
    <x v="0"/>
    <n v="4"/>
    <n v="300"/>
    <n v="84"/>
    <n v="1200"/>
    <n v="1116"/>
    <n v="0.93"/>
    <x v="4"/>
  </r>
  <r>
    <n v="822"/>
    <x v="243"/>
    <d v="1899-12-30T17:39:00"/>
    <x v="55"/>
    <x v="1"/>
    <n v="52"/>
    <x v="1"/>
    <n v="3"/>
    <n v="50"/>
    <n v="13.5"/>
    <n v="150"/>
    <n v="136.5"/>
    <n v="0.91"/>
    <x v="1"/>
  </r>
  <r>
    <n v="1031"/>
    <x v="395"/>
    <d v="1899-12-30T21:15:00"/>
    <x v="55"/>
    <x v="0"/>
    <n v="44"/>
    <x v="2"/>
    <n v="4"/>
    <n v="300"/>
    <n v="126"/>
    <n v="1200"/>
    <n v="1074"/>
    <n v="0.89500000000000002"/>
    <x v="0"/>
  </r>
  <r>
    <n v="1037"/>
    <x v="487"/>
    <d v="1899-12-30T17:38:00"/>
    <x v="98"/>
    <x v="1"/>
    <n v="18"/>
    <x v="1"/>
    <n v="3"/>
    <n v="25"/>
    <n v="11.5"/>
    <n v="75"/>
    <n v="63.5"/>
    <n v="0.84666666666666668"/>
    <x v="3"/>
  </r>
  <r>
    <n v="1072"/>
    <x v="432"/>
    <d v="1899-12-30T18:10:00"/>
    <x v="133"/>
    <x v="1"/>
    <n v="20"/>
    <x v="2"/>
    <n v="4"/>
    <n v="500"/>
    <n v="180"/>
    <n v="2000"/>
    <n v="1820"/>
    <n v="0.91"/>
    <x v="3"/>
  </r>
  <r>
    <n v="1243"/>
    <x v="442"/>
    <d v="1899-12-30T17:11:00"/>
    <x v="133"/>
    <x v="1"/>
    <n v="47"/>
    <x v="2"/>
    <n v="3"/>
    <n v="300"/>
    <n v="138"/>
    <n v="900"/>
    <n v="762"/>
    <n v="0.84666666666666668"/>
    <x v="1"/>
  </r>
  <r>
    <n v="1281"/>
    <x v="488"/>
    <d v="1899-12-30T19:34:00"/>
    <x v="133"/>
    <x v="1"/>
    <n v="29"/>
    <x v="1"/>
    <n v="4"/>
    <n v="500"/>
    <n v="165"/>
    <n v="2000"/>
    <n v="1835"/>
    <n v="0.91749999999999998"/>
    <x v="4"/>
  </r>
  <r>
    <n v="1489"/>
    <x v="250"/>
    <d v="1899-12-30T18:30:00"/>
    <x v="98"/>
    <x v="0"/>
    <n v="44"/>
    <x v="2"/>
    <n v="1"/>
    <n v="30"/>
    <n v="10.5"/>
    <n v="30"/>
    <n v="19.5"/>
    <n v="0.65"/>
    <x v="0"/>
  </r>
  <r>
    <n v="1491"/>
    <x v="397"/>
    <d v="1899-12-30T22:14:00"/>
    <x v="122"/>
    <x v="1"/>
    <n v="60"/>
    <x v="2"/>
    <n v="3"/>
    <n v="300"/>
    <n v="129"/>
    <n v="900"/>
    <n v="771"/>
    <n v="0.85666666666666669"/>
    <x v="2"/>
  </r>
  <r>
    <n v="1729"/>
    <x v="315"/>
    <d v="1899-12-30T18:55:00"/>
    <x v="18"/>
    <x v="0"/>
    <n v="29"/>
    <x v="0"/>
    <n v="4"/>
    <n v="300"/>
    <n v="81"/>
    <n v="1200"/>
    <n v="1119"/>
    <n v="0.9325"/>
    <x v="4"/>
  </r>
  <r>
    <n v="1822"/>
    <x v="290"/>
    <d v="1899-12-30T17:15:00"/>
    <x v="34"/>
    <x v="1"/>
    <n v="52"/>
    <x v="1"/>
    <n v="3"/>
    <n v="50"/>
    <n v="21"/>
    <n v="150"/>
    <n v="129"/>
    <n v="0.86"/>
    <x v="1"/>
  </r>
  <r>
    <n v="840"/>
    <x v="271"/>
    <d v="1899-12-30T18:59:00"/>
    <x v="111"/>
    <x v="0"/>
    <n v="62"/>
    <x v="0"/>
    <n v="2"/>
    <n v="25"/>
    <n v="11.75"/>
    <n v="50"/>
    <n v="38.25"/>
    <n v="0.76500000000000001"/>
    <x v="2"/>
  </r>
  <r>
    <n v="1840"/>
    <x v="390"/>
    <d v="1899-12-30T20:22:00"/>
    <x v="77"/>
    <x v="0"/>
    <n v="62"/>
    <x v="0"/>
    <n v="2"/>
    <n v="25"/>
    <n v="11"/>
    <n v="50"/>
    <n v="39"/>
    <n v="0.78"/>
    <x v="2"/>
  </r>
  <r>
    <n v="404"/>
    <x v="314"/>
    <d v="1899-12-30T19:55:00"/>
    <x v="12"/>
    <x v="0"/>
    <n v="46"/>
    <x v="2"/>
    <n v="2"/>
    <n v="500"/>
    <n v="160"/>
    <n v="1000"/>
    <n v="840"/>
    <n v="0.84"/>
    <x v="1"/>
  </r>
  <r>
    <n v="899"/>
    <x v="471"/>
    <d v="1899-12-30T21:34:00"/>
    <x v="33"/>
    <x v="0"/>
    <n v="26"/>
    <x v="0"/>
    <n v="2"/>
    <n v="300"/>
    <n v="153"/>
    <n v="600"/>
    <n v="447"/>
    <n v="0.745"/>
    <x v="4"/>
  </r>
  <r>
    <n v="990"/>
    <x v="489"/>
    <d v="1899-12-30T21:45:00"/>
    <x v="22"/>
    <x v="1"/>
    <n v="58"/>
    <x v="1"/>
    <n v="2"/>
    <n v="500"/>
    <n v="235"/>
    <n v="1000"/>
    <n v="765"/>
    <n v="0.76500000000000001"/>
    <x v="2"/>
  </r>
  <r>
    <n v="1404"/>
    <x v="332"/>
    <d v="1899-12-30T18:15:00"/>
    <x v="107"/>
    <x v="0"/>
    <n v="46"/>
    <x v="2"/>
    <n v="2"/>
    <n v="500"/>
    <n v="185"/>
    <n v="1000"/>
    <n v="815"/>
    <n v="0.81499999999999995"/>
    <x v="1"/>
  </r>
  <r>
    <n v="1899"/>
    <x v="490"/>
    <d v="1899-12-30T21:03:00"/>
    <x v="71"/>
    <x v="0"/>
    <n v="26"/>
    <x v="0"/>
    <n v="2"/>
    <n v="300"/>
    <n v="99"/>
    <n v="600"/>
    <n v="501"/>
    <n v="0.83499999999999996"/>
    <x v="4"/>
  </r>
  <r>
    <n v="1990"/>
    <x v="315"/>
    <d v="1899-12-30T17:02:00"/>
    <x v="4"/>
    <x v="1"/>
    <n v="58"/>
    <x v="1"/>
    <n v="2"/>
    <n v="500"/>
    <n v="155"/>
    <n v="1000"/>
    <n v="845"/>
    <n v="0.84499999999999997"/>
    <x v="2"/>
  </r>
  <r>
    <n v="382"/>
    <x v="294"/>
    <d v="1899-12-30T21:20:00"/>
    <x v="65"/>
    <x v="1"/>
    <n v="53"/>
    <x v="0"/>
    <n v="2"/>
    <n v="500"/>
    <n v="245"/>
    <n v="1000"/>
    <n v="755"/>
    <n v="0.755"/>
    <x v="1"/>
  </r>
  <r>
    <n v="578"/>
    <x v="491"/>
    <d v="1899-12-30T22:42:00"/>
    <x v="22"/>
    <x v="1"/>
    <n v="54"/>
    <x v="0"/>
    <n v="4"/>
    <n v="30"/>
    <n v="9.3000000000000007"/>
    <n v="120"/>
    <n v="110.7"/>
    <n v="0.92249999999999999"/>
    <x v="1"/>
  </r>
  <r>
    <n v="923"/>
    <x v="302"/>
    <d v="1899-12-30T17:20:00"/>
    <x v="48"/>
    <x v="0"/>
    <n v="32"/>
    <x v="1"/>
    <n v="3"/>
    <n v="300"/>
    <n v="165"/>
    <n v="900"/>
    <n v="735"/>
    <n v="0.81666666666666665"/>
    <x v="4"/>
  </r>
  <r>
    <n v="1382"/>
    <x v="492"/>
    <d v="1899-12-30T18:13:00"/>
    <x v="78"/>
    <x v="1"/>
    <n v="53"/>
    <x v="0"/>
    <n v="2"/>
    <n v="500"/>
    <n v="185"/>
    <n v="1000"/>
    <n v="815"/>
    <n v="0.81499999999999995"/>
    <x v="1"/>
  </r>
  <r>
    <n v="1578"/>
    <x v="493"/>
    <d v="1899-12-30T18:43:00"/>
    <x v="8"/>
    <x v="1"/>
    <n v="54"/>
    <x v="0"/>
    <n v="4"/>
    <n v="30"/>
    <n v="12"/>
    <n v="120"/>
    <n v="108"/>
    <n v="0.9"/>
    <x v="1"/>
  </r>
  <r>
    <n v="1923"/>
    <x v="58"/>
    <d v="1899-12-30T17:38:00"/>
    <x v="119"/>
    <x v="0"/>
    <n v="32"/>
    <x v="1"/>
    <n v="3"/>
    <n v="300"/>
    <n v="159"/>
    <n v="900"/>
    <n v="741"/>
    <n v="0.82333333333333336"/>
    <x v="4"/>
  </r>
  <r>
    <n v="307"/>
    <x v="494"/>
    <d v="1899-12-30T22:54:00"/>
    <x v="120"/>
    <x v="1"/>
    <n v="26"/>
    <x v="2"/>
    <n v="2"/>
    <n v="25"/>
    <n v="8.5"/>
    <n v="50"/>
    <n v="41.5"/>
    <n v="0.83"/>
    <x v="4"/>
  </r>
  <r>
    <n v="561"/>
    <x v="195"/>
    <d v="1899-12-30T17:04:00"/>
    <x v="144"/>
    <x v="1"/>
    <n v="64"/>
    <x v="0"/>
    <n v="4"/>
    <n v="500"/>
    <n v="250"/>
    <n v="2000"/>
    <n v="1750"/>
    <n v="0.875"/>
    <x v="2"/>
  </r>
  <r>
    <n v="651"/>
    <x v="348"/>
    <d v="1899-12-30T21:02:00"/>
    <x v="126"/>
    <x v="0"/>
    <n v="51"/>
    <x v="0"/>
    <n v="3"/>
    <n v="50"/>
    <n v="26"/>
    <n v="150"/>
    <n v="124"/>
    <n v="0.82666666666666666"/>
    <x v="1"/>
  </r>
  <r>
    <n v="1307"/>
    <x v="19"/>
    <d v="1899-12-30T22:11:00"/>
    <x v="22"/>
    <x v="1"/>
    <n v="26"/>
    <x v="2"/>
    <n v="2"/>
    <n v="25"/>
    <n v="11.75"/>
    <n v="50"/>
    <n v="38.25"/>
    <n v="0.76500000000000001"/>
    <x v="4"/>
  </r>
  <r>
    <n v="1561"/>
    <x v="359"/>
    <d v="1899-12-30T19:38:00"/>
    <x v="24"/>
    <x v="1"/>
    <n v="64"/>
    <x v="0"/>
    <n v="4"/>
    <n v="500"/>
    <n v="170"/>
    <n v="2000"/>
    <n v="1830"/>
    <n v="0.91500000000000004"/>
    <x v="2"/>
  </r>
  <r>
    <n v="1651"/>
    <x v="495"/>
    <d v="1899-12-30T21:29:00"/>
    <x v="107"/>
    <x v="0"/>
    <n v="51"/>
    <x v="0"/>
    <n v="3"/>
    <n v="50"/>
    <n v="23.5"/>
    <n v="150"/>
    <n v="126.5"/>
    <n v="0.84333333333333338"/>
    <x v="1"/>
  </r>
  <r>
    <n v="988"/>
    <x v="91"/>
    <d v="1899-12-30T18:41:00"/>
    <x v="3"/>
    <x v="1"/>
    <n v="63"/>
    <x v="0"/>
    <n v="3"/>
    <n v="25"/>
    <n v="8"/>
    <n v="75"/>
    <n v="67"/>
    <n v="0.89333333333333331"/>
    <x v="2"/>
  </r>
  <r>
    <n v="1988"/>
    <x v="226"/>
    <d v="1899-12-30T18:47:00"/>
    <x v="6"/>
    <x v="1"/>
    <n v="63"/>
    <x v="0"/>
    <n v="3"/>
    <n v="25"/>
    <n v="7.25"/>
    <n v="75"/>
    <n v="67.75"/>
    <n v="0.90333333333333332"/>
    <x v="2"/>
  </r>
  <r>
    <n v="67"/>
    <x v="278"/>
    <d v="1899-12-30T20:19:00"/>
    <x v="96"/>
    <x v="1"/>
    <n v="48"/>
    <x v="1"/>
    <n v="4"/>
    <n v="300"/>
    <n v="129"/>
    <n v="1200"/>
    <n v="1071"/>
    <n v="0.89249999999999996"/>
    <x v="1"/>
  </r>
  <r>
    <n v="1067"/>
    <x v="375"/>
    <d v="1899-12-30T17:01:00"/>
    <x v="101"/>
    <x v="1"/>
    <n v="48"/>
    <x v="1"/>
    <n v="4"/>
    <n v="300"/>
    <n v="129"/>
    <n v="1200"/>
    <n v="1071"/>
    <n v="0.89249999999999996"/>
    <x v="1"/>
  </r>
  <r>
    <n v="915"/>
    <x v="496"/>
    <d v="1899-12-30T19:06:00"/>
    <x v="109"/>
    <x v="1"/>
    <n v="26"/>
    <x v="1"/>
    <n v="3"/>
    <n v="30"/>
    <n v="12.9"/>
    <n v="90"/>
    <n v="77.099999999999994"/>
    <n v="0.85666666666666658"/>
    <x v="4"/>
  </r>
  <r>
    <n v="985"/>
    <x v="424"/>
    <d v="1899-12-30T22:33:00"/>
    <x v="130"/>
    <x v="1"/>
    <n v="19"/>
    <x v="2"/>
    <n v="2"/>
    <n v="25"/>
    <n v="9"/>
    <n v="50"/>
    <n v="41"/>
    <n v="0.82"/>
    <x v="3"/>
  </r>
  <r>
    <n v="1915"/>
    <x v="497"/>
    <d v="1899-12-30T22:50:00"/>
    <x v="132"/>
    <x v="1"/>
    <n v="26"/>
    <x v="1"/>
    <n v="3"/>
    <n v="30"/>
    <n v="9.3000000000000007"/>
    <n v="90"/>
    <n v="80.7"/>
    <n v="0.89666666666666672"/>
    <x v="4"/>
  </r>
  <r>
    <n v="1985"/>
    <x v="354"/>
    <d v="1899-12-30T20:15:00"/>
    <x v="130"/>
    <x v="1"/>
    <n v="19"/>
    <x v="2"/>
    <n v="2"/>
    <n v="25"/>
    <n v="9.75"/>
    <n v="50"/>
    <n v="40.25"/>
    <n v="0.80500000000000005"/>
    <x v="3"/>
  </r>
  <r>
    <n v="56"/>
    <x v="168"/>
    <d v="1899-12-30T19:37:00"/>
    <x v="85"/>
    <x v="1"/>
    <n v="26"/>
    <x v="0"/>
    <n v="3"/>
    <n v="300"/>
    <n v="120"/>
    <n v="900"/>
    <n v="780"/>
    <n v="0.8666666666666667"/>
    <x v="4"/>
  </r>
  <r>
    <n v="159"/>
    <x v="179"/>
    <d v="1899-12-30T21:30:00"/>
    <x v="97"/>
    <x v="0"/>
    <n v="26"/>
    <x v="0"/>
    <n v="4"/>
    <n v="50"/>
    <n v="23.5"/>
    <n v="200"/>
    <n v="176.5"/>
    <n v="0.88249999999999995"/>
    <x v="4"/>
  </r>
  <r>
    <n v="862"/>
    <x v="136"/>
    <d v="1899-12-30T21:37:00"/>
    <x v="65"/>
    <x v="0"/>
    <n v="28"/>
    <x v="2"/>
    <n v="4"/>
    <n v="300"/>
    <n v="78"/>
    <n v="1200"/>
    <n v="1122"/>
    <n v="0.93500000000000005"/>
    <x v="4"/>
  </r>
  <r>
    <n v="1056"/>
    <x v="498"/>
    <d v="1899-12-30T19:46:00"/>
    <x v="7"/>
    <x v="1"/>
    <n v="26"/>
    <x v="0"/>
    <n v="3"/>
    <n v="300"/>
    <n v="114"/>
    <n v="900"/>
    <n v="786"/>
    <n v="0.87333333333333329"/>
    <x v="4"/>
  </r>
  <r>
    <n v="1159"/>
    <x v="499"/>
    <d v="1899-12-30T18:08:00"/>
    <x v="51"/>
    <x v="0"/>
    <n v="26"/>
    <x v="0"/>
    <n v="4"/>
    <n v="50"/>
    <n v="18"/>
    <n v="200"/>
    <n v="182"/>
    <n v="0.91"/>
    <x v="4"/>
  </r>
  <r>
    <n v="1862"/>
    <x v="500"/>
    <d v="1899-12-30T22:50:00"/>
    <x v="141"/>
    <x v="0"/>
    <n v="28"/>
    <x v="2"/>
    <n v="4"/>
    <n v="300"/>
    <n v="165"/>
    <n v="1200"/>
    <n v="1035"/>
    <n v="0.86250000000000004"/>
    <x v="4"/>
  </r>
  <r>
    <n v="315"/>
    <x v="444"/>
    <d v="1899-12-30T18:53:00"/>
    <x v="80"/>
    <x v="0"/>
    <n v="47"/>
    <x v="0"/>
    <n v="2"/>
    <n v="30"/>
    <n v="15"/>
    <n v="60"/>
    <n v="45"/>
    <n v="0.75"/>
    <x v="1"/>
  </r>
  <r>
    <n v="545"/>
    <x v="449"/>
    <d v="1899-12-30T17:18:00"/>
    <x v="63"/>
    <x v="0"/>
    <n v="27"/>
    <x v="0"/>
    <n v="2"/>
    <n v="25"/>
    <n v="8.25"/>
    <n v="50"/>
    <n v="41.75"/>
    <n v="0.83499999999999996"/>
    <x v="4"/>
  </r>
  <r>
    <n v="902"/>
    <x v="69"/>
    <d v="1899-12-30T17:16:00"/>
    <x v="145"/>
    <x v="1"/>
    <n v="54"/>
    <x v="1"/>
    <n v="1"/>
    <n v="50"/>
    <n v="21.5"/>
    <n v="50"/>
    <n v="28.5"/>
    <n v="0.56999999999999995"/>
    <x v="1"/>
  </r>
  <r>
    <n v="1315"/>
    <x v="72"/>
    <d v="1899-12-30T20:52:00"/>
    <x v="134"/>
    <x v="0"/>
    <n v="47"/>
    <x v="0"/>
    <n v="2"/>
    <n v="30"/>
    <n v="12.9"/>
    <n v="60"/>
    <n v="47.1"/>
    <n v="0.78500000000000003"/>
    <x v="1"/>
  </r>
  <r>
    <n v="1545"/>
    <x v="295"/>
    <d v="1899-12-30T18:21:00"/>
    <x v="24"/>
    <x v="0"/>
    <n v="27"/>
    <x v="0"/>
    <n v="2"/>
    <n v="25"/>
    <n v="8.25"/>
    <n v="50"/>
    <n v="41.75"/>
    <n v="0.83499999999999996"/>
    <x v="4"/>
  </r>
  <r>
    <n v="1902"/>
    <x v="161"/>
    <d v="1899-12-30T17:12:00"/>
    <x v="85"/>
    <x v="1"/>
    <n v="54"/>
    <x v="1"/>
    <n v="1"/>
    <n v="50"/>
    <n v="14"/>
    <n v="50"/>
    <n v="36"/>
    <n v="0.72"/>
    <x v="1"/>
  </r>
  <r>
    <n v="170"/>
    <x v="483"/>
    <d v="1899-12-30T20:46:00"/>
    <x v="99"/>
    <x v="1"/>
    <n v="25"/>
    <x v="0"/>
    <n v="2"/>
    <n v="25"/>
    <n v="12.5"/>
    <n v="50"/>
    <n v="37.5"/>
    <n v="0.75"/>
    <x v="3"/>
  </r>
  <r>
    <n v="685"/>
    <x v="501"/>
    <d v="1899-12-30T22:15:00"/>
    <x v="52"/>
    <x v="0"/>
    <n v="57"/>
    <x v="2"/>
    <n v="2"/>
    <n v="25"/>
    <n v="7.75"/>
    <n v="50"/>
    <n v="42.25"/>
    <n v="0.84499999999999997"/>
    <x v="2"/>
  </r>
  <r>
    <n v="958"/>
    <x v="115"/>
    <d v="1899-12-30T21:14:00"/>
    <x v="31"/>
    <x v="0"/>
    <n v="62"/>
    <x v="2"/>
    <n v="2"/>
    <n v="25"/>
    <n v="11"/>
    <n v="50"/>
    <n v="39"/>
    <n v="0.78"/>
    <x v="2"/>
  </r>
  <r>
    <n v="1170"/>
    <x v="252"/>
    <d v="1899-12-30T17:13:00"/>
    <x v="131"/>
    <x v="1"/>
    <n v="25"/>
    <x v="0"/>
    <n v="2"/>
    <n v="25"/>
    <n v="8"/>
    <n v="50"/>
    <n v="42"/>
    <n v="0.84"/>
    <x v="3"/>
  </r>
  <r>
    <n v="1685"/>
    <x v="113"/>
    <d v="1899-12-30T20:32:00"/>
    <x v="104"/>
    <x v="0"/>
    <n v="57"/>
    <x v="2"/>
    <n v="2"/>
    <n v="25"/>
    <n v="8.75"/>
    <n v="50"/>
    <n v="41.25"/>
    <n v="0.82499999999999996"/>
    <x v="2"/>
  </r>
  <r>
    <n v="1958"/>
    <x v="502"/>
    <d v="1899-12-30T19:19:00"/>
    <x v="99"/>
    <x v="0"/>
    <n v="62"/>
    <x v="2"/>
    <n v="2"/>
    <n v="25"/>
    <n v="11.75"/>
    <n v="50"/>
    <n v="38.25"/>
    <n v="0.76500000000000001"/>
    <x v="2"/>
  </r>
  <r>
    <n v="363"/>
    <x v="139"/>
    <d v="1899-12-30T22:51:00"/>
    <x v="146"/>
    <x v="0"/>
    <n v="64"/>
    <x v="1"/>
    <n v="1"/>
    <n v="25"/>
    <n v="13.5"/>
    <n v="25"/>
    <n v="11.5"/>
    <n v="0.46"/>
    <x v="2"/>
  </r>
  <r>
    <n v="394"/>
    <x v="503"/>
    <d v="1899-12-30T19:27:00"/>
    <x v="101"/>
    <x v="1"/>
    <n v="27"/>
    <x v="0"/>
    <n v="1"/>
    <n v="500"/>
    <n v="165"/>
    <n v="500"/>
    <n v="335"/>
    <n v="0.67"/>
    <x v="4"/>
  </r>
  <r>
    <n v="537"/>
    <x v="319"/>
    <d v="1899-12-30T18:07:00"/>
    <x v="20"/>
    <x v="1"/>
    <n v="21"/>
    <x v="1"/>
    <n v="1"/>
    <n v="500"/>
    <n v="275"/>
    <n v="500"/>
    <n v="225"/>
    <n v="0.45"/>
    <x v="3"/>
  </r>
  <r>
    <n v="1363"/>
    <x v="501"/>
    <d v="1899-12-30T20:27:00"/>
    <x v="60"/>
    <x v="0"/>
    <n v="64"/>
    <x v="1"/>
    <n v="1"/>
    <n v="25"/>
    <n v="7.75"/>
    <n v="25"/>
    <n v="17.25"/>
    <n v="0.69"/>
    <x v="2"/>
  </r>
  <r>
    <n v="1394"/>
    <x v="498"/>
    <d v="1899-12-30T20:06:00"/>
    <x v="134"/>
    <x v="1"/>
    <n v="27"/>
    <x v="0"/>
    <n v="1"/>
    <n v="500"/>
    <n v="250"/>
    <n v="500"/>
    <n v="250"/>
    <n v="0.5"/>
    <x v="4"/>
  </r>
  <r>
    <n v="1537"/>
    <x v="504"/>
    <d v="1899-12-30T17:57:00"/>
    <x v="31"/>
    <x v="1"/>
    <n v="21"/>
    <x v="1"/>
    <n v="1"/>
    <n v="500"/>
    <n v="140"/>
    <n v="500"/>
    <n v="360"/>
    <n v="0.72"/>
    <x v="3"/>
  </r>
  <r>
    <n v="387"/>
    <x v="505"/>
    <d v="1899-12-30T21:58:00"/>
    <x v="88"/>
    <x v="0"/>
    <n v="44"/>
    <x v="1"/>
    <n v="1"/>
    <n v="30"/>
    <n v="9"/>
    <n v="30"/>
    <n v="21"/>
    <n v="0.7"/>
    <x v="0"/>
  </r>
  <r>
    <n v="556"/>
    <x v="506"/>
    <d v="1899-12-30T17:37:00"/>
    <x v="97"/>
    <x v="1"/>
    <n v="18"/>
    <x v="2"/>
    <n v="1"/>
    <n v="50"/>
    <n v="12.5"/>
    <n v="50"/>
    <n v="37.5"/>
    <n v="0.75"/>
    <x v="3"/>
  </r>
  <r>
    <n v="782"/>
    <x v="26"/>
    <d v="1899-12-30T21:51:00"/>
    <x v="41"/>
    <x v="0"/>
    <n v="59"/>
    <x v="0"/>
    <n v="3"/>
    <n v="300"/>
    <n v="150"/>
    <n v="900"/>
    <n v="750"/>
    <n v="0.83333333333333337"/>
    <x v="2"/>
  </r>
  <r>
    <n v="906"/>
    <x v="507"/>
    <d v="1899-12-30T17:55:00"/>
    <x v="9"/>
    <x v="1"/>
    <n v="20"/>
    <x v="0"/>
    <n v="1"/>
    <n v="50"/>
    <n v="17"/>
    <n v="50"/>
    <n v="33"/>
    <n v="0.66"/>
    <x v="3"/>
  </r>
  <r>
    <n v="1387"/>
    <x v="146"/>
    <d v="1899-12-30T17:48:00"/>
    <x v="70"/>
    <x v="0"/>
    <n v="44"/>
    <x v="1"/>
    <n v="1"/>
    <n v="30"/>
    <n v="15.6"/>
    <n v="30"/>
    <n v="14.4"/>
    <n v="0.48000000000000004"/>
    <x v="0"/>
  </r>
  <r>
    <n v="1556"/>
    <x v="352"/>
    <d v="1899-12-30T19:13:00"/>
    <x v="137"/>
    <x v="1"/>
    <n v="18"/>
    <x v="2"/>
    <n v="1"/>
    <n v="50"/>
    <n v="22.5"/>
    <n v="50"/>
    <n v="27.5"/>
    <n v="0.55000000000000004"/>
    <x v="3"/>
  </r>
  <r>
    <n v="1782"/>
    <x v="462"/>
    <d v="1899-12-30T20:23:00"/>
    <x v="31"/>
    <x v="0"/>
    <n v="59"/>
    <x v="0"/>
    <n v="3"/>
    <n v="300"/>
    <n v="141"/>
    <n v="900"/>
    <n v="759"/>
    <n v="0.84333333333333338"/>
    <x v="2"/>
  </r>
  <r>
    <n v="1906"/>
    <x v="165"/>
    <d v="1899-12-30T20:10:00"/>
    <x v="11"/>
    <x v="1"/>
    <n v="20"/>
    <x v="0"/>
    <n v="1"/>
    <n v="50"/>
    <n v="26.5"/>
    <n v="50"/>
    <n v="23.5"/>
    <n v="0.47"/>
    <x v="3"/>
  </r>
  <r>
    <n v="560"/>
    <x v="508"/>
    <d v="1899-12-30T22:51:00"/>
    <x v="79"/>
    <x v="1"/>
    <n v="25"/>
    <x v="2"/>
    <n v="1"/>
    <n v="50"/>
    <n v="19"/>
    <n v="50"/>
    <n v="31"/>
    <n v="0.62"/>
    <x v="3"/>
  </r>
  <r>
    <n v="944"/>
    <x v="509"/>
    <d v="1899-12-30T20:22:00"/>
    <x v="87"/>
    <x v="0"/>
    <n v="44"/>
    <x v="0"/>
    <n v="2"/>
    <n v="25"/>
    <n v="12"/>
    <n v="50"/>
    <n v="38"/>
    <n v="0.76"/>
    <x v="0"/>
  </r>
  <r>
    <n v="1560"/>
    <x v="50"/>
    <d v="1899-12-30T17:16:00"/>
    <x v="147"/>
    <x v="1"/>
    <n v="25"/>
    <x v="2"/>
    <n v="1"/>
    <n v="50"/>
    <n v="18.5"/>
    <n v="50"/>
    <n v="31.5"/>
    <n v="0.63"/>
    <x v="3"/>
  </r>
  <r>
    <n v="1944"/>
    <x v="292"/>
    <d v="1899-12-30T21:08:00"/>
    <x v="112"/>
    <x v="0"/>
    <n v="44"/>
    <x v="0"/>
    <n v="2"/>
    <n v="25"/>
    <n v="6.5"/>
    <n v="50"/>
    <n v="43.5"/>
    <n v="0.87"/>
    <x v="0"/>
  </r>
  <r>
    <n v="481"/>
    <x v="510"/>
    <d v="1899-12-30T17:12:00"/>
    <x v="4"/>
    <x v="1"/>
    <n v="43"/>
    <x v="2"/>
    <n v="4"/>
    <n v="300"/>
    <n v="114"/>
    <n v="1200"/>
    <n v="1086"/>
    <n v="0.90500000000000003"/>
    <x v="0"/>
  </r>
  <r>
    <n v="867"/>
    <x v="511"/>
    <d v="1899-12-30T22:40:00"/>
    <x v="53"/>
    <x v="0"/>
    <n v="21"/>
    <x v="2"/>
    <n v="1"/>
    <n v="500"/>
    <n v="185"/>
    <n v="500"/>
    <n v="315"/>
    <n v="0.63"/>
    <x v="3"/>
  </r>
  <r>
    <n v="882"/>
    <x v="246"/>
    <d v="1899-12-30T21:41:00"/>
    <x v="6"/>
    <x v="1"/>
    <n v="64"/>
    <x v="2"/>
    <n v="2"/>
    <n v="25"/>
    <n v="13.25"/>
    <n v="50"/>
    <n v="36.75"/>
    <n v="0.73499999999999999"/>
    <x v="2"/>
  </r>
  <r>
    <n v="961"/>
    <x v="465"/>
    <d v="1899-12-30T22:36:00"/>
    <x v="67"/>
    <x v="0"/>
    <n v="53"/>
    <x v="1"/>
    <n v="4"/>
    <n v="50"/>
    <n v="23"/>
    <n v="200"/>
    <n v="177"/>
    <n v="0.88500000000000001"/>
    <x v="1"/>
  </r>
  <r>
    <n v="1481"/>
    <x v="364"/>
    <d v="1899-12-30T17:22:00"/>
    <x v="61"/>
    <x v="1"/>
    <n v="43"/>
    <x v="2"/>
    <n v="4"/>
    <n v="300"/>
    <n v="114"/>
    <n v="1200"/>
    <n v="1086"/>
    <n v="0.90500000000000003"/>
    <x v="0"/>
  </r>
  <r>
    <n v="1867"/>
    <x v="512"/>
    <d v="1899-12-30T19:55:00"/>
    <x v="6"/>
    <x v="0"/>
    <n v="21"/>
    <x v="2"/>
    <n v="1"/>
    <n v="500"/>
    <n v="190"/>
    <n v="500"/>
    <n v="310"/>
    <n v="0.62"/>
    <x v="3"/>
  </r>
  <r>
    <n v="1882"/>
    <x v="369"/>
    <d v="1899-12-30T20:56:00"/>
    <x v="34"/>
    <x v="1"/>
    <n v="64"/>
    <x v="2"/>
    <n v="2"/>
    <n v="25"/>
    <n v="9"/>
    <n v="50"/>
    <n v="41"/>
    <n v="0.82"/>
    <x v="2"/>
  </r>
  <r>
    <n v="1961"/>
    <x v="157"/>
    <d v="1899-12-30T21:17:00"/>
    <x v="109"/>
    <x v="0"/>
    <n v="53"/>
    <x v="1"/>
    <n v="4"/>
    <n v="50"/>
    <n v="20.5"/>
    <n v="200"/>
    <n v="179.5"/>
    <n v="0.89749999999999996"/>
    <x v="1"/>
  </r>
  <r>
    <n v="187"/>
    <x v="120"/>
    <d v="1899-12-30T20:19:00"/>
    <x v="42"/>
    <x v="1"/>
    <n v="64"/>
    <x v="0"/>
    <n v="2"/>
    <n v="50"/>
    <n v="21"/>
    <n v="100"/>
    <n v="79"/>
    <n v="0.79"/>
    <x v="2"/>
  </r>
  <r>
    <n v="446"/>
    <x v="116"/>
    <d v="1899-12-30T19:57:00"/>
    <x v="74"/>
    <x v="0"/>
    <n v="21"/>
    <x v="2"/>
    <n v="1"/>
    <n v="50"/>
    <n v="13"/>
    <n v="50"/>
    <n v="37"/>
    <n v="0.74"/>
    <x v="3"/>
  </r>
  <r>
    <n v="1187"/>
    <x v="335"/>
    <d v="1899-12-30T17:05:00"/>
    <x v="1"/>
    <x v="1"/>
    <n v="64"/>
    <x v="0"/>
    <n v="2"/>
    <n v="50"/>
    <n v="12.5"/>
    <n v="100"/>
    <n v="87.5"/>
    <n v="0.875"/>
    <x v="2"/>
  </r>
  <r>
    <n v="1446"/>
    <x v="513"/>
    <d v="1899-12-30T18:55:00"/>
    <x v="107"/>
    <x v="0"/>
    <n v="21"/>
    <x v="2"/>
    <n v="1"/>
    <n v="50"/>
    <n v="23.5"/>
    <n v="50"/>
    <n v="26.5"/>
    <n v="0.53"/>
    <x v="3"/>
  </r>
  <r>
    <n v="539"/>
    <x v="226"/>
    <d v="1899-12-30T18:13:00"/>
    <x v="45"/>
    <x v="0"/>
    <n v="25"/>
    <x v="1"/>
    <n v="1"/>
    <n v="500"/>
    <n v="205"/>
    <n v="500"/>
    <n v="295"/>
    <n v="0.59"/>
    <x v="3"/>
  </r>
  <r>
    <n v="587"/>
    <x v="457"/>
    <d v="1899-12-30T19:00:00"/>
    <x v="147"/>
    <x v="1"/>
    <n v="40"/>
    <x v="1"/>
    <n v="4"/>
    <n v="300"/>
    <n v="99"/>
    <n v="1200"/>
    <n v="1101"/>
    <n v="0.91749999999999998"/>
    <x v="0"/>
  </r>
  <r>
    <n v="1539"/>
    <x v="514"/>
    <d v="1899-12-30T21:52:00"/>
    <x v="131"/>
    <x v="0"/>
    <n v="25"/>
    <x v="1"/>
    <n v="1"/>
    <n v="500"/>
    <n v="170"/>
    <n v="500"/>
    <n v="330"/>
    <n v="0.66"/>
    <x v="3"/>
  </r>
  <r>
    <n v="1587"/>
    <x v="0"/>
    <d v="1899-12-30T20:06:00"/>
    <x v="142"/>
    <x v="1"/>
    <n v="40"/>
    <x v="1"/>
    <n v="4"/>
    <n v="300"/>
    <n v="105"/>
    <n v="1200"/>
    <n v="1095"/>
    <n v="0.91249999999999998"/>
    <x v="0"/>
  </r>
  <r>
    <n v="212"/>
    <x v="466"/>
    <d v="1899-12-30T18:13:00"/>
    <x v="101"/>
    <x v="0"/>
    <n v="21"/>
    <x v="0"/>
    <n v="3"/>
    <n v="500"/>
    <n v="215"/>
    <n v="1500"/>
    <n v="1285"/>
    <n v="0.85666666666666669"/>
    <x v="3"/>
  </r>
  <r>
    <n v="765"/>
    <x v="515"/>
    <d v="1899-12-30T19:03:00"/>
    <x v="29"/>
    <x v="0"/>
    <n v="43"/>
    <x v="0"/>
    <n v="4"/>
    <n v="50"/>
    <n v="12.5"/>
    <n v="200"/>
    <n v="187.5"/>
    <n v="0.9375"/>
    <x v="0"/>
  </r>
  <r>
    <n v="769"/>
    <x v="219"/>
    <d v="1899-12-30T18:57:00"/>
    <x v="72"/>
    <x v="1"/>
    <n v="31"/>
    <x v="2"/>
    <n v="4"/>
    <n v="30"/>
    <n v="10.199999999999999"/>
    <n v="120"/>
    <n v="109.8"/>
    <n v="0.91499999999999992"/>
    <x v="4"/>
  </r>
  <r>
    <n v="1212"/>
    <x v="88"/>
    <d v="1899-12-30T18:05:00"/>
    <x v="113"/>
    <x v="0"/>
    <n v="21"/>
    <x v="0"/>
    <n v="3"/>
    <n v="500"/>
    <n v="265"/>
    <n v="1500"/>
    <n v="1235"/>
    <n v="0.82333333333333336"/>
    <x v="3"/>
  </r>
  <r>
    <n v="1765"/>
    <x v="516"/>
    <d v="1899-12-30T22:49:00"/>
    <x v="94"/>
    <x v="0"/>
    <n v="43"/>
    <x v="0"/>
    <n v="4"/>
    <n v="50"/>
    <n v="16"/>
    <n v="200"/>
    <n v="184"/>
    <n v="0.92"/>
    <x v="0"/>
  </r>
  <r>
    <n v="1769"/>
    <x v="517"/>
    <d v="1899-12-30T22:50:00"/>
    <x v="31"/>
    <x v="1"/>
    <n v="31"/>
    <x v="2"/>
    <n v="4"/>
    <n v="30"/>
    <n v="9.3000000000000007"/>
    <n v="120"/>
    <n v="110.7"/>
    <n v="0.92249999999999999"/>
    <x v="4"/>
  </r>
  <r>
    <n v="321"/>
    <x v="301"/>
    <d v="1899-12-30T19:53:00"/>
    <x v="126"/>
    <x v="1"/>
    <n v="26"/>
    <x v="2"/>
    <n v="2"/>
    <n v="25"/>
    <n v="9.5"/>
    <n v="50"/>
    <n v="40.5"/>
    <n v="0.81"/>
    <x v="4"/>
  </r>
  <r>
    <n v="356"/>
    <x v="480"/>
    <d v="1899-12-30T18:35:00"/>
    <x v="41"/>
    <x v="0"/>
    <n v="50"/>
    <x v="2"/>
    <n v="3"/>
    <n v="500"/>
    <n v="255"/>
    <n v="1500"/>
    <n v="1245"/>
    <n v="0.83"/>
    <x v="1"/>
  </r>
  <r>
    <n v="510"/>
    <x v="423"/>
    <d v="1899-12-30T17:04:00"/>
    <x v="134"/>
    <x v="1"/>
    <n v="39"/>
    <x v="1"/>
    <n v="4"/>
    <n v="50"/>
    <n v="13"/>
    <n v="200"/>
    <n v="187"/>
    <n v="0.93500000000000005"/>
    <x v="0"/>
  </r>
  <r>
    <n v="534"/>
    <x v="281"/>
    <d v="1899-12-30T22:30:00"/>
    <x v="116"/>
    <x v="0"/>
    <n v="45"/>
    <x v="0"/>
    <n v="2"/>
    <n v="500"/>
    <n v="140"/>
    <n v="1000"/>
    <n v="860"/>
    <n v="0.86"/>
    <x v="0"/>
  </r>
  <r>
    <n v="1321"/>
    <x v="451"/>
    <d v="1899-12-30T22:54:00"/>
    <x v="107"/>
    <x v="1"/>
    <n v="26"/>
    <x v="2"/>
    <n v="2"/>
    <n v="25"/>
    <n v="10.5"/>
    <n v="50"/>
    <n v="39.5"/>
    <n v="0.79"/>
    <x v="4"/>
  </r>
  <r>
    <n v="1356"/>
    <x v="518"/>
    <d v="1899-12-30T21:31:00"/>
    <x v="125"/>
    <x v="0"/>
    <n v="50"/>
    <x v="2"/>
    <n v="3"/>
    <n v="500"/>
    <n v="245"/>
    <n v="1500"/>
    <n v="1255"/>
    <n v="0.83666666666666667"/>
    <x v="1"/>
  </r>
  <r>
    <n v="1510"/>
    <x v="519"/>
    <d v="1899-12-30T18:21:00"/>
    <x v="127"/>
    <x v="1"/>
    <n v="39"/>
    <x v="1"/>
    <n v="4"/>
    <n v="50"/>
    <n v="19"/>
    <n v="200"/>
    <n v="181"/>
    <n v="0.90500000000000003"/>
    <x v="0"/>
  </r>
  <r>
    <n v="1534"/>
    <x v="45"/>
    <d v="1899-12-30T19:44:00"/>
    <x v="36"/>
    <x v="0"/>
    <n v="45"/>
    <x v="0"/>
    <n v="2"/>
    <n v="500"/>
    <n v="270"/>
    <n v="1000"/>
    <n v="730"/>
    <n v="0.73"/>
    <x v="0"/>
  </r>
  <r>
    <n v="104"/>
    <x v="176"/>
    <d v="1899-12-30T22:58:00"/>
    <x v="64"/>
    <x v="1"/>
    <n v="34"/>
    <x v="1"/>
    <n v="2"/>
    <n v="500"/>
    <n v="190"/>
    <n v="1000"/>
    <n v="810"/>
    <n v="0.81"/>
    <x v="4"/>
  </r>
  <r>
    <n v="110"/>
    <x v="520"/>
    <d v="1899-12-30T17:28:00"/>
    <x v="54"/>
    <x v="0"/>
    <n v="27"/>
    <x v="0"/>
    <n v="3"/>
    <n v="300"/>
    <n v="99"/>
    <n v="900"/>
    <n v="801"/>
    <n v="0.89"/>
    <x v="4"/>
  </r>
  <r>
    <n v="352"/>
    <x v="307"/>
    <d v="1899-12-30T17:55:00"/>
    <x v="7"/>
    <x v="0"/>
    <n v="57"/>
    <x v="2"/>
    <n v="2"/>
    <n v="500"/>
    <n v="175"/>
    <n v="1000"/>
    <n v="825"/>
    <n v="0.82499999999999996"/>
    <x v="2"/>
  </r>
  <r>
    <n v="365"/>
    <x v="362"/>
    <d v="1899-12-30T22:12:00"/>
    <x v="106"/>
    <x v="0"/>
    <n v="31"/>
    <x v="0"/>
    <n v="1"/>
    <n v="300"/>
    <n v="93"/>
    <n v="300"/>
    <n v="207"/>
    <n v="0.69"/>
    <x v="4"/>
  </r>
  <r>
    <n v="887"/>
    <x v="197"/>
    <d v="1899-12-30T19:20:00"/>
    <x v="50"/>
    <x v="0"/>
    <n v="59"/>
    <x v="0"/>
    <n v="4"/>
    <n v="25"/>
    <n v="10"/>
    <n v="100"/>
    <n v="90"/>
    <n v="0.9"/>
    <x v="2"/>
  </r>
  <r>
    <n v="1104"/>
    <x v="52"/>
    <d v="1899-12-30T20:13:00"/>
    <x v="118"/>
    <x v="1"/>
    <n v="34"/>
    <x v="1"/>
    <n v="2"/>
    <n v="500"/>
    <n v="150"/>
    <n v="1000"/>
    <n v="850"/>
    <n v="0.85"/>
    <x v="4"/>
  </r>
  <r>
    <n v="1110"/>
    <x v="64"/>
    <d v="1899-12-30T19:14:00"/>
    <x v="48"/>
    <x v="0"/>
    <n v="27"/>
    <x v="0"/>
    <n v="3"/>
    <n v="300"/>
    <n v="114"/>
    <n v="900"/>
    <n v="786"/>
    <n v="0.87333333333333329"/>
    <x v="4"/>
  </r>
  <r>
    <n v="1352"/>
    <x v="425"/>
    <d v="1899-12-30T17:40:00"/>
    <x v="134"/>
    <x v="0"/>
    <n v="57"/>
    <x v="2"/>
    <n v="2"/>
    <n v="500"/>
    <n v="260"/>
    <n v="1000"/>
    <n v="740"/>
    <n v="0.74"/>
    <x v="2"/>
  </r>
  <r>
    <n v="1365"/>
    <x v="407"/>
    <d v="1899-12-30T20:22:00"/>
    <x v="72"/>
    <x v="0"/>
    <n v="31"/>
    <x v="0"/>
    <n v="1"/>
    <n v="300"/>
    <n v="156"/>
    <n v="300"/>
    <n v="144"/>
    <n v="0.48"/>
    <x v="4"/>
  </r>
  <r>
    <n v="1887"/>
    <x v="337"/>
    <d v="1899-12-30T19:34:00"/>
    <x v="130"/>
    <x v="0"/>
    <n v="59"/>
    <x v="0"/>
    <n v="4"/>
    <n v="25"/>
    <n v="10"/>
    <n v="100"/>
    <n v="90"/>
    <n v="0.9"/>
    <x v="2"/>
  </r>
  <r>
    <n v="629"/>
    <x v="521"/>
    <d v="1899-12-30T19:55:00"/>
    <x v="49"/>
    <x v="0"/>
    <n v="62"/>
    <x v="2"/>
    <n v="2"/>
    <n v="25"/>
    <n v="8"/>
    <n v="50"/>
    <n v="42"/>
    <n v="0.84"/>
    <x v="2"/>
  </r>
  <r>
    <n v="1629"/>
    <x v="522"/>
    <d v="1899-12-30T20:18:00"/>
    <x v="6"/>
    <x v="0"/>
    <n v="62"/>
    <x v="2"/>
    <n v="2"/>
    <n v="25"/>
    <n v="10.75"/>
    <n v="50"/>
    <n v="39.25"/>
    <n v="0.78500000000000003"/>
    <x v="2"/>
  </r>
  <r>
    <n v="655"/>
    <x v="6"/>
    <d v="1899-12-30T18:43:00"/>
    <x v="143"/>
    <x v="1"/>
    <n v="55"/>
    <x v="0"/>
    <n v="1"/>
    <n v="500"/>
    <n v="210"/>
    <n v="500"/>
    <n v="290"/>
    <n v="0.57999999999999996"/>
    <x v="1"/>
  </r>
  <r>
    <n v="1655"/>
    <x v="523"/>
    <d v="1899-12-30T17:57:00"/>
    <x v="59"/>
    <x v="1"/>
    <n v="55"/>
    <x v="0"/>
    <n v="1"/>
    <n v="500"/>
    <n v="125"/>
    <n v="500"/>
    <n v="375"/>
    <n v="0.75"/>
    <x v="1"/>
  </r>
  <r>
    <n v="567"/>
    <x v="389"/>
    <d v="1899-12-30T19:53:00"/>
    <x v="2"/>
    <x v="1"/>
    <n v="25"/>
    <x v="0"/>
    <n v="3"/>
    <n v="300"/>
    <n v="144"/>
    <n v="900"/>
    <n v="756"/>
    <n v="0.84"/>
    <x v="3"/>
  </r>
  <r>
    <n v="1567"/>
    <x v="462"/>
    <d v="1899-12-30T17:10:00"/>
    <x v="104"/>
    <x v="1"/>
    <n v="25"/>
    <x v="0"/>
    <n v="3"/>
    <n v="300"/>
    <n v="162"/>
    <n v="900"/>
    <n v="738"/>
    <n v="0.82"/>
    <x v="3"/>
  </r>
  <r>
    <n v="182"/>
    <x v="369"/>
    <d v="1899-12-30T19:27:00"/>
    <x v="84"/>
    <x v="0"/>
    <n v="62"/>
    <x v="1"/>
    <n v="4"/>
    <n v="30"/>
    <n v="10.199999999999999"/>
    <n v="120"/>
    <n v="109.8"/>
    <n v="0.91499999999999992"/>
    <x v="2"/>
  </r>
  <r>
    <n v="819"/>
    <x v="524"/>
    <d v="1899-12-30T21:59:00"/>
    <x v="91"/>
    <x v="1"/>
    <n v="35"/>
    <x v="1"/>
    <n v="2"/>
    <n v="50"/>
    <n v="26"/>
    <n v="100"/>
    <n v="74"/>
    <n v="0.74"/>
    <x v="4"/>
  </r>
  <r>
    <n v="1182"/>
    <x v="525"/>
    <d v="1899-12-30T21:26:00"/>
    <x v="134"/>
    <x v="0"/>
    <n v="62"/>
    <x v="1"/>
    <n v="4"/>
    <n v="30"/>
    <n v="12.9"/>
    <n v="120"/>
    <n v="107.1"/>
    <n v="0.89249999999999996"/>
    <x v="2"/>
  </r>
  <r>
    <n v="1819"/>
    <x v="0"/>
    <d v="1899-12-30T20:44:00"/>
    <x v="148"/>
    <x v="1"/>
    <n v="35"/>
    <x v="1"/>
    <n v="2"/>
    <n v="50"/>
    <n v="13.5"/>
    <n v="100"/>
    <n v="86.5"/>
    <n v="0.86499999999999999"/>
    <x v="4"/>
  </r>
  <r>
    <n v="100"/>
    <x v="33"/>
    <d v="1899-12-30T19:34:00"/>
    <x v="103"/>
    <x v="0"/>
    <n v="41"/>
    <x v="2"/>
    <n v="1"/>
    <n v="30"/>
    <n v="9.3000000000000007"/>
    <n v="30"/>
    <n v="20.7"/>
    <n v="0.69"/>
    <x v="0"/>
  </r>
  <r>
    <n v="833"/>
    <x v="283"/>
    <d v="1899-12-30T18:39:00"/>
    <x v="3"/>
    <x v="0"/>
    <n v="42"/>
    <x v="1"/>
    <n v="4"/>
    <n v="50"/>
    <n v="24.5"/>
    <n v="200"/>
    <n v="175.5"/>
    <n v="0.87749999999999995"/>
    <x v="0"/>
  </r>
  <r>
    <n v="1100"/>
    <x v="248"/>
    <d v="1899-12-30T18:15:00"/>
    <x v="87"/>
    <x v="0"/>
    <n v="41"/>
    <x v="2"/>
    <n v="1"/>
    <n v="30"/>
    <n v="13.2"/>
    <n v="30"/>
    <n v="16.8"/>
    <n v="0.56000000000000005"/>
    <x v="0"/>
  </r>
  <r>
    <n v="1833"/>
    <x v="526"/>
    <d v="1899-12-30T17:20:00"/>
    <x v="93"/>
    <x v="0"/>
    <n v="42"/>
    <x v="1"/>
    <n v="4"/>
    <n v="50"/>
    <n v="18"/>
    <n v="200"/>
    <n v="182"/>
    <n v="0.91"/>
    <x v="0"/>
  </r>
  <r>
    <n v="542"/>
    <x v="437"/>
    <d v="1899-12-30T18:41:00"/>
    <x v="17"/>
    <x v="1"/>
    <n v="20"/>
    <x v="1"/>
    <n v="1"/>
    <n v="50"/>
    <n v="24"/>
    <n v="50"/>
    <n v="26"/>
    <n v="0.52"/>
    <x v="3"/>
  </r>
  <r>
    <n v="723"/>
    <x v="180"/>
    <d v="1899-12-30T21:57:00"/>
    <x v="10"/>
    <x v="1"/>
    <n v="54"/>
    <x v="1"/>
    <n v="4"/>
    <n v="50"/>
    <n v="20.5"/>
    <n v="200"/>
    <n v="179.5"/>
    <n v="0.89749999999999996"/>
    <x v="1"/>
  </r>
  <r>
    <n v="726"/>
    <x v="527"/>
    <d v="1899-12-30T19:37:00"/>
    <x v="36"/>
    <x v="0"/>
    <n v="47"/>
    <x v="0"/>
    <n v="4"/>
    <n v="300"/>
    <n v="126"/>
    <n v="1200"/>
    <n v="1074"/>
    <n v="0.89500000000000002"/>
    <x v="1"/>
  </r>
  <r>
    <n v="1542"/>
    <x v="352"/>
    <d v="1899-12-30T20:30:00"/>
    <x v="33"/>
    <x v="1"/>
    <n v="20"/>
    <x v="1"/>
    <n v="1"/>
    <n v="50"/>
    <n v="14.5"/>
    <n v="50"/>
    <n v="35.5"/>
    <n v="0.71"/>
    <x v="3"/>
  </r>
  <r>
    <n v="1723"/>
    <x v="528"/>
    <d v="1899-12-30T17:43:00"/>
    <x v="89"/>
    <x v="1"/>
    <n v="54"/>
    <x v="1"/>
    <n v="4"/>
    <n v="50"/>
    <n v="18"/>
    <n v="200"/>
    <n v="182"/>
    <n v="0.91"/>
    <x v="1"/>
  </r>
  <r>
    <n v="1726"/>
    <x v="304"/>
    <d v="1899-12-30T18:12:00"/>
    <x v="94"/>
    <x v="0"/>
    <n v="47"/>
    <x v="0"/>
    <n v="4"/>
    <n v="300"/>
    <n v="93"/>
    <n v="1200"/>
    <n v="1107"/>
    <n v="0.92249999999999999"/>
    <x v="1"/>
  </r>
  <r>
    <n v="488"/>
    <x v="529"/>
    <d v="1899-12-30T17:28:00"/>
    <x v="86"/>
    <x v="1"/>
    <n v="51"/>
    <x v="2"/>
    <n v="3"/>
    <n v="300"/>
    <n v="123"/>
    <n v="900"/>
    <n v="777"/>
    <n v="0.86333333333333329"/>
    <x v="1"/>
  </r>
  <r>
    <n v="1488"/>
    <x v="65"/>
    <d v="1899-12-30T19:24:00"/>
    <x v="124"/>
    <x v="1"/>
    <n v="51"/>
    <x v="2"/>
    <n v="3"/>
    <n v="300"/>
    <n v="126"/>
    <n v="900"/>
    <n v="774"/>
    <n v="0.86"/>
    <x v="1"/>
  </r>
  <r>
    <n v="239"/>
    <x v="112"/>
    <d v="1899-12-30T19:34:00"/>
    <x v="15"/>
    <x v="0"/>
    <n v="38"/>
    <x v="2"/>
    <n v="3"/>
    <n v="500"/>
    <n v="165"/>
    <n v="1500"/>
    <n v="1335"/>
    <n v="0.89"/>
    <x v="0"/>
  </r>
  <r>
    <n v="498"/>
    <x v="530"/>
    <d v="1899-12-30T22:20:00"/>
    <x v="51"/>
    <x v="1"/>
    <n v="50"/>
    <x v="0"/>
    <n v="4"/>
    <n v="25"/>
    <n v="8.25"/>
    <n v="100"/>
    <n v="91.75"/>
    <n v="0.91749999999999998"/>
    <x v="1"/>
  </r>
  <r>
    <n v="532"/>
    <x v="96"/>
    <d v="1899-12-30T18:04:00"/>
    <x v="146"/>
    <x v="1"/>
    <n v="64"/>
    <x v="0"/>
    <n v="4"/>
    <n v="30"/>
    <n v="12.9"/>
    <n v="120"/>
    <n v="107.1"/>
    <n v="0.89249999999999996"/>
    <x v="2"/>
  </r>
  <r>
    <n v="669"/>
    <x v="513"/>
    <d v="1899-12-30T20:24:00"/>
    <x v="140"/>
    <x v="0"/>
    <n v="24"/>
    <x v="1"/>
    <n v="4"/>
    <n v="300"/>
    <n v="87"/>
    <n v="1200"/>
    <n v="1113"/>
    <n v="0.92749999999999999"/>
    <x v="3"/>
  </r>
  <r>
    <n v="877"/>
    <x v="165"/>
    <d v="1899-12-30T19:52:00"/>
    <x v="110"/>
    <x v="1"/>
    <n v="58"/>
    <x v="0"/>
    <n v="1"/>
    <n v="25"/>
    <n v="6.75"/>
    <n v="25"/>
    <n v="18.25"/>
    <n v="0.73"/>
    <x v="2"/>
  </r>
  <r>
    <n v="1239"/>
    <x v="531"/>
    <d v="1899-12-30T20:42:00"/>
    <x v="110"/>
    <x v="0"/>
    <n v="38"/>
    <x v="2"/>
    <n v="3"/>
    <n v="500"/>
    <n v="255"/>
    <n v="1500"/>
    <n v="1245"/>
    <n v="0.83"/>
    <x v="0"/>
  </r>
  <r>
    <n v="1498"/>
    <x v="532"/>
    <d v="1899-12-30T17:08:00"/>
    <x v="71"/>
    <x v="1"/>
    <n v="50"/>
    <x v="0"/>
    <n v="4"/>
    <n v="25"/>
    <n v="12.5"/>
    <n v="100"/>
    <n v="87.5"/>
    <n v="0.875"/>
    <x v="1"/>
  </r>
  <r>
    <n v="1532"/>
    <x v="533"/>
    <d v="1899-12-30T22:48:00"/>
    <x v="71"/>
    <x v="1"/>
    <n v="64"/>
    <x v="0"/>
    <n v="4"/>
    <n v="30"/>
    <n v="15.6"/>
    <n v="120"/>
    <n v="104.4"/>
    <n v="0.87"/>
    <x v="2"/>
  </r>
  <r>
    <n v="1669"/>
    <x v="132"/>
    <d v="1899-12-30T22:28:00"/>
    <x v="148"/>
    <x v="0"/>
    <n v="24"/>
    <x v="1"/>
    <n v="4"/>
    <n v="300"/>
    <n v="123"/>
    <n v="1200"/>
    <n v="1077"/>
    <n v="0.89749999999999996"/>
    <x v="3"/>
  </r>
  <r>
    <n v="1877"/>
    <x v="254"/>
    <d v="1899-12-30T20:19:00"/>
    <x v="36"/>
    <x v="1"/>
    <n v="58"/>
    <x v="0"/>
    <n v="1"/>
    <n v="25"/>
    <n v="10.5"/>
    <n v="25"/>
    <n v="14.5"/>
    <n v="0.57999999999999996"/>
    <x v="2"/>
  </r>
  <r>
    <n v="422"/>
    <x v="171"/>
    <d v="1899-12-30T22:34:00"/>
    <x v="26"/>
    <x v="1"/>
    <n v="28"/>
    <x v="0"/>
    <n v="3"/>
    <n v="30"/>
    <n v="13.2"/>
    <n v="90"/>
    <n v="76.8"/>
    <n v="0.85333333333333328"/>
    <x v="4"/>
  </r>
  <r>
    <n v="466"/>
    <x v="481"/>
    <d v="1899-12-30T21:52:00"/>
    <x v="8"/>
    <x v="0"/>
    <n v="63"/>
    <x v="2"/>
    <n v="4"/>
    <n v="25"/>
    <n v="13.75"/>
    <n v="100"/>
    <n v="86.25"/>
    <n v="0.86250000000000004"/>
    <x v="2"/>
  </r>
  <r>
    <n v="1422"/>
    <x v="207"/>
    <d v="1899-12-30T20:41:00"/>
    <x v="137"/>
    <x v="1"/>
    <n v="28"/>
    <x v="0"/>
    <n v="3"/>
    <n v="30"/>
    <n v="13.5"/>
    <n v="90"/>
    <n v="76.5"/>
    <n v="0.85"/>
    <x v="4"/>
  </r>
  <r>
    <n v="1466"/>
    <x v="245"/>
    <d v="1899-12-30T22:27:00"/>
    <x v="141"/>
    <x v="0"/>
    <n v="63"/>
    <x v="2"/>
    <n v="4"/>
    <n v="25"/>
    <n v="10.75"/>
    <n v="100"/>
    <n v="89.25"/>
    <n v="0.89249999999999996"/>
    <x v="2"/>
  </r>
  <r>
    <n v="583"/>
    <x v="205"/>
    <d v="1899-12-30T19:44:00"/>
    <x v="135"/>
    <x v="1"/>
    <n v="24"/>
    <x v="2"/>
    <n v="4"/>
    <n v="25"/>
    <n v="7.75"/>
    <n v="100"/>
    <n v="92.25"/>
    <n v="0.92249999999999999"/>
    <x v="3"/>
  </r>
  <r>
    <n v="654"/>
    <x v="357"/>
    <d v="1899-12-30T17:40:00"/>
    <x v="146"/>
    <x v="0"/>
    <n v="42"/>
    <x v="0"/>
    <n v="3"/>
    <n v="25"/>
    <n v="9.25"/>
    <n v="75"/>
    <n v="65.75"/>
    <n v="0.87666666666666671"/>
    <x v="0"/>
  </r>
  <r>
    <n v="1583"/>
    <x v="395"/>
    <d v="1899-12-30T22:54:00"/>
    <x v="13"/>
    <x v="1"/>
    <n v="24"/>
    <x v="2"/>
    <n v="4"/>
    <n v="25"/>
    <n v="13"/>
    <n v="100"/>
    <n v="87"/>
    <n v="0.87"/>
    <x v="3"/>
  </r>
  <r>
    <n v="1654"/>
    <x v="412"/>
    <d v="1899-12-30T20:47:00"/>
    <x v="91"/>
    <x v="0"/>
    <n v="42"/>
    <x v="0"/>
    <n v="3"/>
    <n v="25"/>
    <n v="6.25"/>
    <n v="75"/>
    <n v="68.75"/>
    <n v="0.91666666666666663"/>
    <x v="0"/>
  </r>
  <r>
    <n v="40"/>
    <x v="184"/>
    <d v="1899-12-30T21:33:00"/>
    <x v="66"/>
    <x v="0"/>
    <n v="45"/>
    <x v="1"/>
    <n v="1"/>
    <n v="50"/>
    <n v="24.5"/>
    <n v="50"/>
    <n v="25.5"/>
    <n v="0.51"/>
    <x v="0"/>
  </r>
  <r>
    <n v="699"/>
    <x v="534"/>
    <d v="1899-12-30T22:21:00"/>
    <x v="64"/>
    <x v="1"/>
    <n v="37"/>
    <x v="0"/>
    <n v="4"/>
    <n v="30"/>
    <n v="16.2"/>
    <n v="120"/>
    <n v="103.8"/>
    <n v="0.86499999999999999"/>
    <x v="0"/>
  </r>
  <r>
    <n v="727"/>
    <x v="223"/>
    <d v="1899-12-30T18:37:00"/>
    <x v="120"/>
    <x v="0"/>
    <n v="55"/>
    <x v="1"/>
    <n v="3"/>
    <n v="300"/>
    <n v="105"/>
    <n v="900"/>
    <n v="795"/>
    <n v="0.8833333333333333"/>
    <x v="1"/>
  </r>
  <r>
    <n v="830"/>
    <x v="51"/>
    <d v="1899-12-30T20:19:00"/>
    <x v="29"/>
    <x v="1"/>
    <n v="64"/>
    <x v="0"/>
    <n v="3"/>
    <n v="50"/>
    <n v="18.5"/>
    <n v="150"/>
    <n v="131.5"/>
    <n v="0.87666666666666671"/>
    <x v="2"/>
  </r>
  <r>
    <n v="1040"/>
    <x v="289"/>
    <d v="1899-12-30T21:24:00"/>
    <x v="116"/>
    <x v="0"/>
    <n v="45"/>
    <x v="1"/>
    <n v="1"/>
    <n v="50"/>
    <n v="21"/>
    <n v="50"/>
    <n v="29"/>
    <n v="0.57999999999999996"/>
    <x v="0"/>
  </r>
  <r>
    <n v="1699"/>
    <x v="328"/>
    <d v="1899-12-30T21:45:00"/>
    <x v="40"/>
    <x v="1"/>
    <n v="37"/>
    <x v="0"/>
    <n v="4"/>
    <n v="30"/>
    <n v="12.9"/>
    <n v="120"/>
    <n v="107.1"/>
    <n v="0.89249999999999996"/>
    <x v="0"/>
  </r>
  <r>
    <n v="1727"/>
    <x v="439"/>
    <d v="1899-12-30T21:06:00"/>
    <x v="36"/>
    <x v="0"/>
    <n v="55"/>
    <x v="1"/>
    <n v="3"/>
    <n v="300"/>
    <n v="75"/>
    <n v="900"/>
    <n v="825"/>
    <n v="0.91666666666666663"/>
    <x v="1"/>
  </r>
  <r>
    <n v="1830"/>
    <x v="411"/>
    <d v="1899-12-30T18:04:00"/>
    <x v="90"/>
    <x v="1"/>
    <n v="64"/>
    <x v="0"/>
    <n v="3"/>
    <n v="50"/>
    <n v="21"/>
    <n v="150"/>
    <n v="129"/>
    <n v="0.86"/>
    <x v="2"/>
  </r>
  <r>
    <n v="224"/>
    <x v="494"/>
    <d v="1899-12-30T21:32:00"/>
    <x v="123"/>
    <x v="1"/>
    <n v="25"/>
    <x v="0"/>
    <n v="1"/>
    <n v="50"/>
    <n v="24"/>
    <n v="50"/>
    <n v="26"/>
    <n v="0.52"/>
    <x v="3"/>
  </r>
  <r>
    <n v="271"/>
    <x v="535"/>
    <d v="1899-12-30T18:23:00"/>
    <x v="50"/>
    <x v="1"/>
    <n v="62"/>
    <x v="1"/>
    <n v="4"/>
    <n v="30"/>
    <n v="9.3000000000000007"/>
    <n v="120"/>
    <n v="110.7"/>
    <n v="0.92249999999999999"/>
    <x v="2"/>
  </r>
  <r>
    <n v="1224"/>
    <x v="213"/>
    <d v="1899-12-30T17:10:00"/>
    <x v="139"/>
    <x v="1"/>
    <n v="25"/>
    <x v="0"/>
    <n v="1"/>
    <n v="50"/>
    <n v="20"/>
    <n v="50"/>
    <n v="30"/>
    <n v="0.6"/>
    <x v="3"/>
  </r>
  <r>
    <n v="1271"/>
    <x v="536"/>
    <d v="1899-12-30T19:31:00"/>
    <x v="84"/>
    <x v="1"/>
    <n v="62"/>
    <x v="1"/>
    <n v="4"/>
    <n v="30"/>
    <n v="9"/>
    <n v="120"/>
    <n v="111"/>
    <n v="0.92500000000000004"/>
    <x v="2"/>
  </r>
  <r>
    <n v="36"/>
    <x v="318"/>
    <d v="1899-12-30T22:06:00"/>
    <x v="89"/>
    <x v="0"/>
    <n v="52"/>
    <x v="1"/>
    <n v="3"/>
    <n v="300"/>
    <n v="144"/>
    <n v="900"/>
    <n v="756"/>
    <n v="0.84"/>
    <x v="1"/>
  </r>
  <r>
    <n v="157"/>
    <x v="157"/>
    <d v="1899-12-30T21:59:00"/>
    <x v="20"/>
    <x v="0"/>
    <n v="62"/>
    <x v="2"/>
    <n v="4"/>
    <n v="500"/>
    <n v="170"/>
    <n v="2000"/>
    <n v="1830"/>
    <n v="0.91500000000000004"/>
    <x v="2"/>
  </r>
  <r>
    <n v="796"/>
    <x v="165"/>
    <d v="1899-12-30T19:50:00"/>
    <x v="114"/>
    <x v="0"/>
    <n v="43"/>
    <x v="1"/>
    <n v="4"/>
    <n v="30"/>
    <n v="7.8"/>
    <n v="120"/>
    <n v="112.2"/>
    <n v="0.93500000000000005"/>
    <x v="0"/>
  </r>
  <r>
    <n v="839"/>
    <x v="537"/>
    <d v="1899-12-30T21:02:00"/>
    <x v="25"/>
    <x v="1"/>
    <n v="20"/>
    <x v="2"/>
    <n v="4"/>
    <n v="300"/>
    <n v="96"/>
    <n v="1200"/>
    <n v="1104"/>
    <n v="0.92"/>
    <x v="3"/>
  </r>
  <r>
    <n v="927"/>
    <x v="538"/>
    <d v="1899-12-30T17:13:00"/>
    <x v="148"/>
    <x v="0"/>
    <n v="43"/>
    <x v="2"/>
    <n v="4"/>
    <n v="500"/>
    <n v="250"/>
    <n v="2000"/>
    <n v="1750"/>
    <n v="0.875"/>
    <x v="0"/>
  </r>
  <r>
    <n v="1036"/>
    <x v="13"/>
    <d v="1899-12-30T18:03:00"/>
    <x v="100"/>
    <x v="0"/>
    <n v="52"/>
    <x v="1"/>
    <n v="3"/>
    <n v="300"/>
    <n v="117"/>
    <n v="900"/>
    <n v="783"/>
    <n v="0.87"/>
    <x v="1"/>
  </r>
  <r>
    <n v="1157"/>
    <x v="539"/>
    <d v="1899-12-30T21:24:00"/>
    <x v="81"/>
    <x v="0"/>
    <n v="62"/>
    <x v="2"/>
    <n v="4"/>
    <n v="500"/>
    <n v="270"/>
    <n v="2000"/>
    <n v="1730"/>
    <n v="0.86499999999999999"/>
    <x v="2"/>
  </r>
  <r>
    <n v="1796"/>
    <x v="395"/>
    <d v="1899-12-30T18:36:00"/>
    <x v="69"/>
    <x v="0"/>
    <n v="43"/>
    <x v="1"/>
    <n v="4"/>
    <n v="30"/>
    <n v="11.1"/>
    <n v="120"/>
    <n v="108.9"/>
    <n v="0.90750000000000008"/>
    <x v="0"/>
  </r>
  <r>
    <n v="1839"/>
    <x v="101"/>
    <d v="1899-12-30T21:57:00"/>
    <x v="146"/>
    <x v="1"/>
    <n v="20"/>
    <x v="2"/>
    <n v="4"/>
    <n v="300"/>
    <n v="156"/>
    <n v="1200"/>
    <n v="1044"/>
    <n v="0.87"/>
    <x v="3"/>
  </r>
  <r>
    <n v="1927"/>
    <x v="277"/>
    <d v="1899-12-30T19:44:00"/>
    <x v="92"/>
    <x v="0"/>
    <n v="43"/>
    <x v="2"/>
    <n v="4"/>
    <n v="500"/>
    <n v="180"/>
    <n v="2000"/>
    <n v="1820"/>
    <n v="0.91"/>
    <x v="0"/>
  </r>
  <r>
    <n v="407"/>
    <x v="16"/>
    <d v="1899-12-30T22:17:00"/>
    <x v="0"/>
    <x v="1"/>
    <n v="46"/>
    <x v="2"/>
    <n v="3"/>
    <n v="300"/>
    <n v="138"/>
    <n v="900"/>
    <n v="762"/>
    <n v="0.84666666666666668"/>
    <x v="1"/>
  </r>
  <r>
    <n v="1407"/>
    <x v="158"/>
    <d v="1899-12-30T19:41:00"/>
    <x v="7"/>
    <x v="1"/>
    <n v="46"/>
    <x v="2"/>
    <n v="3"/>
    <n v="300"/>
    <n v="120"/>
    <n v="900"/>
    <n v="780"/>
    <n v="0.8666666666666667"/>
    <x v="1"/>
  </r>
  <r>
    <n v="46"/>
    <x v="152"/>
    <d v="1899-12-30T17:50:00"/>
    <x v="7"/>
    <x v="1"/>
    <n v="20"/>
    <x v="2"/>
    <n v="4"/>
    <n v="300"/>
    <n v="84"/>
    <n v="1200"/>
    <n v="1116"/>
    <n v="0.93"/>
    <x v="3"/>
  </r>
  <r>
    <n v="509"/>
    <x v="497"/>
    <d v="1899-12-30T19:35:00"/>
    <x v="118"/>
    <x v="1"/>
    <n v="37"/>
    <x v="2"/>
    <n v="3"/>
    <n v="300"/>
    <n v="141"/>
    <n v="900"/>
    <n v="759"/>
    <n v="0.84333333333333338"/>
    <x v="0"/>
  </r>
  <r>
    <n v="874"/>
    <x v="12"/>
    <d v="1899-12-30T18:14:00"/>
    <x v="52"/>
    <x v="0"/>
    <n v="60"/>
    <x v="1"/>
    <n v="1"/>
    <n v="30"/>
    <n v="12.6"/>
    <n v="30"/>
    <n v="17.399999999999999"/>
    <n v="0.57999999999999996"/>
    <x v="2"/>
  </r>
  <r>
    <n v="1046"/>
    <x v="386"/>
    <d v="1899-12-30T21:47:00"/>
    <x v="2"/>
    <x v="1"/>
    <n v="20"/>
    <x v="2"/>
    <n v="4"/>
    <n v="300"/>
    <n v="156"/>
    <n v="1200"/>
    <n v="1044"/>
    <n v="0.87"/>
    <x v="3"/>
  </r>
  <r>
    <n v="1509"/>
    <x v="540"/>
    <d v="1899-12-30T20:40:00"/>
    <x v="26"/>
    <x v="1"/>
    <n v="37"/>
    <x v="2"/>
    <n v="3"/>
    <n v="300"/>
    <n v="129"/>
    <n v="900"/>
    <n v="771"/>
    <n v="0.85666666666666669"/>
    <x v="0"/>
  </r>
  <r>
    <n v="1874"/>
    <x v="541"/>
    <d v="1899-12-30T20:58:00"/>
    <x v="149"/>
    <x v="0"/>
    <n v="60"/>
    <x v="1"/>
    <n v="1"/>
    <n v="30"/>
    <n v="12.6"/>
    <n v="30"/>
    <n v="17.399999999999999"/>
    <n v="0.57999999999999996"/>
    <x v="2"/>
  </r>
  <r>
    <n v="788"/>
    <x v="542"/>
    <d v="1899-12-30T18:54:00"/>
    <x v="52"/>
    <x v="1"/>
    <n v="52"/>
    <x v="1"/>
    <n v="3"/>
    <n v="300"/>
    <n v="105"/>
    <n v="900"/>
    <n v="795"/>
    <n v="0.8833333333333333"/>
    <x v="1"/>
  </r>
  <r>
    <n v="1788"/>
    <x v="543"/>
    <d v="1899-12-30T20:35:00"/>
    <x v="20"/>
    <x v="1"/>
    <n v="52"/>
    <x v="1"/>
    <n v="3"/>
    <n v="300"/>
    <n v="150"/>
    <n v="900"/>
    <n v="750"/>
    <n v="0.83333333333333337"/>
    <x v="1"/>
  </r>
  <r>
    <n v="378"/>
    <x v="544"/>
    <d v="1899-12-30T18:16:00"/>
    <x v="81"/>
    <x v="0"/>
    <n v="50"/>
    <x v="1"/>
    <n v="1"/>
    <n v="300"/>
    <n v="165"/>
    <n v="300"/>
    <n v="135"/>
    <n v="0.45"/>
    <x v="1"/>
  </r>
  <r>
    <n v="1378"/>
    <x v="545"/>
    <d v="1899-12-30T21:56:00"/>
    <x v="84"/>
    <x v="0"/>
    <n v="50"/>
    <x v="1"/>
    <n v="1"/>
    <n v="300"/>
    <n v="132"/>
    <n v="300"/>
    <n v="168"/>
    <n v="0.56000000000000005"/>
    <x v="1"/>
  </r>
  <r>
    <n v="480"/>
    <x v="546"/>
    <d v="1899-12-30T22:12:00"/>
    <x v="149"/>
    <x v="1"/>
    <n v="42"/>
    <x v="1"/>
    <n v="4"/>
    <n v="500"/>
    <n v="225"/>
    <n v="2000"/>
    <n v="1775"/>
    <n v="0.88749999999999996"/>
    <x v="0"/>
  </r>
  <r>
    <n v="492"/>
    <x v="264"/>
    <d v="1899-12-30T17:52:00"/>
    <x v="133"/>
    <x v="0"/>
    <n v="61"/>
    <x v="1"/>
    <n v="4"/>
    <n v="25"/>
    <n v="6.5"/>
    <n v="100"/>
    <n v="93.5"/>
    <n v="0.93500000000000005"/>
    <x v="2"/>
  </r>
  <r>
    <n v="737"/>
    <x v="378"/>
    <d v="1899-12-30T21:11:00"/>
    <x v="86"/>
    <x v="1"/>
    <n v="33"/>
    <x v="0"/>
    <n v="1"/>
    <n v="50"/>
    <n v="14"/>
    <n v="50"/>
    <n v="36"/>
    <n v="0.72"/>
    <x v="4"/>
  </r>
  <r>
    <n v="1480"/>
    <x v="324"/>
    <d v="1899-12-30T18:05:00"/>
    <x v="55"/>
    <x v="1"/>
    <n v="42"/>
    <x v="1"/>
    <n v="4"/>
    <n v="500"/>
    <n v="165"/>
    <n v="2000"/>
    <n v="1835"/>
    <n v="0.91749999999999998"/>
    <x v="0"/>
  </r>
  <r>
    <n v="1492"/>
    <x v="313"/>
    <d v="1899-12-30T22:09:00"/>
    <x v="82"/>
    <x v="0"/>
    <n v="61"/>
    <x v="1"/>
    <n v="4"/>
    <n v="25"/>
    <n v="10"/>
    <n v="100"/>
    <n v="90"/>
    <n v="0.9"/>
    <x v="2"/>
  </r>
  <r>
    <n v="1737"/>
    <x v="4"/>
    <d v="1899-12-30T22:32:00"/>
    <x v="89"/>
    <x v="1"/>
    <n v="33"/>
    <x v="0"/>
    <n v="1"/>
    <n v="50"/>
    <n v="14"/>
    <n v="50"/>
    <n v="36"/>
    <n v="0.72"/>
    <x v="4"/>
  </r>
  <r>
    <n v="684"/>
    <x v="440"/>
    <d v="1899-12-30T18:02:00"/>
    <x v="7"/>
    <x v="1"/>
    <n v="28"/>
    <x v="0"/>
    <n v="2"/>
    <n v="500"/>
    <n v="225"/>
    <n v="1000"/>
    <n v="775"/>
    <n v="0.77500000000000002"/>
    <x v="4"/>
  </r>
  <r>
    <n v="878"/>
    <x v="222"/>
    <d v="1899-12-30T18:53:00"/>
    <x v="73"/>
    <x v="1"/>
    <n v="20"/>
    <x v="0"/>
    <n v="1"/>
    <n v="30"/>
    <n v="11.7"/>
    <n v="30"/>
    <n v="18.3"/>
    <n v="0.61"/>
    <x v="3"/>
  </r>
  <r>
    <n v="1684"/>
    <x v="547"/>
    <d v="1899-12-30T21:40:00"/>
    <x v="105"/>
    <x v="1"/>
    <n v="28"/>
    <x v="0"/>
    <n v="2"/>
    <n v="500"/>
    <n v="200"/>
    <n v="1000"/>
    <n v="800"/>
    <n v="0.8"/>
    <x v="4"/>
  </r>
  <r>
    <n v="1878"/>
    <x v="305"/>
    <d v="1899-12-30T22:56:00"/>
    <x v="85"/>
    <x v="1"/>
    <n v="20"/>
    <x v="0"/>
    <n v="1"/>
    <n v="30"/>
    <n v="7.5"/>
    <n v="30"/>
    <n v="22.5"/>
    <n v="0.75"/>
    <x v="3"/>
  </r>
  <r>
    <n v="78"/>
    <x v="430"/>
    <d v="1899-12-30T21:08:00"/>
    <x v="22"/>
    <x v="1"/>
    <n v="47"/>
    <x v="0"/>
    <n v="3"/>
    <n v="500"/>
    <n v="265"/>
    <n v="1500"/>
    <n v="1235"/>
    <n v="0.82333333333333336"/>
    <x v="1"/>
  </r>
  <r>
    <n v="260"/>
    <x v="548"/>
    <d v="1899-12-30T21:09:00"/>
    <x v="122"/>
    <x v="0"/>
    <n v="28"/>
    <x v="1"/>
    <n v="2"/>
    <n v="30"/>
    <n v="10.5"/>
    <n v="60"/>
    <n v="49.5"/>
    <n v="0.82499999999999996"/>
    <x v="4"/>
  </r>
  <r>
    <n v="455"/>
    <x v="549"/>
    <d v="1899-12-30T19:15:00"/>
    <x v="110"/>
    <x v="0"/>
    <n v="31"/>
    <x v="2"/>
    <n v="4"/>
    <n v="25"/>
    <n v="13.25"/>
    <n v="100"/>
    <n v="86.75"/>
    <n v="0.86750000000000005"/>
    <x v="4"/>
  </r>
  <r>
    <n v="837"/>
    <x v="550"/>
    <d v="1899-12-30T20:35:00"/>
    <x v="132"/>
    <x v="0"/>
    <n v="18"/>
    <x v="1"/>
    <n v="3"/>
    <n v="30"/>
    <n v="7.5"/>
    <n v="90"/>
    <n v="82.5"/>
    <n v="0.91666666666666663"/>
    <x v="3"/>
  </r>
  <r>
    <n v="1078"/>
    <x v="241"/>
    <d v="1899-12-30T22:20:00"/>
    <x v="24"/>
    <x v="1"/>
    <n v="47"/>
    <x v="0"/>
    <n v="3"/>
    <n v="500"/>
    <n v="125"/>
    <n v="1500"/>
    <n v="1375"/>
    <n v="0.91666666666666663"/>
    <x v="1"/>
  </r>
  <r>
    <n v="1260"/>
    <x v="237"/>
    <d v="1899-12-30T17:26:00"/>
    <x v="0"/>
    <x v="0"/>
    <n v="28"/>
    <x v="1"/>
    <n v="2"/>
    <n v="30"/>
    <n v="13.5"/>
    <n v="60"/>
    <n v="46.5"/>
    <n v="0.77500000000000002"/>
    <x v="4"/>
  </r>
  <r>
    <n v="1455"/>
    <x v="551"/>
    <d v="1899-12-30T21:35:00"/>
    <x v="120"/>
    <x v="0"/>
    <n v="31"/>
    <x v="2"/>
    <n v="4"/>
    <n v="25"/>
    <n v="13.75"/>
    <n v="100"/>
    <n v="86.25"/>
    <n v="0.86250000000000004"/>
    <x v="4"/>
  </r>
  <r>
    <n v="1837"/>
    <x v="489"/>
    <d v="1899-12-30T20:45:00"/>
    <x v="120"/>
    <x v="0"/>
    <n v="18"/>
    <x v="1"/>
    <n v="3"/>
    <n v="30"/>
    <n v="8.1"/>
    <n v="90"/>
    <n v="81.900000000000006"/>
    <n v="0.91"/>
    <x v="3"/>
  </r>
  <r>
    <n v="45"/>
    <x v="552"/>
    <d v="1899-12-30T18:27:00"/>
    <x v="100"/>
    <x v="1"/>
    <n v="55"/>
    <x v="2"/>
    <n v="1"/>
    <n v="30"/>
    <n v="10.5"/>
    <n v="30"/>
    <n v="19.5"/>
    <n v="0.65"/>
    <x v="1"/>
  </r>
  <r>
    <n v="449"/>
    <x v="553"/>
    <d v="1899-12-30T18:28:00"/>
    <x v="11"/>
    <x v="0"/>
    <n v="25"/>
    <x v="2"/>
    <n v="4"/>
    <n v="50"/>
    <n v="26.5"/>
    <n v="200"/>
    <n v="173.5"/>
    <n v="0.86750000000000005"/>
    <x v="3"/>
  </r>
  <r>
    <n v="1045"/>
    <x v="554"/>
    <d v="1899-12-30T17:28:00"/>
    <x v="140"/>
    <x v="1"/>
    <n v="55"/>
    <x v="2"/>
    <n v="1"/>
    <n v="30"/>
    <n v="9.9"/>
    <n v="30"/>
    <n v="20.100000000000001"/>
    <n v="0.67"/>
    <x v="1"/>
  </r>
  <r>
    <n v="1449"/>
    <x v="555"/>
    <d v="1899-12-30T18:42:00"/>
    <x v="19"/>
    <x v="0"/>
    <n v="25"/>
    <x v="2"/>
    <n v="4"/>
    <n v="50"/>
    <n v="23.5"/>
    <n v="200"/>
    <n v="176.5"/>
    <n v="0.88249999999999995"/>
    <x v="3"/>
  </r>
  <r>
    <n v="904"/>
    <x v="18"/>
    <d v="1899-12-30T20:26:00"/>
    <x v="105"/>
    <x v="0"/>
    <n v="28"/>
    <x v="0"/>
    <n v="1"/>
    <n v="500"/>
    <n v="160"/>
    <n v="500"/>
    <n v="340"/>
    <n v="0.68"/>
    <x v="4"/>
  </r>
  <r>
    <n v="1904"/>
    <x v="540"/>
    <d v="1899-12-30T19:41:00"/>
    <x v="0"/>
    <x v="0"/>
    <n v="28"/>
    <x v="0"/>
    <n v="1"/>
    <n v="500"/>
    <n v="220"/>
    <n v="500"/>
    <n v="280"/>
    <n v="0.56000000000000005"/>
    <x v="4"/>
  </r>
  <r>
    <n v="59"/>
    <x v="4"/>
    <d v="1899-12-30T18:28:00"/>
    <x v="63"/>
    <x v="0"/>
    <n v="62"/>
    <x v="0"/>
    <n v="1"/>
    <n v="50"/>
    <n v="27"/>
    <n v="50"/>
    <n v="23"/>
    <n v="0.46"/>
    <x v="2"/>
  </r>
  <r>
    <n v="128"/>
    <x v="161"/>
    <d v="1899-12-30T22:22:00"/>
    <x v="29"/>
    <x v="0"/>
    <n v="25"/>
    <x v="1"/>
    <n v="1"/>
    <n v="500"/>
    <n v="180"/>
    <n v="500"/>
    <n v="320"/>
    <n v="0.64"/>
    <x v="3"/>
  </r>
  <r>
    <n v="186"/>
    <x v="556"/>
    <d v="1899-12-30T18:15:00"/>
    <x v="146"/>
    <x v="0"/>
    <n v="20"/>
    <x v="0"/>
    <n v="4"/>
    <n v="50"/>
    <n v="23.5"/>
    <n v="200"/>
    <n v="176.5"/>
    <n v="0.88249999999999995"/>
    <x v="3"/>
  </r>
  <r>
    <n v="802"/>
    <x v="557"/>
    <d v="1899-12-30T18:00:00"/>
    <x v="38"/>
    <x v="1"/>
    <n v="46"/>
    <x v="1"/>
    <n v="1"/>
    <n v="30"/>
    <n v="9.9"/>
    <n v="30"/>
    <n v="20.100000000000001"/>
    <n v="0.67"/>
    <x v="1"/>
  </r>
  <r>
    <n v="1059"/>
    <x v="206"/>
    <d v="1899-12-30T22:05:00"/>
    <x v="27"/>
    <x v="0"/>
    <n v="62"/>
    <x v="0"/>
    <n v="1"/>
    <n v="50"/>
    <n v="12.5"/>
    <n v="50"/>
    <n v="37.5"/>
    <n v="0.75"/>
    <x v="2"/>
  </r>
  <r>
    <n v="1128"/>
    <x v="191"/>
    <d v="1899-12-30T17:35:00"/>
    <x v="111"/>
    <x v="0"/>
    <n v="25"/>
    <x v="1"/>
    <n v="1"/>
    <n v="500"/>
    <n v="135"/>
    <n v="500"/>
    <n v="365"/>
    <n v="0.73"/>
    <x v="3"/>
  </r>
  <r>
    <n v="1186"/>
    <x v="428"/>
    <d v="1899-12-30T18:24:00"/>
    <x v="2"/>
    <x v="0"/>
    <n v="20"/>
    <x v="0"/>
    <n v="4"/>
    <n v="50"/>
    <n v="18.5"/>
    <n v="200"/>
    <n v="181.5"/>
    <n v="0.90749999999999997"/>
    <x v="3"/>
  </r>
  <r>
    <n v="1802"/>
    <x v="558"/>
    <d v="1899-12-30T22:17:00"/>
    <x v="60"/>
    <x v="1"/>
    <n v="46"/>
    <x v="1"/>
    <n v="1"/>
    <n v="30"/>
    <n v="9.6"/>
    <n v="30"/>
    <n v="20.399999999999999"/>
    <n v="0.67999999999999994"/>
    <x v="1"/>
  </r>
  <r>
    <n v="75"/>
    <x v="401"/>
    <d v="1899-12-30T20:51:00"/>
    <x v="140"/>
    <x v="0"/>
    <n v="61"/>
    <x v="1"/>
    <n v="4"/>
    <n v="50"/>
    <n v="13.5"/>
    <n v="200"/>
    <n v="186.5"/>
    <n v="0.9325"/>
    <x v="2"/>
  </r>
  <r>
    <n v="447"/>
    <x v="559"/>
    <d v="1899-12-30T17:57:00"/>
    <x v="70"/>
    <x v="0"/>
    <n v="22"/>
    <x v="1"/>
    <n v="4"/>
    <n v="500"/>
    <n v="245"/>
    <n v="2000"/>
    <n v="1755"/>
    <n v="0.87749999999999995"/>
    <x v="3"/>
  </r>
  <r>
    <n v="528"/>
    <x v="337"/>
    <d v="1899-12-30T21:51:00"/>
    <x v="13"/>
    <x v="1"/>
    <n v="36"/>
    <x v="0"/>
    <n v="2"/>
    <n v="30"/>
    <n v="9.6"/>
    <n v="60"/>
    <n v="50.4"/>
    <n v="0.84"/>
    <x v="0"/>
  </r>
  <r>
    <n v="1075"/>
    <x v="71"/>
    <d v="1899-12-30T19:17:00"/>
    <x v="146"/>
    <x v="0"/>
    <n v="61"/>
    <x v="1"/>
    <n v="4"/>
    <n v="50"/>
    <n v="21.5"/>
    <n v="200"/>
    <n v="178.5"/>
    <n v="0.89249999999999996"/>
    <x v="2"/>
  </r>
  <r>
    <n v="1447"/>
    <x v="83"/>
    <d v="1899-12-30T22:21:00"/>
    <x v="14"/>
    <x v="0"/>
    <n v="22"/>
    <x v="1"/>
    <n v="4"/>
    <n v="500"/>
    <n v="155"/>
    <n v="2000"/>
    <n v="1845"/>
    <n v="0.92249999999999999"/>
    <x v="3"/>
  </r>
  <r>
    <n v="1528"/>
    <x v="232"/>
    <d v="1899-12-30T19:44:00"/>
    <x v="149"/>
    <x v="1"/>
    <n v="36"/>
    <x v="0"/>
    <n v="2"/>
    <n v="30"/>
    <n v="12.3"/>
    <n v="60"/>
    <n v="47.7"/>
    <n v="0.79500000000000004"/>
    <x v="0"/>
  </r>
  <r>
    <n v="759"/>
    <x v="266"/>
    <d v="1899-12-30T21:21:00"/>
    <x v="56"/>
    <x v="0"/>
    <n v="49"/>
    <x v="2"/>
    <n v="2"/>
    <n v="50"/>
    <n v="21.5"/>
    <n v="100"/>
    <n v="78.5"/>
    <n v="0.78500000000000003"/>
    <x v="1"/>
  </r>
  <r>
    <n v="870"/>
    <x v="38"/>
    <d v="1899-12-30T19:41:00"/>
    <x v="24"/>
    <x v="1"/>
    <n v="46"/>
    <x v="2"/>
    <n v="4"/>
    <n v="30"/>
    <n v="11.1"/>
    <n v="120"/>
    <n v="108.9"/>
    <n v="0.90750000000000008"/>
    <x v="1"/>
  </r>
  <r>
    <n v="1759"/>
    <x v="544"/>
    <d v="1899-12-30T17:27:00"/>
    <x v="13"/>
    <x v="0"/>
    <n v="49"/>
    <x v="2"/>
    <n v="2"/>
    <n v="50"/>
    <n v="23"/>
    <n v="100"/>
    <n v="77"/>
    <n v="0.77"/>
    <x v="1"/>
  </r>
  <r>
    <n v="1870"/>
    <x v="364"/>
    <d v="1899-12-30T20:38:00"/>
    <x v="96"/>
    <x v="1"/>
    <n v="46"/>
    <x v="2"/>
    <n v="4"/>
    <n v="30"/>
    <n v="10.5"/>
    <n v="120"/>
    <n v="109.5"/>
    <n v="0.91249999999999998"/>
    <x v="1"/>
  </r>
  <r>
    <n v="77"/>
    <x v="560"/>
    <d v="1899-12-30T20:45:00"/>
    <x v="50"/>
    <x v="1"/>
    <n v="47"/>
    <x v="0"/>
    <n v="2"/>
    <n v="50"/>
    <n v="24"/>
    <n v="100"/>
    <n v="76"/>
    <n v="0.76"/>
    <x v="1"/>
  </r>
  <r>
    <n v="381"/>
    <x v="526"/>
    <d v="1899-12-30T19:05:00"/>
    <x v="112"/>
    <x v="1"/>
    <n v="44"/>
    <x v="0"/>
    <n v="4"/>
    <n v="25"/>
    <n v="12.25"/>
    <n v="100"/>
    <n v="87.75"/>
    <n v="0.87749999999999995"/>
    <x v="0"/>
  </r>
  <r>
    <n v="439"/>
    <x v="145"/>
    <d v="1899-12-30T21:46:00"/>
    <x v="97"/>
    <x v="0"/>
    <n v="50"/>
    <x v="0"/>
    <n v="3"/>
    <n v="25"/>
    <n v="11.75"/>
    <n v="75"/>
    <n v="63.25"/>
    <n v="0.84333333333333338"/>
    <x v="1"/>
  </r>
  <r>
    <n v="792"/>
    <x v="561"/>
    <d v="1899-12-30T22:50:00"/>
    <x v="133"/>
    <x v="1"/>
    <n v="20"/>
    <x v="1"/>
    <n v="1"/>
    <n v="50"/>
    <n v="26.5"/>
    <n v="50"/>
    <n v="23.5"/>
    <n v="0.47"/>
    <x v="3"/>
  </r>
  <r>
    <n v="1077"/>
    <x v="147"/>
    <d v="1899-12-30T18:45:00"/>
    <x v="128"/>
    <x v="1"/>
    <n v="47"/>
    <x v="0"/>
    <n v="2"/>
    <n v="50"/>
    <n v="15"/>
    <n v="100"/>
    <n v="85"/>
    <n v="0.85"/>
    <x v="1"/>
  </r>
  <r>
    <n v="1381"/>
    <x v="64"/>
    <d v="1899-12-30T17:26:00"/>
    <x v="4"/>
    <x v="1"/>
    <n v="44"/>
    <x v="0"/>
    <n v="4"/>
    <n v="25"/>
    <n v="7.75"/>
    <n v="100"/>
    <n v="92.25"/>
    <n v="0.92249999999999999"/>
    <x v="0"/>
  </r>
  <r>
    <n v="1439"/>
    <x v="562"/>
    <d v="1899-12-30T20:53:00"/>
    <x v="104"/>
    <x v="0"/>
    <n v="50"/>
    <x v="0"/>
    <n v="3"/>
    <n v="25"/>
    <n v="7.25"/>
    <n v="75"/>
    <n v="67.75"/>
    <n v="0.90333333333333332"/>
    <x v="1"/>
  </r>
  <r>
    <n v="1792"/>
    <x v="313"/>
    <d v="1899-12-30T17:37:00"/>
    <x v="42"/>
    <x v="1"/>
    <n v="20"/>
    <x v="1"/>
    <n v="1"/>
    <n v="50"/>
    <n v="26.5"/>
    <n v="50"/>
    <n v="23.5"/>
    <n v="0.47"/>
    <x v="3"/>
  </r>
  <r>
    <n v="176"/>
    <x v="397"/>
    <d v="1899-12-30T18:15:00"/>
    <x v="132"/>
    <x v="1"/>
    <n v="43"/>
    <x v="1"/>
    <n v="2"/>
    <n v="50"/>
    <n v="25.5"/>
    <n v="100"/>
    <n v="74.5"/>
    <n v="0.745"/>
    <x v="0"/>
  </r>
  <r>
    <n v="216"/>
    <x v="204"/>
    <d v="1899-12-30T17:28:00"/>
    <x v="128"/>
    <x v="0"/>
    <n v="62"/>
    <x v="2"/>
    <n v="2"/>
    <n v="50"/>
    <n v="26.5"/>
    <n v="100"/>
    <n v="73.5"/>
    <n v="0.73499999999999999"/>
    <x v="2"/>
  </r>
  <r>
    <n v="1176"/>
    <x v="561"/>
    <d v="1899-12-30T20:33:00"/>
    <x v="144"/>
    <x v="1"/>
    <n v="43"/>
    <x v="1"/>
    <n v="2"/>
    <n v="50"/>
    <n v="21"/>
    <n v="100"/>
    <n v="79"/>
    <n v="0.79"/>
    <x v="0"/>
  </r>
  <r>
    <n v="1216"/>
    <x v="256"/>
    <d v="1899-12-30T22:53:00"/>
    <x v="40"/>
    <x v="0"/>
    <n v="62"/>
    <x v="2"/>
    <n v="2"/>
    <n v="50"/>
    <n v="13"/>
    <n v="100"/>
    <n v="87"/>
    <n v="0.87"/>
    <x v="2"/>
  </r>
  <r>
    <n v="772"/>
    <x v="291"/>
    <d v="1899-12-30T21:47:00"/>
    <x v="28"/>
    <x v="0"/>
    <n v="26"/>
    <x v="2"/>
    <n v="1"/>
    <n v="30"/>
    <n v="16.2"/>
    <n v="30"/>
    <n v="13.8"/>
    <n v="0.46"/>
    <x v="4"/>
  </r>
  <r>
    <n v="1772"/>
    <x v="127"/>
    <d v="1899-12-30T19:06:00"/>
    <x v="12"/>
    <x v="0"/>
    <n v="26"/>
    <x v="2"/>
    <n v="1"/>
    <n v="30"/>
    <n v="13.2"/>
    <n v="30"/>
    <n v="16.8"/>
    <n v="0.56000000000000005"/>
    <x v="4"/>
  </r>
  <r>
    <n v="53"/>
    <x v="3"/>
    <d v="1899-12-30T17:57:00"/>
    <x v="120"/>
    <x v="0"/>
    <n v="34"/>
    <x v="2"/>
    <n v="2"/>
    <n v="50"/>
    <n v="22"/>
    <n v="100"/>
    <n v="78"/>
    <n v="0.78"/>
    <x v="4"/>
  </r>
  <r>
    <n v="1053"/>
    <x v="403"/>
    <d v="1899-12-30T21:13:00"/>
    <x v="89"/>
    <x v="0"/>
    <n v="34"/>
    <x v="2"/>
    <n v="2"/>
    <n v="50"/>
    <n v="20.5"/>
    <n v="100"/>
    <n v="79.5"/>
    <n v="0.79500000000000004"/>
    <x v="4"/>
  </r>
  <r>
    <n v="43"/>
    <x v="455"/>
    <d v="1899-12-30T21:42:00"/>
    <x v="88"/>
    <x v="1"/>
    <n v="48"/>
    <x v="0"/>
    <n v="1"/>
    <n v="300"/>
    <n v="111"/>
    <n v="300"/>
    <n v="189"/>
    <n v="0.63"/>
    <x v="1"/>
  </r>
  <r>
    <n v="71"/>
    <x v="243"/>
    <d v="1899-12-30T19:11:00"/>
    <x v="120"/>
    <x v="1"/>
    <n v="51"/>
    <x v="1"/>
    <n v="4"/>
    <n v="25"/>
    <n v="11.5"/>
    <n v="100"/>
    <n v="88.5"/>
    <n v="0.88500000000000001"/>
    <x v="1"/>
  </r>
  <r>
    <n v="93"/>
    <x v="563"/>
    <d v="1899-12-30T20:52:00"/>
    <x v="121"/>
    <x v="1"/>
    <n v="35"/>
    <x v="1"/>
    <n v="4"/>
    <n v="500"/>
    <n v="140"/>
    <n v="2000"/>
    <n v="1860"/>
    <n v="0.93"/>
    <x v="4"/>
  </r>
  <r>
    <n v="302"/>
    <x v="431"/>
    <d v="1899-12-30T17:51:00"/>
    <x v="86"/>
    <x v="0"/>
    <n v="57"/>
    <x v="1"/>
    <n v="2"/>
    <n v="300"/>
    <n v="135"/>
    <n v="600"/>
    <n v="465"/>
    <n v="0.77500000000000002"/>
    <x v="2"/>
  </r>
  <r>
    <n v="551"/>
    <x v="438"/>
    <d v="1899-12-30T22:45:00"/>
    <x v="123"/>
    <x v="0"/>
    <n v="45"/>
    <x v="2"/>
    <n v="3"/>
    <n v="300"/>
    <n v="141"/>
    <n v="900"/>
    <n v="759"/>
    <n v="0.84333333333333338"/>
    <x v="0"/>
  </r>
  <r>
    <n v="681"/>
    <x v="238"/>
    <d v="1899-12-30T22:12:00"/>
    <x v="44"/>
    <x v="1"/>
    <n v="43"/>
    <x v="2"/>
    <n v="2"/>
    <n v="30"/>
    <n v="8.4"/>
    <n v="60"/>
    <n v="51.6"/>
    <n v="0.86"/>
    <x v="0"/>
  </r>
  <r>
    <n v="722"/>
    <x v="432"/>
    <d v="1899-12-30T18:35:00"/>
    <x v="28"/>
    <x v="0"/>
    <n v="20"/>
    <x v="1"/>
    <n v="3"/>
    <n v="300"/>
    <n v="162"/>
    <n v="900"/>
    <n v="738"/>
    <n v="0.82"/>
    <x v="3"/>
  </r>
  <r>
    <n v="728"/>
    <x v="564"/>
    <d v="1899-12-30T19:35:00"/>
    <x v="66"/>
    <x v="0"/>
    <n v="51"/>
    <x v="2"/>
    <n v="3"/>
    <n v="50"/>
    <n v="18"/>
    <n v="150"/>
    <n v="132"/>
    <n v="0.88"/>
    <x v="1"/>
  </r>
  <r>
    <n v="829"/>
    <x v="565"/>
    <d v="1899-12-30T21:31:00"/>
    <x v="1"/>
    <x v="0"/>
    <n v="61"/>
    <x v="1"/>
    <n v="3"/>
    <n v="30"/>
    <n v="9.6"/>
    <n v="90"/>
    <n v="80.400000000000006"/>
    <n v="0.89333333333333342"/>
    <x v="2"/>
  </r>
  <r>
    <n v="955"/>
    <x v="198"/>
    <d v="1899-12-30T17:57:00"/>
    <x v="24"/>
    <x v="0"/>
    <n v="58"/>
    <x v="0"/>
    <n v="1"/>
    <n v="25"/>
    <n v="12.5"/>
    <n v="25"/>
    <n v="12.5"/>
    <n v="0.5"/>
    <x v="2"/>
  </r>
  <r>
    <n v="1043"/>
    <x v="226"/>
    <d v="1899-12-30T18:10:00"/>
    <x v="61"/>
    <x v="1"/>
    <n v="48"/>
    <x v="0"/>
    <n v="1"/>
    <n v="300"/>
    <n v="87"/>
    <n v="300"/>
    <n v="213"/>
    <n v="0.71"/>
    <x v="1"/>
  </r>
  <r>
    <n v="1071"/>
    <x v="483"/>
    <d v="1899-12-30T17:38:00"/>
    <x v="107"/>
    <x v="1"/>
    <n v="51"/>
    <x v="1"/>
    <n v="4"/>
    <n v="25"/>
    <n v="6.75"/>
    <n v="100"/>
    <n v="93.25"/>
    <n v="0.9325"/>
    <x v="1"/>
  </r>
  <r>
    <n v="1093"/>
    <x v="350"/>
    <d v="1899-12-30T17:26:00"/>
    <x v="90"/>
    <x v="1"/>
    <n v="35"/>
    <x v="1"/>
    <n v="4"/>
    <n v="500"/>
    <n v="270"/>
    <n v="2000"/>
    <n v="1730"/>
    <n v="0.86499999999999999"/>
    <x v="4"/>
  </r>
  <r>
    <n v="1302"/>
    <x v="161"/>
    <d v="1899-12-30T17:55:00"/>
    <x v="61"/>
    <x v="0"/>
    <n v="57"/>
    <x v="1"/>
    <n v="2"/>
    <n v="300"/>
    <n v="102"/>
    <n v="600"/>
    <n v="498"/>
    <n v="0.83"/>
    <x v="2"/>
  </r>
  <r>
    <n v="1551"/>
    <x v="395"/>
    <d v="1899-12-30T22:36:00"/>
    <x v="150"/>
    <x v="0"/>
    <n v="45"/>
    <x v="2"/>
    <n v="3"/>
    <n v="300"/>
    <n v="81"/>
    <n v="900"/>
    <n v="819"/>
    <n v="0.91"/>
    <x v="0"/>
  </r>
  <r>
    <n v="1681"/>
    <x v="119"/>
    <d v="1899-12-30T19:32:00"/>
    <x v="132"/>
    <x v="1"/>
    <n v="43"/>
    <x v="2"/>
    <n v="2"/>
    <n v="30"/>
    <n v="11.1"/>
    <n v="60"/>
    <n v="48.9"/>
    <n v="0.81499999999999995"/>
    <x v="0"/>
  </r>
  <r>
    <n v="1722"/>
    <x v="526"/>
    <d v="1899-12-30T20:38:00"/>
    <x v="47"/>
    <x v="0"/>
    <n v="20"/>
    <x v="1"/>
    <n v="3"/>
    <n v="300"/>
    <n v="159"/>
    <n v="900"/>
    <n v="741"/>
    <n v="0.82333333333333336"/>
    <x v="3"/>
  </r>
  <r>
    <n v="1728"/>
    <x v="266"/>
    <d v="1899-12-30T22:30:00"/>
    <x v="29"/>
    <x v="0"/>
    <n v="51"/>
    <x v="2"/>
    <n v="3"/>
    <n v="50"/>
    <n v="25"/>
    <n v="150"/>
    <n v="125"/>
    <n v="0.83333333333333337"/>
    <x v="1"/>
  </r>
  <r>
    <n v="1829"/>
    <x v="83"/>
    <d v="1899-12-30T22:37:00"/>
    <x v="11"/>
    <x v="0"/>
    <n v="61"/>
    <x v="1"/>
    <n v="3"/>
    <n v="30"/>
    <n v="12"/>
    <n v="90"/>
    <n v="78"/>
    <n v="0.8666666666666667"/>
    <x v="2"/>
  </r>
  <r>
    <n v="1955"/>
    <x v="97"/>
    <d v="1899-12-30T21:11:00"/>
    <x v="110"/>
    <x v="0"/>
    <n v="58"/>
    <x v="0"/>
    <n v="1"/>
    <n v="25"/>
    <n v="6.5"/>
    <n v="25"/>
    <n v="18.5"/>
    <n v="0.74"/>
    <x v="2"/>
  </r>
  <r>
    <n v="144"/>
    <x v="60"/>
    <d v="1899-12-30T22:18:00"/>
    <x v="96"/>
    <x v="1"/>
    <n v="59"/>
    <x v="1"/>
    <n v="3"/>
    <n v="500"/>
    <n v="255"/>
    <n v="1500"/>
    <n v="1245"/>
    <n v="0.83"/>
    <x v="2"/>
  </r>
  <r>
    <n v="474"/>
    <x v="566"/>
    <d v="1899-12-30T17:57:00"/>
    <x v="35"/>
    <x v="1"/>
    <n v="26"/>
    <x v="0"/>
    <n v="3"/>
    <n v="500"/>
    <n v="210"/>
    <n v="1500"/>
    <n v="1290"/>
    <n v="0.86"/>
    <x v="4"/>
  </r>
  <r>
    <n v="1144"/>
    <x v="20"/>
    <d v="1899-12-30T21:27:00"/>
    <x v="121"/>
    <x v="1"/>
    <n v="59"/>
    <x v="1"/>
    <n v="3"/>
    <n v="500"/>
    <n v="125"/>
    <n v="1500"/>
    <n v="1375"/>
    <n v="0.91666666666666663"/>
    <x v="2"/>
  </r>
  <r>
    <n v="1474"/>
    <x v="157"/>
    <d v="1899-12-30T20:49:00"/>
    <x v="150"/>
    <x v="1"/>
    <n v="26"/>
    <x v="0"/>
    <n v="3"/>
    <n v="500"/>
    <n v="255"/>
    <n v="1500"/>
    <n v="1245"/>
    <n v="0.83"/>
    <x v="4"/>
  </r>
  <r>
    <n v="603"/>
    <x v="192"/>
    <d v="1899-12-30T20:17:00"/>
    <x v="109"/>
    <x v="1"/>
    <n v="40"/>
    <x v="0"/>
    <n v="3"/>
    <n v="30"/>
    <n v="14.1"/>
    <n v="90"/>
    <n v="75.900000000000006"/>
    <n v="0.84333333333333338"/>
    <x v="0"/>
  </r>
  <r>
    <n v="661"/>
    <x v="91"/>
    <d v="1899-12-30T22:09:00"/>
    <x v="95"/>
    <x v="1"/>
    <n v="44"/>
    <x v="0"/>
    <n v="4"/>
    <n v="25"/>
    <n v="7"/>
    <n v="100"/>
    <n v="93"/>
    <n v="0.93"/>
    <x v="0"/>
  </r>
  <r>
    <n v="1603"/>
    <x v="330"/>
    <d v="1899-12-30T20:50:00"/>
    <x v="68"/>
    <x v="1"/>
    <n v="40"/>
    <x v="0"/>
    <n v="3"/>
    <n v="30"/>
    <n v="13.2"/>
    <n v="90"/>
    <n v="76.8"/>
    <n v="0.85333333333333328"/>
    <x v="0"/>
  </r>
  <r>
    <n v="1661"/>
    <x v="335"/>
    <d v="1899-12-30T19:18:00"/>
    <x v="61"/>
    <x v="1"/>
    <n v="44"/>
    <x v="0"/>
    <n v="4"/>
    <n v="25"/>
    <n v="6.25"/>
    <n v="100"/>
    <n v="93.75"/>
    <n v="0.9375"/>
    <x v="0"/>
  </r>
  <r>
    <n v="143"/>
    <x v="567"/>
    <d v="1899-12-30T22:20:00"/>
    <x v="88"/>
    <x v="1"/>
    <n v="45"/>
    <x v="0"/>
    <n v="1"/>
    <n v="50"/>
    <n v="27.5"/>
    <n v="50"/>
    <n v="22.5"/>
    <n v="0.45"/>
    <x v="0"/>
  </r>
  <r>
    <n v="515"/>
    <x v="40"/>
    <d v="1899-12-30T20:47:00"/>
    <x v="41"/>
    <x v="1"/>
    <n v="49"/>
    <x v="0"/>
    <n v="3"/>
    <n v="300"/>
    <n v="75"/>
    <n v="900"/>
    <n v="825"/>
    <n v="0.91666666666666663"/>
    <x v="1"/>
  </r>
  <r>
    <n v="1143"/>
    <x v="296"/>
    <d v="1899-12-30T21:10:00"/>
    <x v="40"/>
    <x v="1"/>
    <n v="45"/>
    <x v="0"/>
    <n v="1"/>
    <n v="50"/>
    <n v="15"/>
    <n v="50"/>
    <n v="35"/>
    <n v="0.7"/>
    <x v="0"/>
  </r>
  <r>
    <n v="1515"/>
    <x v="568"/>
    <d v="1899-12-30T21:49:00"/>
    <x v="122"/>
    <x v="1"/>
    <n v="49"/>
    <x v="0"/>
    <n v="3"/>
    <n v="300"/>
    <n v="135"/>
    <n v="900"/>
    <n v="765"/>
    <n v="0.85"/>
    <x v="1"/>
  </r>
  <r>
    <n v="304"/>
    <x v="378"/>
    <d v="1899-12-30T18:35:00"/>
    <x v="12"/>
    <x v="1"/>
    <n v="37"/>
    <x v="2"/>
    <n v="2"/>
    <n v="30"/>
    <n v="15.6"/>
    <n v="60"/>
    <n v="44.4"/>
    <n v="0.74"/>
    <x v="0"/>
  </r>
  <r>
    <n v="676"/>
    <x v="497"/>
    <d v="1899-12-30T22:13:00"/>
    <x v="46"/>
    <x v="0"/>
    <n v="63"/>
    <x v="2"/>
    <n v="3"/>
    <n v="500"/>
    <n v="205"/>
    <n v="1500"/>
    <n v="1295"/>
    <n v="0.86333333333333329"/>
    <x v="2"/>
  </r>
  <r>
    <n v="686"/>
    <x v="3"/>
    <d v="1899-12-30T17:14:00"/>
    <x v="22"/>
    <x v="1"/>
    <n v="28"/>
    <x v="2"/>
    <n v="4"/>
    <n v="50"/>
    <n v="23.5"/>
    <n v="200"/>
    <n v="176.5"/>
    <n v="0.88249999999999995"/>
    <x v="4"/>
  </r>
  <r>
    <n v="698"/>
    <x v="569"/>
    <d v="1899-12-30T20:56:00"/>
    <x v="31"/>
    <x v="1"/>
    <n v="64"/>
    <x v="2"/>
    <n v="1"/>
    <n v="300"/>
    <n v="123"/>
    <n v="300"/>
    <n v="177"/>
    <n v="0.59"/>
    <x v="2"/>
  </r>
  <r>
    <n v="1304"/>
    <x v="570"/>
    <d v="1899-12-30T22:19:00"/>
    <x v="133"/>
    <x v="1"/>
    <n v="37"/>
    <x v="2"/>
    <n v="2"/>
    <n v="30"/>
    <n v="9.3000000000000007"/>
    <n v="60"/>
    <n v="50.7"/>
    <n v="0.84500000000000008"/>
    <x v="0"/>
  </r>
  <r>
    <n v="1676"/>
    <x v="483"/>
    <d v="1899-12-30T20:22:00"/>
    <x v="147"/>
    <x v="0"/>
    <n v="63"/>
    <x v="2"/>
    <n v="3"/>
    <n v="500"/>
    <n v="210"/>
    <n v="1500"/>
    <n v="1290"/>
    <n v="0.86"/>
    <x v="2"/>
  </r>
  <r>
    <n v="1686"/>
    <x v="276"/>
    <d v="1899-12-30T20:41:00"/>
    <x v="106"/>
    <x v="1"/>
    <n v="28"/>
    <x v="2"/>
    <n v="4"/>
    <n v="50"/>
    <n v="26"/>
    <n v="200"/>
    <n v="174"/>
    <n v="0.87"/>
    <x v="4"/>
  </r>
  <r>
    <n v="1698"/>
    <x v="560"/>
    <d v="1899-12-30T21:50:00"/>
    <x v="82"/>
    <x v="1"/>
    <n v="64"/>
    <x v="2"/>
    <n v="1"/>
    <n v="300"/>
    <n v="105"/>
    <n v="300"/>
    <n v="195"/>
    <n v="0.65"/>
    <x v="2"/>
  </r>
  <r>
    <n v="709"/>
    <x v="210"/>
    <d v="1899-12-30T22:32:00"/>
    <x v="63"/>
    <x v="1"/>
    <n v="19"/>
    <x v="2"/>
    <n v="2"/>
    <n v="500"/>
    <n v="140"/>
    <n v="1000"/>
    <n v="860"/>
    <n v="0.86"/>
    <x v="3"/>
  </r>
  <r>
    <n v="1709"/>
    <x v="338"/>
    <d v="1899-12-30T20:22:00"/>
    <x v="85"/>
    <x v="1"/>
    <n v="19"/>
    <x v="2"/>
    <n v="2"/>
    <n v="500"/>
    <n v="185"/>
    <n v="1000"/>
    <n v="815"/>
    <n v="0.81499999999999995"/>
    <x v="3"/>
  </r>
  <r>
    <n v="114"/>
    <x v="498"/>
    <d v="1899-12-30T20:57:00"/>
    <x v="146"/>
    <x v="1"/>
    <n v="22"/>
    <x v="1"/>
    <n v="4"/>
    <n v="25"/>
    <n v="9.25"/>
    <n v="100"/>
    <n v="90.75"/>
    <n v="0.90749999999999997"/>
    <x v="3"/>
  </r>
  <r>
    <n v="359"/>
    <x v="151"/>
    <d v="1899-12-30T21:49:00"/>
    <x v="80"/>
    <x v="0"/>
    <n v="50"/>
    <x v="0"/>
    <n v="1"/>
    <n v="50"/>
    <n v="22.5"/>
    <n v="50"/>
    <n v="27.5"/>
    <n v="0.55000000000000004"/>
    <x v="1"/>
  </r>
  <r>
    <n v="1114"/>
    <x v="208"/>
    <d v="1899-12-30T22:19:00"/>
    <x v="151"/>
    <x v="1"/>
    <n v="22"/>
    <x v="1"/>
    <n v="4"/>
    <n v="25"/>
    <n v="12"/>
    <n v="100"/>
    <n v="88"/>
    <n v="0.88"/>
    <x v="3"/>
  </r>
  <r>
    <n v="1359"/>
    <x v="105"/>
    <d v="1899-12-30T22:21:00"/>
    <x v="57"/>
    <x v="0"/>
    <n v="50"/>
    <x v="0"/>
    <n v="1"/>
    <n v="50"/>
    <n v="19"/>
    <n v="50"/>
    <n v="31"/>
    <n v="0.62"/>
    <x v="1"/>
  </r>
  <r>
    <n v="773"/>
    <x v="571"/>
    <d v="1899-12-30T19:10:00"/>
    <x v="55"/>
    <x v="0"/>
    <n v="25"/>
    <x v="2"/>
    <n v="4"/>
    <n v="500"/>
    <n v="175"/>
    <n v="2000"/>
    <n v="1825"/>
    <n v="0.91249999999999998"/>
    <x v="3"/>
  </r>
  <r>
    <n v="1773"/>
    <x v="289"/>
    <d v="1899-12-30T18:50:00"/>
    <x v="46"/>
    <x v="0"/>
    <n v="25"/>
    <x v="2"/>
    <n v="4"/>
    <n v="500"/>
    <n v="165"/>
    <n v="2000"/>
    <n v="1835"/>
    <n v="0.91749999999999998"/>
    <x v="3"/>
  </r>
  <r>
    <n v="127"/>
    <x v="492"/>
    <d v="1899-12-30T19:37:00"/>
    <x v="89"/>
    <x v="1"/>
    <n v="33"/>
    <x v="0"/>
    <n v="2"/>
    <n v="25"/>
    <n v="7.5"/>
    <n v="50"/>
    <n v="42.5"/>
    <n v="0.85"/>
    <x v="4"/>
  </r>
  <r>
    <n v="213"/>
    <x v="572"/>
    <d v="1899-12-30T20:48:00"/>
    <x v="130"/>
    <x v="0"/>
    <n v="27"/>
    <x v="1"/>
    <n v="3"/>
    <n v="500"/>
    <n v="275"/>
    <n v="1500"/>
    <n v="1225"/>
    <n v="0.81666666666666665"/>
    <x v="4"/>
  </r>
  <r>
    <n v="487"/>
    <x v="387"/>
    <d v="1899-12-30T21:03:00"/>
    <x v="115"/>
    <x v="0"/>
    <n v="44"/>
    <x v="0"/>
    <n v="4"/>
    <n v="500"/>
    <n v="235"/>
    <n v="2000"/>
    <n v="1765"/>
    <n v="0.88249999999999995"/>
    <x v="0"/>
  </r>
  <r>
    <n v="495"/>
    <x v="194"/>
    <d v="1899-12-30T21:06:00"/>
    <x v="135"/>
    <x v="0"/>
    <n v="24"/>
    <x v="1"/>
    <n v="2"/>
    <n v="30"/>
    <n v="11.7"/>
    <n v="60"/>
    <n v="48.3"/>
    <n v="0.80499999999999994"/>
    <x v="3"/>
  </r>
  <r>
    <n v="605"/>
    <x v="425"/>
    <d v="1899-12-30T22:24:00"/>
    <x v="104"/>
    <x v="0"/>
    <n v="37"/>
    <x v="2"/>
    <n v="2"/>
    <n v="500"/>
    <n v="180"/>
    <n v="1000"/>
    <n v="820"/>
    <n v="0.82"/>
    <x v="0"/>
  </r>
  <r>
    <n v="1127"/>
    <x v="573"/>
    <d v="1899-12-30T19:26:00"/>
    <x v="90"/>
    <x v="1"/>
    <n v="33"/>
    <x v="0"/>
    <n v="2"/>
    <n v="25"/>
    <n v="13"/>
    <n v="50"/>
    <n v="37"/>
    <n v="0.74"/>
    <x v="4"/>
  </r>
  <r>
    <n v="1213"/>
    <x v="369"/>
    <d v="1899-12-30T17:23:00"/>
    <x v="51"/>
    <x v="0"/>
    <n v="27"/>
    <x v="1"/>
    <n v="3"/>
    <n v="500"/>
    <n v="185"/>
    <n v="1500"/>
    <n v="1315"/>
    <n v="0.87666666666666671"/>
    <x v="4"/>
  </r>
  <r>
    <n v="1487"/>
    <x v="384"/>
    <d v="1899-12-30T19:01:00"/>
    <x v="135"/>
    <x v="0"/>
    <n v="44"/>
    <x v="0"/>
    <n v="4"/>
    <n v="500"/>
    <n v="140"/>
    <n v="2000"/>
    <n v="1860"/>
    <n v="0.93"/>
    <x v="0"/>
  </r>
  <r>
    <n v="1495"/>
    <x v="488"/>
    <d v="1899-12-30T22:37:00"/>
    <x v="130"/>
    <x v="0"/>
    <n v="24"/>
    <x v="1"/>
    <n v="2"/>
    <n v="30"/>
    <n v="16.2"/>
    <n v="60"/>
    <n v="43.8"/>
    <n v="0.73"/>
    <x v="3"/>
  </r>
  <r>
    <n v="1605"/>
    <x v="164"/>
    <d v="1899-12-30T19:39:00"/>
    <x v="98"/>
    <x v="0"/>
    <n v="37"/>
    <x v="2"/>
    <n v="2"/>
    <n v="500"/>
    <n v="165"/>
    <n v="1000"/>
    <n v="835"/>
    <n v="0.83499999999999996"/>
    <x v="0"/>
  </r>
  <r>
    <n v="105"/>
    <x v="379"/>
    <d v="1899-12-30T18:05:00"/>
    <x v="18"/>
    <x v="1"/>
    <n v="22"/>
    <x v="2"/>
    <n v="1"/>
    <n v="500"/>
    <n v="230"/>
    <n v="500"/>
    <n v="270"/>
    <n v="0.54"/>
    <x v="3"/>
  </r>
  <r>
    <n v="299"/>
    <x v="254"/>
    <d v="1899-12-30T20:03:00"/>
    <x v="104"/>
    <x v="0"/>
    <n v="61"/>
    <x v="2"/>
    <n v="2"/>
    <n v="500"/>
    <n v="230"/>
    <n v="1000"/>
    <n v="770"/>
    <n v="0.77"/>
    <x v="2"/>
  </r>
  <r>
    <n v="934"/>
    <x v="34"/>
    <d v="1899-12-30T18:20:00"/>
    <x v="91"/>
    <x v="0"/>
    <n v="30"/>
    <x v="1"/>
    <n v="1"/>
    <n v="500"/>
    <n v="240"/>
    <n v="500"/>
    <n v="260"/>
    <n v="0.52"/>
    <x v="4"/>
  </r>
  <r>
    <n v="1105"/>
    <x v="65"/>
    <d v="1899-12-30T19:09:00"/>
    <x v="143"/>
    <x v="1"/>
    <n v="22"/>
    <x v="2"/>
    <n v="1"/>
    <n v="500"/>
    <n v="270"/>
    <n v="500"/>
    <n v="230"/>
    <n v="0.46"/>
    <x v="3"/>
  </r>
  <r>
    <n v="1299"/>
    <x v="566"/>
    <d v="1899-12-30T18:58:00"/>
    <x v="125"/>
    <x v="0"/>
    <n v="61"/>
    <x v="2"/>
    <n v="2"/>
    <n v="500"/>
    <n v="250"/>
    <n v="1000"/>
    <n v="750"/>
    <n v="0.75"/>
    <x v="2"/>
  </r>
  <r>
    <n v="1934"/>
    <x v="220"/>
    <d v="1899-12-30T17:06:00"/>
    <x v="69"/>
    <x v="0"/>
    <n v="30"/>
    <x v="1"/>
    <n v="1"/>
    <n v="500"/>
    <n v="150"/>
    <n v="500"/>
    <n v="350"/>
    <n v="0.7"/>
    <x v="4"/>
  </r>
  <r>
    <n v="270"/>
    <x v="75"/>
    <d v="1899-12-30T17:46:00"/>
    <x v="150"/>
    <x v="0"/>
    <n v="43"/>
    <x v="2"/>
    <n v="1"/>
    <n v="300"/>
    <n v="117"/>
    <n v="300"/>
    <n v="183"/>
    <n v="0.61"/>
    <x v="0"/>
  </r>
  <r>
    <n v="338"/>
    <x v="506"/>
    <d v="1899-12-30T21:26:00"/>
    <x v="50"/>
    <x v="0"/>
    <n v="54"/>
    <x v="1"/>
    <n v="2"/>
    <n v="50"/>
    <n v="20"/>
    <n v="100"/>
    <n v="80"/>
    <n v="0.8"/>
    <x v="1"/>
  </r>
  <r>
    <n v="543"/>
    <x v="32"/>
    <d v="1899-12-30T20:30:00"/>
    <x v="100"/>
    <x v="0"/>
    <n v="49"/>
    <x v="1"/>
    <n v="2"/>
    <n v="300"/>
    <n v="75"/>
    <n v="600"/>
    <n v="525"/>
    <n v="0.875"/>
    <x v="1"/>
  </r>
  <r>
    <n v="1270"/>
    <x v="90"/>
    <d v="1899-12-30T22:54:00"/>
    <x v="150"/>
    <x v="0"/>
    <n v="43"/>
    <x v="2"/>
    <n v="1"/>
    <n v="300"/>
    <n v="108"/>
    <n v="300"/>
    <n v="192"/>
    <n v="0.64"/>
    <x v="0"/>
  </r>
  <r>
    <n v="1338"/>
    <x v="563"/>
    <d v="1899-12-30T19:55:00"/>
    <x v="73"/>
    <x v="0"/>
    <n v="54"/>
    <x v="1"/>
    <n v="2"/>
    <n v="50"/>
    <n v="19"/>
    <n v="100"/>
    <n v="81"/>
    <n v="0.81"/>
    <x v="1"/>
  </r>
  <r>
    <n v="1543"/>
    <x v="56"/>
    <d v="1899-12-30T22:40:00"/>
    <x v="152"/>
    <x v="0"/>
    <n v="49"/>
    <x v="1"/>
    <n v="2"/>
    <n v="300"/>
    <n v="123"/>
    <n v="600"/>
    <n v="477"/>
    <n v="0.79500000000000004"/>
    <x v="1"/>
  </r>
  <r>
    <n v="557"/>
    <x v="574"/>
    <d v="1899-12-30T20:01:00"/>
    <x v="107"/>
    <x v="1"/>
    <n v="20"/>
    <x v="1"/>
    <n v="3"/>
    <n v="30"/>
    <n v="12.9"/>
    <n v="90"/>
    <n v="77.099999999999994"/>
    <n v="0.85666666666666658"/>
    <x v="3"/>
  </r>
  <r>
    <n v="702"/>
    <x v="575"/>
    <d v="1899-12-30T17:18:00"/>
    <x v="8"/>
    <x v="1"/>
    <n v="60"/>
    <x v="0"/>
    <n v="2"/>
    <n v="300"/>
    <n v="78"/>
    <n v="600"/>
    <n v="522"/>
    <n v="0.87"/>
    <x v="2"/>
  </r>
  <r>
    <n v="864"/>
    <x v="299"/>
    <d v="1899-12-30T22:16:00"/>
    <x v="78"/>
    <x v="1"/>
    <n v="51"/>
    <x v="2"/>
    <n v="1"/>
    <n v="500"/>
    <n v="215"/>
    <n v="500"/>
    <n v="285"/>
    <n v="0.56999999999999995"/>
    <x v="1"/>
  </r>
  <r>
    <n v="1557"/>
    <x v="132"/>
    <d v="1899-12-30T17:01:00"/>
    <x v="134"/>
    <x v="1"/>
    <n v="20"/>
    <x v="1"/>
    <n v="3"/>
    <n v="30"/>
    <n v="10.199999999999999"/>
    <n v="90"/>
    <n v="79.8"/>
    <n v="0.8866666666666666"/>
    <x v="3"/>
  </r>
  <r>
    <n v="1702"/>
    <x v="299"/>
    <d v="1899-12-30T21:54:00"/>
    <x v="13"/>
    <x v="1"/>
    <n v="60"/>
    <x v="0"/>
    <n v="2"/>
    <n v="300"/>
    <n v="87"/>
    <n v="600"/>
    <n v="513"/>
    <n v="0.85499999999999998"/>
    <x v="2"/>
  </r>
  <r>
    <n v="1864"/>
    <x v="371"/>
    <d v="1899-12-30T21:00:00"/>
    <x v="116"/>
    <x v="1"/>
    <n v="51"/>
    <x v="2"/>
    <n v="1"/>
    <n v="500"/>
    <n v="190"/>
    <n v="500"/>
    <n v="310"/>
    <n v="0.62"/>
    <x v="1"/>
  </r>
  <r>
    <n v="254"/>
    <x v="576"/>
    <d v="1899-12-30T22:45:00"/>
    <x v="74"/>
    <x v="0"/>
    <n v="41"/>
    <x v="2"/>
    <n v="1"/>
    <n v="500"/>
    <n v="165"/>
    <n v="500"/>
    <n v="335"/>
    <n v="0.67"/>
    <x v="0"/>
  </r>
  <r>
    <n v="295"/>
    <x v="577"/>
    <d v="1899-12-30T20:23:00"/>
    <x v="46"/>
    <x v="1"/>
    <n v="27"/>
    <x v="1"/>
    <n v="3"/>
    <n v="300"/>
    <n v="105"/>
    <n v="900"/>
    <n v="795"/>
    <n v="0.8833333333333333"/>
    <x v="4"/>
  </r>
  <r>
    <n v="457"/>
    <x v="578"/>
    <d v="1899-12-30T22:49:00"/>
    <x v="114"/>
    <x v="1"/>
    <n v="58"/>
    <x v="1"/>
    <n v="3"/>
    <n v="300"/>
    <n v="147"/>
    <n v="900"/>
    <n v="753"/>
    <n v="0.83666666666666667"/>
    <x v="2"/>
  </r>
  <r>
    <n v="668"/>
    <x v="579"/>
    <d v="1899-12-30T20:33:00"/>
    <x v="45"/>
    <x v="1"/>
    <n v="62"/>
    <x v="2"/>
    <n v="3"/>
    <n v="50"/>
    <n v="24.5"/>
    <n v="150"/>
    <n v="125.5"/>
    <n v="0.83666666666666667"/>
    <x v="2"/>
  </r>
  <r>
    <n v="850"/>
    <x v="308"/>
    <d v="1899-12-30T19:01:00"/>
    <x v="11"/>
    <x v="1"/>
    <n v="26"/>
    <x v="1"/>
    <n v="2"/>
    <n v="500"/>
    <n v="235"/>
    <n v="1000"/>
    <n v="765"/>
    <n v="0.76500000000000001"/>
    <x v="4"/>
  </r>
  <r>
    <n v="1254"/>
    <x v="284"/>
    <d v="1899-12-30T18:24:00"/>
    <x v="67"/>
    <x v="0"/>
    <n v="41"/>
    <x v="2"/>
    <n v="1"/>
    <n v="500"/>
    <n v="180"/>
    <n v="500"/>
    <n v="320"/>
    <n v="0.64"/>
    <x v="0"/>
  </r>
  <r>
    <n v="1295"/>
    <x v="580"/>
    <d v="1899-12-30T19:28:00"/>
    <x v="67"/>
    <x v="1"/>
    <n v="27"/>
    <x v="1"/>
    <n v="3"/>
    <n v="300"/>
    <n v="81"/>
    <n v="900"/>
    <n v="819"/>
    <n v="0.91"/>
    <x v="4"/>
  </r>
  <r>
    <n v="1457"/>
    <x v="478"/>
    <d v="1899-12-30T21:31:00"/>
    <x v="142"/>
    <x v="1"/>
    <n v="58"/>
    <x v="1"/>
    <n v="3"/>
    <n v="300"/>
    <n v="108"/>
    <n v="900"/>
    <n v="792"/>
    <n v="0.88"/>
    <x v="2"/>
  </r>
  <r>
    <n v="1668"/>
    <x v="463"/>
    <d v="1899-12-30T21:40:00"/>
    <x v="68"/>
    <x v="1"/>
    <n v="62"/>
    <x v="2"/>
    <n v="3"/>
    <n v="50"/>
    <n v="14"/>
    <n v="150"/>
    <n v="136"/>
    <n v="0.90666666666666662"/>
    <x v="2"/>
  </r>
  <r>
    <n v="1850"/>
    <x v="581"/>
    <d v="1899-12-30T20:44:00"/>
    <x v="153"/>
    <x v="1"/>
    <n v="26"/>
    <x v="1"/>
    <n v="2"/>
    <n v="500"/>
    <n v="240"/>
    <n v="1000"/>
    <n v="760"/>
    <n v="0.76"/>
    <x v="4"/>
  </r>
  <r>
    <n v="541"/>
    <x v="25"/>
    <d v="1899-12-30T18:37:00"/>
    <x v="49"/>
    <x v="0"/>
    <n v="56"/>
    <x v="1"/>
    <n v="1"/>
    <n v="500"/>
    <n v="215"/>
    <n v="500"/>
    <n v="285"/>
    <n v="0.56999999999999995"/>
    <x v="2"/>
  </r>
  <r>
    <n v="980"/>
    <x v="203"/>
    <d v="1899-12-30T19:51:00"/>
    <x v="33"/>
    <x v="1"/>
    <n v="31"/>
    <x v="2"/>
    <n v="3"/>
    <n v="25"/>
    <n v="12.5"/>
    <n v="75"/>
    <n v="62.5"/>
    <n v="0.83333333333333337"/>
    <x v="4"/>
  </r>
  <r>
    <n v="1541"/>
    <x v="582"/>
    <d v="1899-12-30T22:17:00"/>
    <x v="38"/>
    <x v="0"/>
    <n v="56"/>
    <x v="1"/>
    <n v="1"/>
    <n v="500"/>
    <n v="195"/>
    <n v="500"/>
    <n v="305"/>
    <n v="0.61"/>
    <x v="2"/>
  </r>
  <r>
    <n v="1980"/>
    <x v="306"/>
    <d v="1899-12-30T20:30:00"/>
    <x v="116"/>
    <x v="1"/>
    <n v="31"/>
    <x v="2"/>
    <n v="3"/>
    <n v="25"/>
    <n v="6.5"/>
    <n v="75"/>
    <n v="68.5"/>
    <n v="0.91333333333333333"/>
    <x v="4"/>
  </r>
  <r>
    <n v="262"/>
    <x v="372"/>
    <d v="1899-12-30T20:33:00"/>
    <x v="126"/>
    <x v="1"/>
    <n v="32"/>
    <x v="1"/>
    <n v="4"/>
    <n v="30"/>
    <n v="12.6"/>
    <n v="120"/>
    <n v="107.4"/>
    <n v="0.89500000000000002"/>
    <x v="4"/>
  </r>
  <r>
    <n v="467"/>
    <x v="164"/>
    <d v="1899-12-30T22:39:00"/>
    <x v="106"/>
    <x v="1"/>
    <n v="53"/>
    <x v="2"/>
    <n v="3"/>
    <n v="50"/>
    <n v="14.5"/>
    <n v="150"/>
    <n v="135.5"/>
    <n v="0.90333333333333332"/>
    <x v="1"/>
  </r>
  <r>
    <n v="1262"/>
    <x v="212"/>
    <d v="1899-12-30T20:33:00"/>
    <x v="102"/>
    <x v="1"/>
    <n v="32"/>
    <x v="1"/>
    <n v="4"/>
    <n v="30"/>
    <n v="8.4"/>
    <n v="120"/>
    <n v="111.6"/>
    <n v="0.92999999999999994"/>
    <x v="4"/>
  </r>
  <r>
    <n v="1467"/>
    <x v="572"/>
    <d v="1899-12-30T19:31:00"/>
    <x v="27"/>
    <x v="1"/>
    <n v="53"/>
    <x v="2"/>
    <n v="3"/>
    <n v="50"/>
    <n v="14"/>
    <n v="150"/>
    <n v="136"/>
    <n v="0.90666666666666662"/>
    <x v="1"/>
  </r>
  <r>
    <n v="463"/>
    <x v="312"/>
    <d v="1899-12-30T20:22:00"/>
    <x v="57"/>
    <x v="1"/>
    <n v="54"/>
    <x v="1"/>
    <n v="3"/>
    <n v="500"/>
    <n v="175"/>
    <n v="1500"/>
    <n v="1325"/>
    <n v="0.8833333333333333"/>
    <x v="1"/>
  </r>
  <r>
    <n v="1463"/>
    <x v="195"/>
    <d v="1899-12-30T19:45:00"/>
    <x v="20"/>
    <x v="1"/>
    <n v="54"/>
    <x v="1"/>
    <n v="3"/>
    <n v="500"/>
    <n v="170"/>
    <n v="1500"/>
    <n v="1330"/>
    <n v="0.88666666666666671"/>
    <x v="1"/>
  </r>
  <r>
    <n v="598"/>
    <x v="103"/>
    <d v="1899-12-30T17:02:00"/>
    <x v="79"/>
    <x v="0"/>
    <n v="37"/>
    <x v="1"/>
    <n v="4"/>
    <n v="30"/>
    <n v="11.1"/>
    <n v="120"/>
    <n v="108.9"/>
    <n v="0.90750000000000008"/>
    <x v="0"/>
  </r>
  <r>
    <n v="667"/>
    <x v="131"/>
    <d v="1899-12-30T18:46:00"/>
    <x v="47"/>
    <x v="1"/>
    <n v="29"/>
    <x v="2"/>
    <n v="1"/>
    <n v="500"/>
    <n v="190"/>
    <n v="500"/>
    <n v="310"/>
    <n v="0.62"/>
    <x v="4"/>
  </r>
  <r>
    <n v="672"/>
    <x v="522"/>
    <d v="1899-12-30T19:44:00"/>
    <x v="15"/>
    <x v="1"/>
    <n v="34"/>
    <x v="1"/>
    <n v="2"/>
    <n v="50"/>
    <n v="27.5"/>
    <n v="100"/>
    <n v="72.5"/>
    <n v="0.72499999999999998"/>
    <x v="4"/>
  </r>
  <r>
    <n v="1598"/>
    <x v="550"/>
    <d v="1899-12-30T19:17:00"/>
    <x v="149"/>
    <x v="0"/>
    <n v="37"/>
    <x v="1"/>
    <n v="4"/>
    <n v="30"/>
    <n v="9.9"/>
    <n v="120"/>
    <n v="110.1"/>
    <n v="0.91749999999999998"/>
    <x v="0"/>
  </r>
  <r>
    <n v="1667"/>
    <x v="114"/>
    <d v="1899-12-30T19:09:00"/>
    <x v="89"/>
    <x v="1"/>
    <n v="29"/>
    <x v="2"/>
    <n v="1"/>
    <n v="500"/>
    <n v="125"/>
    <n v="500"/>
    <n v="375"/>
    <n v="0.75"/>
    <x v="4"/>
  </r>
  <r>
    <n v="1672"/>
    <x v="583"/>
    <d v="1899-12-30T22:34:00"/>
    <x v="90"/>
    <x v="1"/>
    <n v="34"/>
    <x v="1"/>
    <n v="2"/>
    <n v="50"/>
    <n v="15.5"/>
    <n v="100"/>
    <n v="84.5"/>
    <n v="0.84499999999999997"/>
    <x v="4"/>
  </r>
  <r>
    <n v="949"/>
    <x v="440"/>
    <d v="1899-12-30T20:28:00"/>
    <x v="103"/>
    <x v="1"/>
    <n v="41"/>
    <x v="2"/>
    <n v="2"/>
    <n v="25"/>
    <n v="9"/>
    <n v="50"/>
    <n v="41"/>
    <n v="0.82"/>
    <x v="0"/>
  </r>
  <r>
    <n v="1949"/>
    <x v="494"/>
    <d v="1899-12-30T20:24:00"/>
    <x v="101"/>
    <x v="1"/>
    <n v="41"/>
    <x v="2"/>
    <n v="2"/>
    <n v="25"/>
    <n v="12.5"/>
    <n v="50"/>
    <n v="37.5"/>
    <n v="0.75"/>
    <x v="0"/>
  </r>
  <r>
    <n v="27"/>
    <x v="393"/>
    <d v="1899-12-30T19:44:00"/>
    <x v="49"/>
    <x v="1"/>
    <n v="38"/>
    <x v="1"/>
    <n v="2"/>
    <n v="25"/>
    <n v="8.25"/>
    <n v="50"/>
    <n v="41.75"/>
    <n v="0.83499999999999996"/>
    <x v="0"/>
  </r>
  <r>
    <n v="347"/>
    <x v="60"/>
    <d v="1899-12-30T19:31:00"/>
    <x v="86"/>
    <x v="0"/>
    <n v="42"/>
    <x v="2"/>
    <n v="1"/>
    <n v="25"/>
    <n v="7"/>
    <n v="25"/>
    <n v="18"/>
    <n v="0.72"/>
    <x v="0"/>
  </r>
  <r>
    <n v="687"/>
    <x v="54"/>
    <d v="1899-12-30T17:14:00"/>
    <x v="67"/>
    <x v="1"/>
    <n v="53"/>
    <x v="2"/>
    <n v="1"/>
    <n v="300"/>
    <n v="150"/>
    <n v="300"/>
    <n v="150"/>
    <n v="0.5"/>
    <x v="1"/>
  </r>
  <r>
    <n v="1027"/>
    <x v="584"/>
    <d v="1899-12-30T21:00:00"/>
    <x v="135"/>
    <x v="1"/>
    <n v="38"/>
    <x v="1"/>
    <n v="2"/>
    <n v="25"/>
    <n v="7.5"/>
    <n v="50"/>
    <n v="42.5"/>
    <n v="0.85"/>
    <x v="0"/>
  </r>
  <r>
    <n v="1347"/>
    <x v="549"/>
    <d v="1899-12-30T21:55:00"/>
    <x v="79"/>
    <x v="0"/>
    <n v="42"/>
    <x v="2"/>
    <n v="1"/>
    <n v="25"/>
    <n v="13"/>
    <n v="25"/>
    <n v="12"/>
    <n v="0.48"/>
    <x v="0"/>
  </r>
  <r>
    <n v="1687"/>
    <x v="430"/>
    <d v="1899-12-30T22:27:00"/>
    <x v="13"/>
    <x v="1"/>
    <n v="53"/>
    <x v="2"/>
    <n v="1"/>
    <n v="300"/>
    <n v="81"/>
    <n v="300"/>
    <n v="219"/>
    <n v="0.73"/>
    <x v="1"/>
  </r>
  <r>
    <n v="549"/>
    <x v="544"/>
    <d v="1899-12-30T19:39:00"/>
    <x v="43"/>
    <x v="1"/>
    <n v="50"/>
    <x v="1"/>
    <n v="2"/>
    <n v="50"/>
    <n v="12.5"/>
    <n v="100"/>
    <n v="87.5"/>
    <n v="0.875"/>
    <x v="1"/>
  </r>
  <r>
    <n v="675"/>
    <x v="237"/>
    <d v="1899-12-30T18:10:00"/>
    <x v="86"/>
    <x v="1"/>
    <n v="45"/>
    <x v="0"/>
    <n v="2"/>
    <n v="30"/>
    <n v="15.9"/>
    <n v="60"/>
    <n v="44.1"/>
    <n v="0.73499999999999999"/>
    <x v="0"/>
  </r>
  <r>
    <n v="730"/>
    <x v="120"/>
    <d v="1899-12-30T19:38:00"/>
    <x v="135"/>
    <x v="1"/>
    <n v="36"/>
    <x v="0"/>
    <n v="2"/>
    <n v="25"/>
    <n v="13.25"/>
    <n v="50"/>
    <n v="36.75"/>
    <n v="0.73499999999999999"/>
    <x v="0"/>
  </r>
  <r>
    <n v="798"/>
    <x v="248"/>
    <d v="1899-12-30T21:19:00"/>
    <x v="152"/>
    <x v="0"/>
    <n v="61"/>
    <x v="0"/>
    <n v="1"/>
    <n v="50"/>
    <n v="15"/>
    <n v="50"/>
    <n v="35"/>
    <n v="0.7"/>
    <x v="2"/>
  </r>
  <r>
    <n v="1549"/>
    <x v="223"/>
    <d v="1899-12-30T19:25:00"/>
    <x v="136"/>
    <x v="1"/>
    <n v="50"/>
    <x v="1"/>
    <n v="2"/>
    <n v="50"/>
    <n v="14.5"/>
    <n v="100"/>
    <n v="85.5"/>
    <n v="0.85499999999999998"/>
    <x v="1"/>
  </r>
  <r>
    <n v="1675"/>
    <x v="105"/>
    <d v="1899-12-30T19:55:00"/>
    <x v="53"/>
    <x v="1"/>
    <n v="45"/>
    <x v="0"/>
    <n v="2"/>
    <n v="30"/>
    <n v="16.2"/>
    <n v="60"/>
    <n v="43.8"/>
    <n v="0.73"/>
    <x v="0"/>
  </r>
  <r>
    <n v="1730"/>
    <x v="357"/>
    <d v="1899-12-30T19:17:00"/>
    <x v="31"/>
    <x v="1"/>
    <n v="36"/>
    <x v="0"/>
    <n v="2"/>
    <n v="25"/>
    <n v="10.75"/>
    <n v="50"/>
    <n v="39.25"/>
    <n v="0.78500000000000003"/>
    <x v="0"/>
  </r>
  <r>
    <n v="1798"/>
    <x v="292"/>
    <d v="1899-12-30T20:26:00"/>
    <x v="131"/>
    <x v="0"/>
    <n v="61"/>
    <x v="0"/>
    <n v="1"/>
    <n v="50"/>
    <n v="20"/>
    <n v="50"/>
    <n v="30"/>
    <n v="0.6"/>
    <x v="2"/>
  </r>
  <r>
    <n v="13"/>
    <x v="585"/>
    <d v="1899-12-30T17:43:00"/>
    <x v="83"/>
    <x v="0"/>
    <n v="22"/>
    <x v="2"/>
    <n v="3"/>
    <n v="500"/>
    <n v="245"/>
    <n v="1500"/>
    <n v="1255"/>
    <n v="0.83666666666666667"/>
    <x v="3"/>
  </r>
  <r>
    <n v="35"/>
    <x v="141"/>
    <d v="1899-12-30T17:30:00"/>
    <x v="80"/>
    <x v="1"/>
    <n v="58"/>
    <x v="1"/>
    <n v="3"/>
    <n v="300"/>
    <n v="126"/>
    <n v="900"/>
    <n v="774"/>
    <n v="0.86"/>
    <x v="2"/>
  </r>
  <r>
    <n v="140"/>
    <x v="586"/>
    <d v="1899-12-30T20:20:00"/>
    <x v="63"/>
    <x v="0"/>
    <n v="38"/>
    <x v="2"/>
    <n v="1"/>
    <n v="30"/>
    <n v="14.4"/>
    <n v="30"/>
    <n v="15.6"/>
    <n v="0.52"/>
    <x v="0"/>
  </r>
  <r>
    <n v="206"/>
    <x v="35"/>
    <d v="1899-12-30T18:18:00"/>
    <x v="73"/>
    <x v="0"/>
    <n v="61"/>
    <x v="0"/>
    <n v="1"/>
    <n v="25"/>
    <n v="11.75"/>
    <n v="25"/>
    <n v="13.25"/>
    <n v="0.53"/>
    <x v="2"/>
  </r>
  <r>
    <n v="261"/>
    <x v="500"/>
    <d v="1899-12-30T17:48:00"/>
    <x v="24"/>
    <x v="0"/>
    <n v="21"/>
    <x v="0"/>
    <n v="2"/>
    <n v="25"/>
    <n v="8.25"/>
    <n v="50"/>
    <n v="41.75"/>
    <n v="0.83499999999999996"/>
    <x v="3"/>
  </r>
  <r>
    <n v="279"/>
    <x v="244"/>
    <d v="1899-12-30T17:29:00"/>
    <x v="114"/>
    <x v="0"/>
    <n v="50"/>
    <x v="0"/>
    <n v="1"/>
    <n v="500"/>
    <n v="210"/>
    <n v="500"/>
    <n v="290"/>
    <n v="0.57999999999999996"/>
    <x v="1"/>
  </r>
  <r>
    <n v="308"/>
    <x v="556"/>
    <d v="1899-12-30T19:12:00"/>
    <x v="25"/>
    <x v="1"/>
    <n v="34"/>
    <x v="1"/>
    <n v="4"/>
    <n v="300"/>
    <n v="126"/>
    <n v="1200"/>
    <n v="1074"/>
    <n v="0.89500000000000002"/>
    <x v="4"/>
  </r>
  <r>
    <n v="418"/>
    <x v="18"/>
    <d v="1899-12-30T18:05:00"/>
    <x v="109"/>
    <x v="1"/>
    <n v="60"/>
    <x v="2"/>
    <n v="2"/>
    <n v="500"/>
    <n v="155"/>
    <n v="1000"/>
    <n v="845"/>
    <n v="0.84499999999999997"/>
    <x v="2"/>
  </r>
  <r>
    <n v="1013"/>
    <x v="16"/>
    <d v="1899-12-30T19:38:00"/>
    <x v="91"/>
    <x v="0"/>
    <n v="22"/>
    <x v="2"/>
    <n v="3"/>
    <n v="500"/>
    <n v="200"/>
    <n v="1500"/>
    <n v="1300"/>
    <n v="0.8666666666666667"/>
    <x v="3"/>
  </r>
  <r>
    <n v="1035"/>
    <x v="376"/>
    <d v="1899-12-30T21:56:00"/>
    <x v="1"/>
    <x v="1"/>
    <n v="58"/>
    <x v="1"/>
    <n v="3"/>
    <n v="300"/>
    <n v="105"/>
    <n v="900"/>
    <n v="795"/>
    <n v="0.8833333333333333"/>
    <x v="2"/>
  </r>
  <r>
    <n v="1140"/>
    <x v="587"/>
    <d v="1899-12-30T19:26:00"/>
    <x v="153"/>
    <x v="0"/>
    <n v="38"/>
    <x v="2"/>
    <n v="1"/>
    <n v="30"/>
    <n v="15.9"/>
    <n v="30"/>
    <n v="14.1"/>
    <n v="0.47"/>
    <x v="0"/>
  </r>
  <r>
    <n v="1206"/>
    <x v="422"/>
    <d v="1899-12-30T19:45:00"/>
    <x v="22"/>
    <x v="0"/>
    <n v="61"/>
    <x v="0"/>
    <n v="1"/>
    <n v="25"/>
    <n v="8.5"/>
    <n v="25"/>
    <n v="16.5"/>
    <n v="0.66"/>
    <x v="2"/>
  </r>
  <r>
    <n v="1261"/>
    <x v="588"/>
    <d v="1899-12-30T21:19:00"/>
    <x v="31"/>
    <x v="0"/>
    <n v="21"/>
    <x v="0"/>
    <n v="2"/>
    <n v="25"/>
    <n v="6.25"/>
    <n v="50"/>
    <n v="43.75"/>
    <n v="0.875"/>
    <x v="3"/>
  </r>
  <r>
    <n v="1279"/>
    <x v="163"/>
    <d v="1899-12-30T22:55:00"/>
    <x v="31"/>
    <x v="0"/>
    <n v="50"/>
    <x v="0"/>
    <n v="1"/>
    <n v="500"/>
    <n v="170"/>
    <n v="500"/>
    <n v="330"/>
    <n v="0.66"/>
    <x v="1"/>
  </r>
  <r>
    <n v="1308"/>
    <x v="228"/>
    <d v="1899-12-30T22:39:00"/>
    <x v="147"/>
    <x v="1"/>
    <n v="34"/>
    <x v="1"/>
    <n v="4"/>
    <n v="300"/>
    <n v="150"/>
    <n v="1200"/>
    <n v="1050"/>
    <n v="0.875"/>
    <x v="4"/>
  </r>
  <r>
    <n v="1418"/>
    <x v="70"/>
    <d v="1899-12-30T18:19:00"/>
    <x v="22"/>
    <x v="1"/>
    <n v="60"/>
    <x v="2"/>
    <n v="2"/>
    <n v="500"/>
    <n v="215"/>
    <n v="1000"/>
    <n v="785"/>
    <n v="0.78500000000000003"/>
    <x v="2"/>
  </r>
  <r>
    <n v="612"/>
    <x v="126"/>
    <d v="1899-12-30T19:06:00"/>
    <x v="29"/>
    <x v="1"/>
    <n v="61"/>
    <x v="2"/>
    <n v="1"/>
    <n v="500"/>
    <n v="235"/>
    <n v="500"/>
    <n v="265"/>
    <n v="0.53"/>
    <x v="2"/>
  </r>
  <r>
    <n v="875"/>
    <x v="226"/>
    <d v="1899-12-30T21:47:00"/>
    <x v="110"/>
    <x v="1"/>
    <n v="51"/>
    <x v="2"/>
    <n v="4"/>
    <n v="500"/>
    <n v="135"/>
    <n v="2000"/>
    <n v="1865"/>
    <n v="0.9325"/>
    <x v="1"/>
  </r>
  <r>
    <n v="1612"/>
    <x v="14"/>
    <d v="1899-12-30T21:14:00"/>
    <x v="142"/>
    <x v="1"/>
    <n v="61"/>
    <x v="2"/>
    <n v="1"/>
    <n v="500"/>
    <n v="230"/>
    <n v="500"/>
    <n v="270"/>
    <n v="0.54"/>
    <x v="2"/>
  </r>
  <r>
    <n v="1875"/>
    <x v="589"/>
    <d v="1899-12-30T22:42:00"/>
    <x v="128"/>
    <x v="1"/>
    <n v="51"/>
    <x v="2"/>
    <n v="4"/>
    <n v="500"/>
    <n v="165"/>
    <n v="2000"/>
    <n v="1835"/>
    <n v="0.91749999999999998"/>
    <x v="1"/>
  </r>
  <r>
    <n v="430"/>
    <x v="266"/>
    <d v="1899-12-30T18:36:00"/>
    <x v="151"/>
    <x v="1"/>
    <n v="43"/>
    <x v="2"/>
    <n v="3"/>
    <n v="300"/>
    <n v="153"/>
    <n v="900"/>
    <n v="747"/>
    <n v="0.83"/>
    <x v="0"/>
  </r>
  <r>
    <n v="633"/>
    <x v="232"/>
    <d v="1899-12-30T22:20:00"/>
    <x v="137"/>
    <x v="0"/>
    <n v="39"/>
    <x v="1"/>
    <n v="4"/>
    <n v="30"/>
    <n v="12.3"/>
    <n v="120"/>
    <n v="107.7"/>
    <n v="0.89750000000000008"/>
    <x v="0"/>
  </r>
  <r>
    <n v="1430"/>
    <x v="415"/>
    <d v="1899-12-30T18:25:00"/>
    <x v="47"/>
    <x v="1"/>
    <n v="43"/>
    <x v="2"/>
    <n v="3"/>
    <n v="300"/>
    <n v="132"/>
    <n v="900"/>
    <n v="768"/>
    <n v="0.85333333333333339"/>
    <x v="0"/>
  </r>
  <r>
    <n v="1633"/>
    <x v="123"/>
    <d v="1899-12-30T18:18:00"/>
    <x v="53"/>
    <x v="0"/>
    <n v="39"/>
    <x v="1"/>
    <n v="4"/>
    <n v="30"/>
    <n v="11.4"/>
    <n v="120"/>
    <n v="108.6"/>
    <n v="0.90499999999999992"/>
    <x v="0"/>
  </r>
  <r>
    <n v="125"/>
    <x v="31"/>
    <d v="1899-12-30T18:48:00"/>
    <x v="14"/>
    <x v="0"/>
    <n v="48"/>
    <x v="0"/>
    <n v="2"/>
    <n v="50"/>
    <n v="19"/>
    <n v="100"/>
    <n v="81"/>
    <n v="0.81"/>
    <x v="1"/>
  </r>
  <r>
    <n v="716"/>
    <x v="572"/>
    <d v="1899-12-30T19:51:00"/>
    <x v="14"/>
    <x v="1"/>
    <n v="60"/>
    <x v="0"/>
    <n v="4"/>
    <n v="300"/>
    <n v="108"/>
    <n v="1200"/>
    <n v="1092"/>
    <n v="0.91"/>
    <x v="2"/>
  </r>
  <r>
    <n v="790"/>
    <x v="363"/>
    <d v="1899-12-30T20:47:00"/>
    <x v="65"/>
    <x v="0"/>
    <n v="62"/>
    <x v="0"/>
    <n v="1"/>
    <n v="25"/>
    <n v="9.25"/>
    <n v="25"/>
    <n v="15.75"/>
    <n v="0.63"/>
    <x v="2"/>
  </r>
  <r>
    <n v="960"/>
    <x v="489"/>
    <d v="1899-12-30T19:01:00"/>
    <x v="110"/>
    <x v="0"/>
    <n v="59"/>
    <x v="0"/>
    <n v="2"/>
    <n v="30"/>
    <n v="14.4"/>
    <n v="60"/>
    <n v="45.6"/>
    <n v="0.76"/>
    <x v="2"/>
  </r>
  <r>
    <n v="1125"/>
    <x v="395"/>
    <d v="1899-12-30T17:51:00"/>
    <x v="154"/>
    <x v="0"/>
    <n v="48"/>
    <x v="0"/>
    <n v="2"/>
    <n v="50"/>
    <n v="21.5"/>
    <n v="100"/>
    <n v="78.5"/>
    <n v="0.78500000000000003"/>
    <x v="1"/>
  </r>
  <r>
    <n v="1716"/>
    <x v="41"/>
    <d v="1899-12-30T19:16:00"/>
    <x v="49"/>
    <x v="1"/>
    <n v="60"/>
    <x v="0"/>
    <n v="4"/>
    <n v="300"/>
    <n v="87"/>
    <n v="1200"/>
    <n v="1113"/>
    <n v="0.92749999999999999"/>
    <x v="2"/>
  </r>
  <r>
    <n v="1790"/>
    <x v="422"/>
    <d v="1899-12-30T20:52:00"/>
    <x v="33"/>
    <x v="0"/>
    <n v="62"/>
    <x v="0"/>
    <n v="1"/>
    <n v="25"/>
    <n v="7.5"/>
    <n v="25"/>
    <n v="17.5"/>
    <n v="0.7"/>
    <x v="2"/>
  </r>
  <r>
    <n v="1960"/>
    <x v="209"/>
    <d v="1899-12-30T22:04:00"/>
    <x v="26"/>
    <x v="0"/>
    <n v="59"/>
    <x v="0"/>
    <n v="2"/>
    <n v="30"/>
    <n v="13.2"/>
    <n v="60"/>
    <n v="46.8"/>
    <n v="0.77999999999999992"/>
    <x v="2"/>
  </r>
  <r>
    <n v="259"/>
    <x v="590"/>
    <d v="1899-12-30T20:26:00"/>
    <x v="108"/>
    <x v="1"/>
    <n v="45"/>
    <x v="0"/>
    <n v="4"/>
    <n v="50"/>
    <n v="22.5"/>
    <n v="200"/>
    <n v="177.5"/>
    <n v="0.88749999999999996"/>
    <x v="0"/>
  </r>
  <r>
    <n v="443"/>
    <x v="591"/>
    <d v="1899-12-30T20:25:00"/>
    <x v="20"/>
    <x v="0"/>
    <n v="29"/>
    <x v="0"/>
    <n v="2"/>
    <n v="300"/>
    <n v="114"/>
    <n v="600"/>
    <n v="486"/>
    <n v="0.81"/>
    <x v="4"/>
  </r>
  <r>
    <n v="529"/>
    <x v="504"/>
    <d v="1899-12-30T17:43:00"/>
    <x v="92"/>
    <x v="1"/>
    <n v="35"/>
    <x v="0"/>
    <n v="3"/>
    <n v="50"/>
    <n v="20.5"/>
    <n v="150"/>
    <n v="129.5"/>
    <n v="0.86333333333333329"/>
    <x v="4"/>
  </r>
  <r>
    <n v="563"/>
    <x v="161"/>
    <d v="1899-12-30T18:40:00"/>
    <x v="16"/>
    <x v="0"/>
    <n v="20"/>
    <x v="0"/>
    <n v="2"/>
    <n v="30"/>
    <n v="16.2"/>
    <n v="60"/>
    <n v="43.8"/>
    <n v="0.73"/>
    <x v="3"/>
  </r>
  <r>
    <n v="1259"/>
    <x v="544"/>
    <d v="1899-12-30T17:31:00"/>
    <x v="101"/>
    <x v="1"/>
    <n v="45"/>
    <x v="0"/>
    <n v="4"/>
    <n v="50"/>
    <n v="21"/>
    <n v="200"/>
    <n v="179"/>
    <n v="0.89500000000000002"/>
    <x v="0"/>
  </r>
  <r>
    <n v="1443"/>
    <x v="221"/>
    <d v="1899-12-30T19:37:00"/>
    <x v="81"/>
    <x v="0"/>
    <n v="29"/>
    <x v="0"/>
    <n v="2"/>
    <n v="300"/>
    <n v="147"/>
    <n v="600"/>
    <n v="453"/>
    <n v="0.755"/>
    <x v="4"/>
  </r>
  <r>
    <n v="1529"/>
    <x v="70"/>
    <d v="1899-12-30T22:38:00"/>
    <x v="101"/>
    <x v="1"/>
    <n v="35"/>
    <x v="0"/>
    <n v="3"/>
    <n v="50"/>
    <n v="17"/>
    <n v="150"/>
    <n v="133"/>
    <n v="0.88666666666666671"/>
    <x v="4"/>
  </r>
  <r>
    <n v="1563"/>
    <x v="94"/>
    <d v="1899-12-30T17:44:00"/>
    <x v="47"/>
    <x v="0"/>
    <n v="20"/>
    <x v="0"/>
    <n v="2"/>
    <n v="30"/>
    <n v="15.3"/>
    <n v="60"/>
    <n v="44.7"/>
    <n v="0.745"/>
    <x v="3"/>
  </r>
  <r>
    <n v="801"/>
    <x v="131"/>
    <d v="1899-12-30T17:14:00"/>
    <x v="129"/>
    <x v="0"/>
    <n v="21"/>
    <x v="0"/>
    <n v="4"/>
    <n v="50"/>
    <n v="19"/>
    <n v="200"/>
    <n v="181"/>
    <n v="0.90500000000000003"/>
    <x v="3"/>
  </r>
  <r>
    <n v="1801"/>
    <x v="188"/>
    <d v="1899-12-30T22:01:00"/>
    <x v="121"/>
    <x v="0"/>
    <n v="21"/>
    <x v="0"/>
    <n v="4"/>
    <n v="50"/>
    <n v="13.5"/>
    <n v="200"/>
    <n v="186.5"/>
    <n v="0.9325"/>
    <x v="3"/>
  </r>
  <r>
    <n v="160"/>
    <x v="178"/>
    <d v="1899-12-30T17:08:00"/>
    <x v="102"/>
    <x v="1"/>
    <n v="43"/>
    <x v="0"/>
    <n v="2"/>
    <n v="50"/>
    <n v="26.5"/>
    <n v="100"/>
    <n v="73.5"/>
    <n v="0.73499999999999999"/>
    <x v="0"/>
  </r>
  <r>
    <n v="508"/>
    <x v="592"/>
    <d v="1899-12-30T22:52:00"/>
    <x v="120"/>
    <x v="0"/>
    <n v="58"/>
    <x v="1"/>
    <n v="2"/>
    <n v="300"/>
    <n v="123"/>
    <n v="600"/>
    <n v="477"/>
    <n v="0.79500000000000004"/>
    <x v="2"/>
  </r>
  <r>
    <n v="807"/>
    <x v="505"/>
    <d v="1899-12-30T19:49:00"/>
    <x v="147"/>
    <x v="1"/>
    <n v="50"/>
    <x v="2"/>
    <n v="4"/>
    <n v="50"/>
    <n v="15.5"/>
    <n v="200"/>
    <n v="184.5"/>
    <n v="0.92249999999999999"/>
    <x v="1"/>
  </r>
  <r>
    <n v="1160"/>
    <x v="332"/>
    <d v="1899-12-30T19:20:00"/>
    <x v="101"/>
    <x v="1"/>
    <n v="43"/>
    <x v="0"/>
    <n v="2"/>
    <n v="50"/>
    <n v="14"/>
    <n v="100"/>
    <n v="86"/>
    <n v="0.86"/>
    <x v="0"/>
  </r>
  <r>
    <n v="1508"/>
    <x v="8"/>
    <d v="1899-12-30T20:32:00"/>
    <x v="52"/>
    <x v="0"/>
    <n v="58"/>
    <x v="1"/>
    <n v="2"/>
    <n v="300"/>
    <n v="81"/>
    <n v="600"/>
    <n v="519"/>
    <n v="0.86499999999999999"/>
    <x v="2"/>
  </r>
  <r>
    <n v="1807"/>
    <x v="132"/>
    <d v="1899-12-30T22:15:00"/>
    <x v="143"/>
    <x v="1"/>
    <n v="50"/>
    <x v="2"/>
    <n v="4"/>
    <n v="50"/>
    <n v="22"/>
    <n v="200"/>
    <n v="178"/>
    <n v="0.89"/>
    <x v="1"/>
  </r>
  <r>
    <n v="511"/>
    <x v="593"/>
    <d v="1899-12-30T18:19:00"/>
    <x v="82"/>
    <x v="0"/>
    <n v="45"/>
    <x v="1"/>
    <n v="2"/>
    <n v="50"/>
    <n v="24.5"/>
    <n v="100"/>
    <n v="75.5"/>
    <n v="0.755"/>
    <x v="0"/>
  </r>
  <r>
    <n v="521"/>
    <x v="594"/>
    <d v="1899-12-30T19:56:00"/>
    <x v="138"/>
    <x v="1"/>
    <n v="47"/>
    <x v="0"/>
    <n v="4"/>
    <n v="30"/>
    <n v="8.6999999999999993"/>
    <n v="120"/>
    <n v="111.3"/>
    <n v="0.92749999999999999"/>
    <x v="1"/>
  </r>
  <r>
    <n v="695"/>
    <x v="58"/>
    <d v="1899-12-30T22:12:00"/>
    <x v="1"/>
    <x v="1"/>
    <n v="22"/>
    <x v="2"/>
    <n v="3"/>
    <n v="50"/>
    <n v="21"/>
    <n v="150"/>
    <n v="129"/>
    <n v="0.86"/>
    <x v="3"/>
  </r>
  <r>
    <n v="816"/>
    <x v="574"/>
    <d v="1899-12-30T19:29:00"/>
    <x v="138"/>
    <x v="0"/>
    <n v="47"/>
    <x v="1"/>
    <n v="2"/>
    <n v="500"/>
    <n v="240"/>
    <n v="1000"/>
    <n v="760"/>
    <n v="0.76"/>
    <x v="1"/>
  </r>
  <r>
    <n v="1511"/>
    <x v="595"/>
    <d v="1899-12-30T21:36:00"/>
    <x v="117"/>
    <x v="0"/>
    <n v="45"/>
    <x v="1"/>
    <n v="2"/>
    <n v="50"/>
    <n v="13.5"/>
    <n v="100"/>
    <n v="86.5"/>
    <n v="0.86499999999999999"/>
    <x v="0"/>
  </r>
  <r>
    <n v="1521"/>
    <x v="479"/>
    <d v="1899-12-30T19:08:00"/>
    <x v="126"/>
    <x v="1"/>
    <n v="47"/>
    <x v="0"/>
    <n v="4"/>
    <n v="30"/>
    <n v="12.9"/>
    <n v="120"/>
    <n v="107.1"/>
    <n v="0.89249999999999996"/>
    <x v="1"/>
  </r>
  <r>
    <n v="1695"/>
    <x v="483"/>
    <d v="1899-12-30T20:51:00"/>
    <x v="3"/>
    <x v="1"/>
    <n v="22"/>
    <x v="2"/>
    <n v="3"/>
    <n v="50"/>
    <n v="23"/>
    <n v="150"/>
    <n v="127"/>
    <n v="0.84666666666666668"/>
    <x v="3"/>
  </r>
  <r>
    <n v="1816"/>
    <x v="579"/>
    <d v="1899-12-30T22:30:00"/>
    <x v="1"/>
    <x v="0"/>
    <n v="47"/>
    <x v="1"/>
    <n v="2"/>
    <n v="500"/>
    <n v="245"/>
    <n v="1000"/>
    <n v="755"/>
    <n v="0.755"/>
    <x v="1"/>
  </r>
  <r>
    <n v="217"/>
    <x v="92"/>
    <d v="1899-12-30T17:01:00"/>
    <x v="23"/>
    <x v="1"/>
    <n v="35"/>
    <x v="2"/>
    <n v="4"/>
    <n v="50"/>
    <n v="26.5"/>
    <n v="200"/>
    <n v="173.5"/>
    <n v="0.86750000000000005"/>
    <x v="4"/>
  </r>
  <r>
    <n v="384"/>
    <x v="158"/>
    <d v="1899-12-30T19:53:00"/>
    <x v="102"/>
    <x v="0"/>
    <n v="55"/>
    <x v="0"/>
    <n v="1"/>
    <n v="500"/>
    <n v="145"/>
    <n v="500"/>
    <n v="355"/>
    <n v="0.71"/>
    <x v="1"/>
  </r>
  <r>
    <n v="1217"/>
    <x v="285"/>
    <d v="1899-12-30T19:28:00"/>
    <x v="118"/>
    <x v="1"/>
    <n v="35"/>
    <x v="2"/>
    <n v="4"/>
    <n v="50"/>
    <n v="18"/>
    <n v="200"/>
    <n v="182"/>
    <n v="0.91"/>
    <x v="4"/>
  </r>
  <r>
    <n v="1384"/>
    <x v="596"/>
    <d v="1899-12-30T20:23:00"/>
    <x v="83"/>
    <x v="0"/>
    <n v="55"/>
    <x v="0"/>
    <n v="1"/>
    <n v="500"/>
    <n v="260"/>
    <n v="500"/>
    <n v="240"/>
    <n v="0.48"/>
    <x v="1"/>
  </r>
  <r>
    <n v="648"/>
    <x v="362"/>
    <d v="1899-12-30T18:13:00"/>
    <x v="51"/>
    <x v="0"/>
    <n v="53"/>
    <x v="1"/>
    <n v="4"/>
    <n v="300"/>
    <n v="138"/>
    <n v="1200"/>
    <n v="1062"/>
    <n v="0.88500000000000001"/>
    <x v="1"/>
  </r>
  <r>
    <n v="926"/>
    <x v="340"/>
    <d v="1899-12-30T22:53:00"/>
    <x v="132"/>
    <x v="0"/>
    <n v="22"/>
    <x v="2"/>
    <n v="1"/>
    <n v="30"/>
    <n v="15.6"/>
    <n v="30"/>
    <n v="14.4"/>
    <n v="0.48000000000000004"/>
    <x v="3"/>
  </r>
  <r>
    <n v="1648"/>
    <x v="497"/>
    <d v="1899-12-30T17:18:00"/>
    <x v="24"/>
    <x v="0"/>
    <n v="53"/>
    <x v="1"/>
    <n v="4"/>
    <n v="300"/>
    <n v="87"/>
    <n v="1200"/>
    <n v="1113"/>
    <n v="0.92749999999999999"/>
    <x v="1"/>
  </r>
  <r>
    <n v="1926"/>
    <x v="597"/>
    <d v="1899-12-30T20:22:00"/>
    <x v="119"/>
    <x v="0"/>
    <n v="22"/>
    <x v="2"/>
    <n v="1"/>
    <n v="30"/>
    <n v="9.6"/>
    <n v="30"/>
    <n v="20.399999999999999"/>
    <n v="0.67999999999999994"/>
    <x v="3"/>
  </r>
  <r>
    <n v="285"/>
    <x v="247"/>
    <d v="1899-12-30T18:14:00"/>
    <x v="122"/>
    <x v="1"/>
    <n v="31"/>
    <x v="2"/>
    <n v="1"/>
    <n v="25"/>
    <n v="13.5"/>
    <n v="25"/>
    <n v="11.5"/>
    <n v="0.46"/>
    <x v="4"/>
  </r>
  <r>
    <n v="427"/>
    <x v="416"/>
    <d v="1899-12-30T21:26:00"/>
    <x v="10"/>
    <x v="0"/>
    <n v="25"/>
    <x v="2"/>
    <n v="1"/>
    <n v="25"/>
    <n v="11.75"/>
    <n v="25"/>
    <n v="13.25"/>
    <n v="0.53"/>
    <x v="3"/>
  </r>
  <r>
    <n v="569"/>
    <x v="185"/>
    <d v="1899-12-30T20:49:00"/>
    <x v="68"/>
    <x v="0"/>
    <n v="52"/>
    <x v="2"/>
    <n v="4"/>
    <n v="50"/>
    <n v="19"/>
    <n v="200"/>
    <n v="181"/>
    <n v="0.90500000000000003"/>
    <x v="1"/>
  </r>
  <r>
    <n v="570"/>
    <x v="176"/>
    <d v="1899-12-30T22:53:00"/>
    <x v="147"/>
    <x v="0"/>
    <n v="49"/>
    <x v="0"/>
    <n v="1"/>
    <n v="500"/>
    <n v="185"/>
    <n v="500"/>
    <n v="315"/>
    <n v="0.63"/>
    <x v="1"/>
  </r>
  <r>
    <n v="630"/>
    <x v="438"/>
    <d v="1899-12-30T17:29:00"/>
    <x v="30"/>
    <x v="0"/>
    <n v="42"/>
    <x v="0"/>
    <n v="2"/>
    <n v="50"/>
    <n v="25.5"/>
    <n v="100"/>
    <n v="74.5"/>
    <n v="0.745"/>
    <x v="0"/>
  </r>
  <r>
    <n v="957"/>
    <x v="228"/>
    <d v="1899-12-30T19:00:00"/>
    <x v="101"/>
    <x v="1"/>
    <n v="60"/>
    <x v="2"/>
    <n v="4"/>
    <n v="30"/>
    <n v="9.3000000000000007"/>
    <n v="120"/>
    <n v="110.7"/>
    <n v="0.92249999999999999"/>
    <x v="2"/>
  </r>
  <r>
    <n v="1285"/>
    <x v="437"/>
    <d v="1899-12-30T21:55:00"/>
    <x v="25"/>
    <x v="1"/>
    <n v="31"/>
    <x v="2"/>
    <n v="1"/>
    <n v="25"/>
    <n v="12.25"/>
    <n v="25"/>
    <n v="12.75"/>
    <n v="0.51"/>
    <x v="4"/>
  </r>
  <r>
    <n v="1427"/>
    <x v="295"/>
    <d v="1899-12-30T18:36:00"/>
    <x v="146"/>
    <x v="0"/>
    <n v="25"/>
    <x v="2"/>
    <n v="1"/>
    <n v="25"/>
    <n v="11.5"/>
    <n v="25"/>
    <n v="13.5"/>
    <n v="0.54"/>
    <x v="3"/>
  </r>
  <r>
    <n v="1569"/>
    <x v="226"/>
    <d v="1899-12-30T21:07:00"/>
    <x v="137"/>
    <x v="0"/>
    <n v="52"/>
    <x v="2"/>
    <n v="4"/>
    <n v="50"/>
    <n v="18"/>
    <n v="200"/>
    <n v="182"/>
    <n v="0.91"/>
    <x v="1"/>
  </r>
  <r>
    <n v="1570"/>
    <x v="474"/>
    <d v="1899-12-30T22:32:00"/>
    <x v="136"/>
    <x v="0"/>
    <n v="49"/>
    <x v="0"/>
    <n v="1"/>
    <n v="500"/>
    <n v="170"/>
    <n v="500"/>
    <n v="330"/>
    <n v="0.66"/>
    <x v="1"/>
  </r>
  <r>
    <n v="1630"/>
    <x v="587"/>
    <d v="1899-12-30T17:22:00"/>
    <x v="109"/>
    <x v="0"/>
    <n v="42"/>
    <x v="0"/>
    <n v="2"/>
    <n v="50"/>
    <n v="16"/>
    <n v="100"/>
    <n v="84"/>
    <n v="0.84"/>
    <x v="0"/>
  </r>
  <r>
    <n v="1957"/>
    <x v="598"/>
    <d v="1899-12-30T19:00:00"/>
    <x v="56"/>
    <x v="1"/>
    <n v="60"/>
    <x v="2"/>
    <n v="4"/>
    <n v="30"/>
    <n v="14.7"/>
    <n v="120"/>
    <n v="105.3"/>
    <n v="0.87749999999999995"/>
    <x v="2"/>
  </r>
  <r>
    <n v="635"/>
    <x v="495"/>
    <d v="1899-12-30T21:03:00"/>
    <x v="27"/>
    <x v="1"/>
    <n v="63"/>
    <x v="2"/>
    <n v="3"/>
    <n v="300"/>
    <n v="129"/>
    <n v="900"/>
    <n v="771"/>
    <n v="0.85666666666666669"/>
    <x v="2"/>
  </r>
  <r>
    <n v="1635"/>
    <x v="320"/>
    <d v="1899-12-30T18:08:00"/>
    <x v="115"/>
    <x v="1"/>
    <n v="63"/>
    <x v="2"/>
    <n v="3"/>
    <n v="300"/>
    <n v="159"/>
    <n v="900"/>
    <n v="741"/>
    <n v="0.82333333333333336"/>
    <x v="2"/>
  </r>
  <r>
    <n v="29"/>
    <x v="186"/>
    <d v="1899-12-30T20:10:00"/>
    <x v="73"/>
    <x v="1"/>
    <n v="42"/>
    <x v="2"/>
    <n v="1"/>
    <n v="30"/>
    <n v="13.5"/>
    <n v="30"/>
    <n v="16.5"/>
    <n v="0.55000000000000004"/>
    <x v="0"/>
  </r>
  <r>
    <n v="277"/>
    <x v="444"/>
    <d v="1899-12-30T22:10:00"/>
    <x v="78"/>
    <x v="0"/>
    <n v="36"/>
    <x v="0"/>
    <n v="4"/>
    <n v="25"/>
    <n v="12.25"/>
    <n v="100"/>
    <n v="87.75"/>
    <n v="0.87749999999999995"/>
    <x v="0"/>
  </r>
  <r>
    <n v="859"/>
    <x v="599"/>
    <d v="1899-12-30T21:52:00"/>
    <x v="92"/>
    <x v="1"/>
    <n v="56"/>
    <x v="2"/>
    <n v="3"/>
    <n v="500"/>
    <n v="190"/>
    <n v="1500"/>
    <n v="1310"/>
    <n v="0.87333333333333329"/>
    <x v="2"/>
  </r>
  <r>
    <n v="1029"/>
    <x v="292"/>
    <d v="1899-12-30T19:23:00"/>
    <x v="0"/>
    <x v="1"/>
    <n v="42"/>
    <x v="2"/>
    <n v="1"/>
    <n v="30"/>
    <n v="12.3"/>
    <n v="30"/>
    <n v="17.7"/>
    <n v="0.59"/>
    <x v="0"/>
  </r>
  <r>
    <n v="1277"/>
    <x v="487"/>
    <d v="1899-12-30T21:20:00"/>
    <x v="46"/>
    <x v="0"/>
    <n v="36"/>
    <x v="0"/>
    <n v="4"/>
    <n v="25"/>
    <n v="12.75"/>
    <n v="100"/>
    <n v="87.25"/>
    <n v="0.87250000000000005"/>
    <x v="0"/>
  </r>
  <r>
    <n v="1859"/>
    <x v="71"/>
    <d v="1899-12-30T20:58:00"/>
    <x v="120"/>
    <x v="1"/>
    <n v="56"/>
    <x v="2"/>
    <n v="3"/>
    <n v="500"/>
    <n v="205"/>
    <n v="1500"/>
    <n v="1295"/>
    <n v="0.86333333333333329"/>
    <x v="2"/>
  </r>
  <r>
    <n v="638"/>
    <x v="333"/>
    <d v="1899-12-30T19:52:00"/>
    <x v="153"/>
    <x v="0"/>
    <n v="46"/>
    <x v="2"/>
    <n v="1"/>
    <n v="500"/>
    <n v="190"/>
    <n v="500"/>
    <n v="310"/>
    <n v="0.62"/>
    <x v="1"/>
  </r>
  <r>
    <n v="823"/>
    <x v="383"/>
    <d v="1899-12-30T17:42:00"/>
    <x v="8"/>
    <x v="1"/>
    <n v="56"/>
    <x v="2"/>
    <n v="2"/>
    <n v="50"/>
    <n v="25"/>
    <n v="100"/>
    <n v="75"/>
    <n v="0.75"/>
    <x v="2"/>
  </r>
  <r>
    <n v="956"/>
    <x v="329"/>
    <d v="1899-12-30T21:50:00"/>
    <x v="142"/>
    <x v="0"/>
    <n v="30"/>
    <x v="0"/>
    <n v="3"/>
    <n v="500"/>
    <n v="135"/>
    <n v="1500"/>
    <n v="1365"/>
    <n v="0.91"/>
    <x v="4"/>
  </r>
  <r>
    <n v="981"/>
    <x v="506"/>
    <d v="1899-12-30T21:08:00"/>
    <x v="2"/>
    <x v="1"/>
    <n v="30"/>
    <x v="2"/>
    <n v="2"/>
    <n v="30"/>
    <n v="12.9"/>
    <n v="60"/>
    <n v="47.1"/>
    <n v="0.78500000000000003"/>
    <x v="4"/>
  </r>
  <r>
    <n v="1638"/>
    <x v="212"/>
    <d v="1899-12-30T18:26:00"/>
    <x v="70"/>
    <x v="0"/>
    <n v="46"/>
    <x v="2"/>
    <n v="1"/>
    <n v="500"/>
    <n v="155"/>
    <n v="500"/>
    <n v="345"/>
    <n v="0.69"/>
    <x v="1"/>
  </r>
  <r>
    <n v="1823"/>
    <x v="152"/>
    <d v="1899-12-30T22:28:00"/>
    <x v="11"/>
    <x v="1"/>
    <n v="56"/>
    <x v="2"/>
    <n v="2"/>
    <n v="50"/>
    <n v="26.5"/>
    <n v="100"/>
    <n v="73.5"/>
    <n v="0.73499999999999999"/>
    <x v="2"/>
  </r>
  <r>
    <n v="1956"/>
    <x v="437"/>
    <d v="1899-12-30T20:40:00"/>
    <x v="48"/>
    <x v="0"/>
    <n v="30"/>
    <x v="0"/>
    <n v="3"/>
    <n v="500"/>
    <n v="170"/>
    <n v="1500"/>
    <n v="1330"/>
    <n v="0.88666666666666671"/>
    <x v="4"/>
  </r>
  <r>
    <n v="1981"/>
    <x v="527"/>
    <d v="1899-12-30T22:50:00"/>
    <x v="143"/>
    <x v="1"/>
    <n v="30"/>
    <x v="2"/>
    <n v="2"/>
    <n v="30"/>
    <n v="11.7"/>
    <n v="60"/>
    <n v="48.3"/>
    <n v="0.80499999999999994"/>
    <x v="4"/>
  </r>
  <r>
    <n v="219"/>
    <x v="249"/>
    <d v="1899-12-30T22:34:00"/>
    <x v="154"/>
    <x v="1"/>
    <n v="53"/>
    <x v="2"/>
    <n v="3"/>
    <n v="30"/>
    <n v="10.199999999999999"/>
    <n v="90"/>
    <n v="79.8"/>
    <n v="0.8866666666666666"/>
    <x v="1"/>
  </r>
  <r>
    <n v="1219"/>
    <x v="116"/>
    <d v="1899-12-30T21:47:00"/>
    <x v="54"/>
    <x v="1"/>
    <n v="53"/>
    <x v="2"/>
    <n v="3"/>
    <n v="30"/>
    <n v="11.1"/>
    <n v="90"/>
    <n v="78.900000000000006"/>
    <n v="0.87666666666666671"/>
    <x v="1"/>
  </r>
  <r>
    <n v="73"/>
    <x v="193"/>
    <d v="1899-12-30T21:47:00"/>
    <x v="97"/>
    <x v="0"/>
    <n v="29"/>
    <x v="2"/>
    <n v="3"/>
    <n v="30"/>
    <n v="9"/>
    <n v="90"/>
    <n v="81"/>
    <n v="0.9"/>
    <x v="4"/>
  </r>
  <r>
    <n v="162"/>
    <x v="600"/>
    <d v="1899-12-30T19:37:00"/>
    <x v="88"/>
    <x v="0"/>
    <n v="39"/>
    <x v="0"/>
    <n v="2"/>
    <n v="30"/>
    <n v="9"/>
    <n v="60"/>
    <n v="51"/>
    <n v="0.85"/>
    <x v="0"/>
  </r>
  <r>
    <n v="306"/>
    <x v="191"/>
    <d v="1899-12-30T22:05:00"/>
    <x v="121"/>
    <x v="0"/>
    <n v="54"/>
    <x v="2"/>
    <n v="1"/>
    <n v="50"/>
    <n v="26.5"/>
    <n v="50"/>
    <n v="23.5"/>
    <n v="0.47"/>
    <x v="1"/>
  </r>
  <r>
    <n v="725"/>
    <x v="483"/>
    <d v="1899-12-30T20:32:00"/>
    <x v="98"/>
    <x v="0"/>
    <n v="61"/>
    <x v="2"/>
    <n v="1"/>
    <n v="300"/>
    <n v="153"/>
    <n v="300"/>
    <n v="147"/>
    <n v="0.49"/>
    <x v="2"/>
  </r>
  <r>
    <n v="880"/>
    <x v="436"/>
    <d v="1899-12-30T20:13:00"/>
    <x v="112"/>
    <x v="0"/>
    <n v="22"/>
    <x v="1"/>
    <n v="2"/>
    <n v="500"/>
    <n v="175"/>
    <n v="1000"/>
    <n v="825"/>
    <n v="0.82499999999999996"/>
    <x v="3"/>
  </r>
  <r>
    <n v="992"/>
    <x v="331"/>
    <d v="1899-12-30T19:34:00"/>
    <x v="110"/>
    <x v="1"/>
    <n v="57"/>
    <x v="2"/>
    <n v="2"/>
    <n v="30"/>
    <n v="7.8"/>
    <n v="60"/>
    <n v="52.2"/>
    <n v="0.87"/>
    <x v="2"/>
  </r>
  <r>
    <n v="1073"/>
    <x v="538"/>
    <d v="1899-12-30T18:16:00"/>
    <x v="18"/>
    <x v="0"/>
    <n v="29"/>
    <x v="2"/>
    <n v="3"/>
    <n v="30"/>
    <n v="15.3"/>
    <n v="90"/>
    <n v="74.7"/>
    <n v="0.83000000000000007"/>
    <x v="4"/>
  </r>
  <r>
    <n v="1162"/>
    <x v="558"/>
    <d v="1899-12-30T17:08:00"/>
    <x v="32"/>
    <x v="0"/>
    <n v="39"/>
    <x v="0"/>
    <n v="2"/>
    <n v="30"/>
    <n v="12.6"/>
    <n v="60"/>
    <n v="47.4"/>
    <n v="0.78999999999999992"/>
    <x v="0"/>
  </r>
  <r>
    <n v="1306"/>
    <x v="537"/>
    <d v="1899-12-30T20:57:00"/>
    <x v="80"/>
    <x v="0"/>
    <n v="54"/>
    <x v="2"/>
    <n v="1"/>
    <n v="50"/>
    <n v="18.5"/>
    <n v="50"/>
    <n v="31.5"/>
    <n v="0.63"/>
    <x v="1"/>
  </r>
  <r>
    <n v="1725"/>
    <x v="79"/>
    <d v="1899-12-30T21:02:00"/>
    <x v="136"/>
    <x v="0"/>
    <n v="61"/>
    <x v="2"/>
    <n v="1"/>
    <n v="300"/>
    <n v="105"/>
    <n v="300"/>
    <n v="195"/>
    <n v="0.65"/>
    <x v="2"/>
  </r>
  <r>
    <n v="1880"/>
    <x v="262"/>
    <d v="1899-12-30T20:03:00"/>
    <x v="70"/>
    <x v="0"/>
    <n v="22"/>
    <x v="1"/>
    <n v="2"/>
    <n v="500"/>
    <n v="175"/>
    <n v="1000"/>
    <n v="825"/>
    <n v="0.82499999999999996"/>
    <x v="3"/>
  </r>
  <r>
    <n v="1992"/>
    <x v="601"/>
    <d v="1899-12-30T21:35:00"/>
    <x v="118"/>
    <x v="1"/>
    <n v="57"/>
    <x v="2"/>
    <n v="2"/>
    <n v="30"/>
    <n v="8.6999999999999993"/>
    <n v="60"/>
    <n v="51.3"/>
    <n v="0.85499999999999998"/>
    <x v="2"/>
  </r>
  <r>
    <n v="597"/>
    <x v="134"/>
    <d v="1899-12-30T19:29:00"/>
    <x v="150"/>
    <x v="0"/>
    <n v="22"/>
    <x v="1"/>
    <n v="4"/>
    <n v="300"/>
    <n v="111"/>
    <n v="1200"/>
    <n v="1089"/>
    <n v="0.90749999999999997"/>
    <x v="3"/>
  </r>
  <r>
    <n v="622"/>
    <x v="515"/>
    <d v="1899-12-30T22:00:00"/>
    <x v="107"/>
    <x v="1"/>
    <n v="49"/>
    <x v="1"/>
    <n v="3"/>
    <n v="25"/>
    <n v="6.25"/>
    <n v="75"/>
    <n v="68.75"/>
    <n v="0.91666666666666663"/>
    <x v="1"/>
  </r>
  <r>
    <n v="1597"/>
    <x v="360"/>
    <d v="1899-12-30T18:21:00"/>
    <x v="120"/>
    <x v="0"/>
    <n v="22"/>
    <x v="1"/>
    <n v="4"/>
    <n v="300"/>
    <n v="78"/>
    <n v="1200"/>
    <n v="1122"/>
    <n v="0.93500000000000005"/>
    <x v="3"/>
  </r>
  <r>
    <n v="1622"/>
    <x v="476"/>
    <d v="1899-12-30T21:28:00"/>
    <x v="7"/>
    <x v="1"/>
    <n v="49"/>
    <x v="1"/>
    <n v="3"/>
    <n v="25"/>
    <n v="11.75"/>
    <n v="75"/>
    <n v="63.25"/>
    <n v="0.84333333333333338"/>
    <x v="1"/>
  </r>
  <r>
    <n v="116"/>
    <x v="365"/>
    <d v="1899-12-30T20:04:00"/>
    <x v="11"/>
    <x v="1"/>
    <n v="23"/>
    <x v="0"/>
    <n v="1"/>
    <n v="30"/>
    <n v="15"/>
    <n v="30"/>
    <n v="15"/>
    <n v="0.5"/>
    <x v="3"/>
  </r>
  <r>
    <n v="364"/>
    <x v="184"/>
    <d v="1899-12-30T19:06:00"/>
    <x v="20"/>
    <x v="1"/>
    <n v="19"/>
    <x v="1"/>
    <n v="1"/>
    <n v="500"/>
    <n v="200"/>
    <n v="500"/>
    <n v="300"/>
    <n v="0.6"/>
    <x v="3"/>
  </r>
  <r>
    <n v="368"/>
    <x v="458"/>
    <d v="1899-12-30T21:11:00"/>
    <x v="52"/>
    <x v="1"/>
    <n v="56"/>
    <x v="0"/>
    <n v="4"/>
    <n v="300"/>
    <n v="132"/>
    <n v="1200"/>
    <n v="1068"/>
    <n v="0.89"/>
    <x v="2"/>
  </r>
  <r>
    <n v="1116"/>
    <x v="96"/>
    <d v="1899-12-30T22:26:00"/>
    <x v="35"/>
    <x v="1"/>
    <n v="23"/>
    <x v="0"/>
    <n v="1"/>
    <n v="30"/>
    <n v="12.3"/>
    <n v="30"/>
    <n v="17.7"/>
    <n v="0.59"/>
    <x v="3"/>
  </r>
  <r>
    <n v="1364"/>
    <x v="408"/>
    <d v="1899-12-30T17:04:00"/>
    <x v="36"/>
    <x v="1"/>
    <n v="19"/>
    <x v="1"/>
    <n v="1"/>
    <n v="500"/>
    <n v="250"/>
    <n v="500"/>
    <n v="250"/>
    <n v="0.5"/>
    <x v="3"/>
  </r>
  <r>
    <n v="1368"/>
    <x v="186"/>
    <d v="1899-12-30T21:29:00"/>
    <x v="35"/>
    <x v="1"/>
    <n v="56"/>
    <x v="0"/>
    <n v="4"/>
    <n v="300"/>
    <n v="132"/>
    <n v="1200"/>
    <n v="1068"/>
    <n v="0.89"/>
    <x v="2"/>
  </r>
  <r>
    <n v="50"/>
    <x v="154"/>
    <d v="1899-12-30T18:51:00"/>
    <x v="41"/>
    <x v="1"/>
    <n v="27"/>
    <x v="1"/>
    <n v="3"/>
    <n v="25"/>
    <n v="10.5"/>
    <n v="75"/>
    <n v="64.5"/>
    <n v="0.86"/>
    <x v="4"/>
  </r>
  <r>
    <n v="479"/>
    <x v="544"/>
    <d v="1899-12-30T21:35:00"/>
    <x v="52"/>
    <x v="0"/>
    <n v="52"/>
    <x v="2"/>
    <n v="4"/>
    <n v="300"/>
    <n v="105"/>
    <n v="1200"/>
    <n v="1095"/>
    <n v="0.91249999999999998"/>
    <x v="1"/>
  </r>
  <r>
    <n v="804"/>
    <x v="337"/>
    <d v="1899-12-30T17:12:00"/>
    <x v="123"/>
    <x v="0"/>
    <n v="42"/>
    <x v="2"/>
    <n v="1"/>
    <n v="30"/>
    <n v="10.8"/>
    <n v="30"/>
    <n v="19.2"/>
    <n v="0.64"/>
    <x v="0"/>
  </r>
  <r>
    <n v="1050"/>
    <x v="135"/>
    <d v="1899-12-30T20:15:00"/>
    <x v="44"/>
    <x v="1"/>
    <n v="27"/>
    <x v="1"/>
    <n v="3"/>
    <n v="25"/>
    <n v="11.25"/>
    <n v="75"/>
    <n v="63.75"/>
    <n v="0.85"/>
    <x v="4"/>
  </r>
  <r>
    <n v="1479"/>
    <x v="602"/>
    <d v="1899-12-30T22:24:00"/>
    <x v="145"/>
    <x v="0"/>
    <n v="52"/>
    <x v="2"/>
    <n v="4"/>
    <n v="300"/>
    <n v="162"/>
    <n v="1200"/>
    <n v="1038"/>
    <n v="0.86499999999999999"/>
    <x v="1"/>
  </r>
  <r>
    <n v="1804"/>
    <x v="333"/>
    <d v="1899-12-30T22:46:00"/>
    <x v="119"/>
    <x v="0"/>
    <n v="42"/>
    <x v="2"/>
    <n v="1"/>
    <n v="30"/>
    <n v="14.7"/>
    <n v="30"/>
    <n v="15.3"/>
    <n v="0.51"/>
    <x v="0"/>
  </r>
  <r>
    <n v="92"/>
    <x v="48"/>
    <d v="1899-12-30T19:41:00"/>
    <x v="95"/>
    <x v="1"/>
    <n v="51"/>
    <x v="2"/>
    <n v="4"/>
    <n v="30"/>
    <n v="8.6999999999999993"/>
    <n v="120"/>
    <n v="111.3"/>
    <n v="0.92749999999999999"/>
    <x v="1"/>
  </r>
  <r>
    <n v="282"/>
    <x v="373"/>
    <d v="1899-12-30T17:39:00"/>
    <x v="95"/>
    <x v="1"/>
    <n v="64"/>
    <x v="2"/>
    <n v="4"/>
    <n v="50"/>
    <n v="56"/>
    <n v="200"/>
    <n v="144"/>
    <n v="0.72"/>
    <x v="2"/>
  </r>
  <r>
    <n v="718"/>
    <x v="297"/>
    <d v="1899-12-30T20:25:00"/>
    <x v="153"/>
    <x v="1"/>
    <n v="59"/>
    <x v="1"/>
    <n v="3"/>
    <n v="25"/>
    <n v="25"/>
    <n v="75"/>
    <n v="50"/>
    <n v="0.66666666666666663"/>
    <x v="2"/>
  </r>
  <r>
    <n v="1092"/>
    <x v="543"/>
    <d v="1899-12-30T20:15:00"/>
    <x v="11"/>
    <x v="1"/>
    <n v="51"/>
    <x v="2"/>
    <n v="4"/>
    <n v="30"/>
    <n v="31.5"/>
    <n v="120"/>
    <n v="88.5"/>
    <n v="0.73750000000000004"/>
    <x v="1"/>
  </r>
  <r>
    <n v="1282"/>
    <x v="230"/>
    <d v="1899-12-30T20:05:00"/>
    <x v="40"/>
    <x v="1"/>
    <n v="64"/>
    <x v="2"/>
    <n v="4"/>
    <n v="50"/>
    <n v="48.5"/>
    <n v="200"/>
    <n v="151.5"/>
    <n v="0.75749999999999995"/>
    <x v="2"/>
  </r>
  <r>
    <n v="1718"/>
    <x v="603"/>
    <d v="1899-12-30T19:03:00"/>
    <x v="61"/>
    <x v="1"/>
    <n v="59"/>
    <x v="1"/>
    <n v="3"/>
    <n v="25"/>
    <n v="25.5"/>
    <n v="75"/>
    <n v="49.5"/>
    <n v="0.66"/>
    <x v="2"/>
  </r>
  <r>
    <n v="617"/>
    <x v="604"/>
    <d v="1899-12-30T19:12:00"/>
    <x v="126"/>
    <x v="0"/>
    <n v="34"/>
    <x v="2"/>
    <n v="1"/>
    <n v="30"/>
    <n v="28.5"/>
    <n v="30"/>
    <n v="1.5"/>
    <n v="0.05"/>
    <x v="4"/>
  </r>
  <r>
    <n v="624"/>
    <x v="506"/>
    <d v="1899-12-30T19:08:00"/>
    <x v="4"/>
    <x v="1"/>
    <n v="34"/>
    <x v="1"/>
    <n v="3"/>
    <n v="300"/>
    <n v="342"/>
    <n v="900"/>
    <n v="558"/>
    <n v="0.62"/>
    <x v="4"/>
  </r>
  <r>
    <n v="825"/>
    <x v="85"/>
    <d v="1899-12-30T17:27:00"/>
    <x v="71"/>
    <x v="1"/>
    <n v="46"/>
    <x v="1"/>
    <n v="1"/>
    <n v="25"/>
    <n v="27.25"/>
    <n v="25"/>
    <n v="-2.25"/>
    <n v="-0.09"/>
    <x v="1"/>
  </r>
  <r>
    <n v="1617"/>
    <x v="130"/>
    <d v="1899-12-30T17:09:00"/>
    <x v="29"/>
    <x v="0"/>
    <n v="34"/>
    <x v="2"/>
    <n v="1"/>
    <n v="30"/>
    <n v="35.1"/>
    <n v="30"/>
    <n v="-5.1000000000000014"/>
    <n v="-0.17000000000000004"/>
    <x v="4"/>
  </r>
  <r>
    <n v="1624"/>
    <x v="520"/>
    <d v="1899-12-30T20:48:00"/>
    <x v="100"/>
    <x v="1"/>
    <n v="34"/>
    <x v="1"/>
    <n v="3"/>
    <n v="300"/>
    <n v="363"/>
    <n v="900"/>
    <n v="537"/>
    <n v="0.59666666666666668"/>
    <x v="4"/>
  </r>
  <r>
    <n v="1825"/>
    <x v="429"/>
    <d v="1899-12-30T18:34:00"/>
    <x v="101"/>
    <x v="1"/>
    <n v="46"/>
    <x v="1"/>
    <n v="1"/>
    <n v="25"/>
    <n v="27"/>
    <n v="25"/>
    <n v="-2"/>
    <n v="-0.08"/>
    <x v="1"/>
  </r>
  <r>
    <n v="568"/>
    <x v="446"/>
    <d v="1899-12-30T20:03:00"/>
    <x v="120"/>
    <x v="1"/>
    <n v="51"/>
    <x v="2"/>
    <n v="1"/>
    <n v="300"/>
    <n v="372"/>
    <n v="300"/>
    <n v="-72"/>
    <n v="-0.24"/>
    <x v="1"/>
  </r>
  <r>
    <n v="671"/>
    <x v="408"/>
    <d v="1899-12-30T19:51:00"/>
    <x v="98"/>
    <x v="0"/>
    <n v="62"/>
    <x v="2"/>
    <n v="3"/>
    <n v="50"/>
    <n v="61.5"/>
    <n v="150"/>
    <n v="88.5"/>
    <n v="0.59"/>
    <x v="2"/>
  </r>
  <r>
    <n v="756"/>
    <x v="605"/>
    <d v="1899-12-30T20:33:00"/>
    <x v="133"/>
    <x v="1"/>
    <n v="62"/>
    <x v="2"/>
    <n v="4"/>
    <n v="300"/>
    <n v="333"/>
    <n v="1200"/>
    <n v="867"/>
    <n v="0.72250000000000003"/>
    <x v="2"/>
  </r>
  <r>
    <n v="815"/>
    <x v="469"/>
    <d v="1899-12-30T21:15:00"/>
    <x v="78"/>
    <x v="1"/>
    <n v="51"/>
    <x v="0"/>
    <n v="3"/>
    <n v="25"/>
    <n v="23.75"/>
    <n v="75"/>
    <n v="51.25"/>
    <n v="0.68333333333333335"/>
    <x v="1"/>
  </r>
  <r>
    <n v="1568"/>
    <x v="214"/>
    <d v="1899-12-30T22:34:00"/>
    <x v="71"/>
    <x v="1"/>
    <n v="51"/>
    <x v="2"/>
    <n v="1"/>
    <n v="300"/>
    <n v="336"/>
    <n v="300"/>
    <n v="-36"/>
    <n v="-0.12"/>
    <x v="1"/>
  </r>
  <r>
    <n v="1671"/>
    <x v="460"/>
    <d v="1899-12-30T20:55:00"/>
    <x v="58"/>
    <x v="0"/>
    <n v="62"/>
    <x v="2"/>
    <n v="3"/>
    <n v="50"/>
    <n v="62.5"/>
    <n v="150"/>
    <n v="87.5"/>
    <n v="0.58333333333333337"/>
    <x v="2"/>
  </r>
  <r>
    <n v="1756"/>
    <x v="606"/>
    <d v="1899-12-30T22:16:00"/>
    <x v="96"/>
    <x v="1"/>
    <n v="62"/>
    <x v="2"/>
    <n v="4"/>
    <n v="300"/>
    <n v="297"/>
    <n v="1200"/>
    <n v="903"/>
    <n v="0.75249999999999995"/>
    <x v="2"/>
  </r>
  <r>
    <n v="1815"/>
    <x v="607"/>
    <d v="1899-12-30T22:19:00"/>
    <x v="9"/>
    <x v="1"/>
    <n v="51"/>
    <x v="0"/>
    <n v="3"/>
    <n v="25"/>
    <n v="30.5"/>
    <n v="75"/>
    <n v="44.5"/>
    <n v="0.59333333333333338"/>
    <x v="1"/>
  </r>
  <r>
    <n v="146"/>
    <x v="179"/>
    <d v="1899-12-30T22:01:00"/>
    <x v="119"/>
    <x v="0"/>
    <n v="38"/>
    <x v="0"/>
    <n v="4"/>
    <n v="50"/>
    <n v="49"/>
    <n v="200"/>
    <n v="151"/>
    <n v="0.755"/>
    <x v="0"/>
  </r>
  <r>
    <n v="263"/>
    <x v="10"/>
    <d v="1899-12-30T21:48:00"/>
    <x v="138"/>
    <x v="0"/>
    <n v="23"/>
    <x v="1"/>
    <n v="2"/>
    <n v="30"/>
    <n v="34.799999999999997"/>
    <n v="60"/>
    <n v="25.200000000000003"/>
    <n v="0.42000000000000004"/>
    <x v="3"/>
  </r>
  <r>
    <n v="704"/>
    <x v="239"/>
    <d v="1899-12-30T22:40:00"/>
    <x v="128"/>
    <x v="1"/>
    <n v="62"/>
    <x v="0"/>
    <n v="3"/>
    <n v="30"/>
    <n v="34.799999999999997"/>
    <n v="90"/>
    <n v="55.2"/>
    <n v="0.6133333333333334"/>
    <x v="2"/>
  </r>
  <r>
    <n v="1146"/>
    <x v="303"/>
    <d v="1899-12-30T21:11:00"/>
    <x v="1"/>
    <x v="0"/>
    <n v="38"/>
    <x v="0"/>
    <n v="4"/>
    <n v="50"/>
    <n v="60"/>
    <n v="200"/>
    <n v="140"/>
    <n v="0.7"/>
    <x v="0"/>
  </r>
  <r>
    <n v="1263"/>
    <x v="138"/>
    <d v="1899-12-30T20:49:00"/>
    <x v="58"/>
    <x v="0"/>
    <n v="23"/>
    <x v="1"/>
    <n v="2"/>
    <n v="30"/>
    <n v="35.4"/>
    <n v="60"/>
    <n v="24.6"/>
    <n v="0.41000000000000003"/>
    <x v="3"/>
  </r>
  <r>
    <n v="1704"/>
    <x v="30"/>
    <d v="1899-12-30T20:07:00"/>
    <x v="107"/>
    <x v="1"/>
    <n v="62"/>
    <x v="0"/>
    <n v="3"/>
    <n v="30"/>
    <n v="30.3"/>
    <n v="90"/>
    <n v="59.7"/>
    <n v="0.66333333333333333"/>
    <x v="2"/>
  </r>
  <r>
    <n v="476"/>
    <x v="289"/>
    <d v="1899-12-30T18:31:00"/>
    <x v="135"/>
    <x v="1"/>
    <n v="27"/>
    <x v="0"/>
    <n v="4"/>
    <n v="500"/>
    <n v="570"/>
    <n v="2000"/>
    <n v="1430"/>
    <n v="0.71499999999999997"/>
    <x v="4"/>
  </r>
  <r>
    <n v="733"/>
    <x v="598"/>
    <d v="1899-12-30T21:07:00"/>
    <x v="76"/>
    <x v="0"/>
    <n v="34"/>
    <x v="1"/>
    <n v="1"/>
    <n v="30"/>
    <n v="28.5"/>
    <n v="30"/>
    <n v="1.5"/>
    <n v="0.05"/>
    <x v="4"/>
  </r>
  <r>
    <n v="924"/>
    <x v="70"/>
    <d v="1899-12-30T22:18:00"/>
    <x v="106"/>
    <x v="0"/>
    <n v="55"/>
    <x v="1"/>
    <n v="2"/>
    <n v="50"/>
    <n v="55"/>
    <n v="100"/>
    <n v="45"/>
    <n v="0.45"/>
    <x v="1"/>
  </r>
  <r>
    <n v="984"/>
    <x v="493"/>
    <d v="1899-12-30T19:29:00"/>
    <x v="148"/>
    <x v="0"/>
    <n v="56"/>
    <x v="0"/>
    <n v="1"/>
    <n v="500"/>
    <n v="480"/>
    <n v="500"/>
    <n v="20"/>
    <n v="0.04"/>
    <x v="2"/>
  </r>
  <r>
    <n v="1476"/>
    <x v="494"/>
    <d v="1899-12-30T22:27:00"/>
    <x v="25"/>
    <x v="1"/>
    <n v="27"/>
    <x v="0"/>
    <n v="4"/>
    <n v="500"/>
    <n v="555"/>
    <n v="2000"/>
    <n v="1445"/>
    <n v="0.72250000000000003"/>
    <x v="4"/>
  </r>
  <r>
    <n v="1733"/>
    <x v="274"/>
    <d v="1899-12-30T20:52:00"/>
    <x v="82"/>
    <x v="0"/>
    <n v="34"/>
    <x v="1"/>
    <n v="1"/>
    <n v="30"/>
    <n v="36.6"/>
    <n v="30"/>
    <n v="-6.6000000000000014"/>
    <n v="-0.22000000000000006"/>
    <x v="4"/>
  </r>
  <r>
    <n v="1924"/>
    <x v="578"/>
    <d v="1899-12-30T22:25:00"/>
    <x v="122"/>
    <x v="0"/>
    <n v="55"/>
    <x v="1"/>
    <n v="2"/>
    <n v="50"/>
    <n v="54.5"/>
    <n v="100"/>
    <n v="45.5"/>
    <n v="0.45500000000000002"/>
    <x v="1"/>
  </r>
  <r>
    <n v="1984"/>
    <x v="290"/>
    <d v="1899-12-30T20:10:00"/>
    <x v="149"/>
    <x v="0"/>
    <n v="56"/>
    <x v="0"/>
    <n v="1"/>
    <n v="500"/>
    <n v="530"/>
    <n v="500"/>
    <n v="-30"/>
    <n v="-0.06"/>
    <x v="2"/>
  </r>
  <r>
    <n v="251"/>
    <x v="97"/>
    <d v="1899-12-30T21:00:00"/>
    <x v="128"/>
    <x v="1"/>
    <n v="57"/>
    <x v="1"/>
    <n v="4"/>
    <n v="50"/>
    <n v="62.5"/>
    <n v="200"/>
    <n v="137.5"/>
    <n v="0.6875"/>
    <x v="2"/>
  </r>
  <r>
    <n v="253"/>
    <x v="172"/>
    <d v="1899-12-30T21:26:00"/>
    <x v="8"/>
    <x v="1"/>
    <n v="53"/>
    <x v="0"/>
    <n v="4"/>
    <n v="500"/>
    <n v="525"/>
    <n v="2000"/>
    <n v="1475"/>
    <n v="0.73750000000000004"/>
    <x v="1"/>
  </r>
  <r>
    <n v="574"/>
    <x v="359"/>
    <d v="1899-12-30T20:12:00"/>
    <x v="44"/>
    <x v="1"/>
    <n v="63"/>
    <x v="2"/>
    <n v="2"/>
    <n v="25"/>
    <n v="24.75"/>
    <n v="50"/>
    <n v="25.25"/>
    <n v="0.505"/>
    <x v="2"/>
  </r>
  <r>
    <n v="751"/>
    <x v="407"/>
    <d v="1899-12-30T19:58:00"/>
    <x v="37"/>
    <x v="1"/>
    <n v="42"/>
    <x v="0"/>
    <n v="2"/>
    <n v="25"/>
    <n v="24.75"/>
    <n v="50"/>
    <n v="25.25"/>
    <n v="0.505"/>
    <x v="0"/>
  </r>
  <r>
    <n v="871"/>
    <x v="297"/>
    <d v="1899-12-30T23:00:00"/>
    <x v="38"/>
    <x v="0"/>
    <n v="62"/>
    <x v="1"/>
    <n v="2"/>
    <n v="30"/>
    <n v="33.9"/>
    <n v="60"/>
    <n v="26.1"/>
    <n v="0.435"/>
    <x v="2"/>
  </r>
  <r>
    <n v="1251"/>
    <x v="167"/>
    <d v="1899-12-30T21:08:00"/>
    <x v="14"/>
    <x v="1"/>
    <n v="57"/>
    <x v="1"/>
    <n v="4"/>
    <n v="50"/>
    <n v="57.5"/>
    <n v="200"/>
    <n v="142.5"/>
    <n v="0.71250000000000002"/>
    <x v="2"/>
  </r>
  <r>
    <n v="1253"/>
    <x v="383"/>
    <d v="1899-12-30T19:58:00"/>
    <x v="145"/>
    <x v="1"/>
    <n v="53"/>
    <x v="0"/>
    <n v="4"/>
    <n v="500"/>
    <n v="605"/>
    <n v="2000"/>
    <n v="1395"/>
    <n v="0.69750000000000001"/>
    <x v="1"/>
  </r>
  <r>
    <n v="1574"/>
    <x v="64"/>
    <d v="1899-12-30T21:51:00"/>
    <x v="16"/>
    <x v="1"/>
    <n v="63"/>
    <x v="2"/>
    <n v="2"/>
    <n v="25"/>
    <n v="24.75"/>
    <n v="50"/>
    <n v="25.25"/>
    <n v="0.505"/>
    <x v="2"/>
  </r>
  <r>
    <n v="1751"/>
    <x v="482"/>
    <d v="1899-12-30T22:09:00"/>
    <x v="123"/>
    <x v="1"/>
    <n v="42"/>
    <x v="0"/>
    <n v="2"/>
    <n v="25"/>
    <n v="30.25"/>
    <n v="50"/>
    <n v="19.75"/>
    <n v="0.39500000000000002"/>
    <x v="0"/>
  </r>
  <r>
    <n v="1871"/>
    <x v="570"/>
    <d v="1899-12-30T18:39:00"/>
    <x v="51"/>
    <x v="0"/>
    <n v="62"/>
    <x v="1"/>
    <n v="2"/>
    <n v="30"/>
    <n v="30.6"/>
    <n v="60"/>
    <n v="29.4"/>
    <n v="0.49"/>
    <x v="2"/>
  </r>
  <r>
    <n v="200"/>
    <x v="214"/>
    <d v="1899-12-30T22:29:00"/>
    <x v="25"/>
    <x v="0"/>
    <n v="27"/>
    <x v="1"/>
    <n v="3"/>
    <n v="50"/>
    <n v="60"/>
    <n v="150"/>
    <n v="90"/>
    <n v="0.6"/>
    <x v="4"/>
  </r>
  <r>
    <n v="594"/>
    <x v="608"/>
    <d v="1899-12-30T21:49:00"/>
    <x v="36"/>
    <x v="1"/>
    <n v="19"/>
    <x v="2"/>
    <n v="2"/>
    <n v="300"/>
    <n v="291"/>
    <n v="600"/>
    <n v="309"/>
    <n v="0.51500000000000001"/>
    <x v="3"/>
  </r>
  <r>
    <n v="637"/>
    <x v="609"/>
    <d v="1899-12-30T18:54:00"/>
    <x v="103"/>
    <x v="0"/>
    <n v="43"/>
    <x v="0"/>
    <n v="2"/>
    <n v="300"/>
    <n v="321"/>
    <n v="600"/>
    <n v="279"/>
    <n v="0.46500000000000002"/>
    <x v="0"/>
  </r>
  <r>
    <n v="855"/>
    <x v="534"/>
    <d v="1899-12-30T19:43:00"/>
    <x v="94"/>
    <x v="0"/>
    <n v="54"/>
    <x v="1"/>
    <n v="1"/>
    <n v="25"/>
    <n v="25.75"/>
    <n v="25"/>
    <n v="-0.75"/>
    <n v="-0.03"/>
    <x v="1"/>
  </r>
  <r>
    <n v="1200"/>
    <x v="400"/>
    <d v="1899-12-30T19:04:00"/>
    <x v="61"/>
    <x v="0"/>
    <n v="27"/>
    <x v="1"/>
    <n v="3"/>
    <n v="50"/>
    <n v="54.5"/>
    <n v="150"/>
    <n v="95.5"/>
    <n v="0.63666666666666671"/>
    <x v="4"/>
  </r>
  <r>
    <n v="1594"/>
    <x v="319"/>
    <d v="1899-12-30T19:02:00"/>
    <x v="73"/>
    <x v="1"/>
    <n v="19"/>
    <x v="2"/>
    <n v="2"/>
    <n v="300"/>
    <n v="345"/>
    <n v="600"/>
    <n v="255"/>
    <n v="0.42499999999999999"/>
    <x v="3"/>
  </r>
  <r>
    <n v="1637"/>
    <x v="598"/>
    <d v="1899-12-30T20:50:00"/>
    <x v="85"/>
    <x v="0"/>
    <n v="43"/>
    <x v="0"/>
    <n v="2"/>
    <n v="300"/>
    <n v="297"/>
    <n v="600"/>
    <n v="303"/>
    <n v="0.505"/>
    <x v="0"/>
  </r>
  <r>
    <n v="1855"/>
    <x v="482"/>
    <d v="1899-12-30T21:15:00"/>
    <x v="50"/>
    <x v="0"/>
    <n v="54"/>
    <x v="1"/>
    <n v="1"/>
    <n v="25"/>
    <n v="31.25"/>
    <n v="25"/>
    <n v="-6.25"/>
    <n v="-0.25"/>
    <x v="1"/>
  </r>
  <r>
    <n v="325"/>
    <x v="249"/>
    <d v="1899-12-30T22:02:00"/>
    <x v="9"/>
    <x v="1"/>
    <n v="52"/>
    <x v="2"/>
    <n v="2"/>
    <n v="25"/>
    <n v="31.25"/>
    <n v="50"/>
    <n v="18.75"/>
    <n v="0.375"/>
    <x v="1"/>
  </r>
  <r>
    <n v="682"/>
    <x v="508"/>
    <d v="1899-12-30T20:51:00"/>
    <x v="111"/>
    <x v="0"/>
    <n v="46"/>
    <x v="1"/>
    <n v="4"/>
    <n v="300"/>
    <n v="354"/>
    <n v="1200"/>
    <n v="846"/>
    <n v="0.70499999999999996"/>
    <x v="1"/>
  </r>
  <r>
    <n v="931"/>
    <x v="355"/>
    <d v="1899-12-30T21:34:00"/>
    <x v="4"/>
    <x v="0"/>
    <n v="30"/>
    <x v="1"/>
    <n v="4"/>
    <n v="30"/>
    <n v="29.1"/>
    <n v="120"/>
    <n v="90.9"/>
    <n v="0.75750000000000006"/>
    <x v="4"/>
  </r>
  <r>
    <n v="1325"/>
    <x v="181"/>
    <d v="1899-12-30T19:47:00"/>
    <x v="72"/>
    <x v="1"/>
    <n v="52"/>
    <x v="2"/>
    <n v="2"/>
    <n v="25"/>
    <n v="26.75"/>
    <n v="50"/>
    <n v="23.25"/>
    <n v="0.46500000000000002"/>
    <x v="1"/>
  </r>
  <r>
    <n v="1682"/>
    <x v="20"/>
    <d v="1899-12-30T19:30:00"/>
    <x v="41"/>
    <x v="0"/>
    <n v="46"/>
    <x v="1"/>
    <n v="4"/>
    <n v="300"/>
    <n v="315"/>
    <n v="1200"/>
    <n v="885"/>
    <n v="0.73750000000000004"/>
    <x v="1"/>
  </r>
  <r>
    <n v="1931"/>
    <x v="131"/>
    <d v="1899-12-30T19:15:00"/>
    <x v="63"/>
    <x v="0"/>
    <n v="30"/>
    <x v="1"/>
    <n v="4"/>
    <n v="30"/>
    <n v="34.200000000000003"/>
    <n v="120"/>
    <n v="85.8"/>
    <n v="0.71499999999999997"/>
    <x v="4"/>
  </r>
  <r>
    <n v="925"/>
    <x v="610"/>
    <d v="1899-12-30T17:12:00"/>
    <x v="7"/>
    <x v="0"/>
    <n v="25"/>
    <x v="2"/>
    <n v="1"/>
    <n v="300"/>
    <n v="315"/>
    <n v="300"/>
    <n v="-15"/>
    <n v="-0.05"/>
    <x v="3"/>
  </r>
  <r>
    <n v="1925"/>
    <x v="450"/>
    <d v="1899-12-30T17:05:00"/>
    <x v="81"/>
    <x v="0"/>
    <n v="25"/>
    <x v="2"/>
    <n v="1"/>
    <n v="300"/>
    <n v="366"/>
    <n v="300"/>
    <n v="-66"/>
    <n v="-0.22"/>
    <x v="3"/>
  </r>
  <r>
    <n v="297"/>
    <x v="189"/>
    <d v="1899-12-30T21:09:00"/>
    <x v="118"/>
    <x v="1"/>
    <n v="40"/>
    <x v="2"/>
    <n v="2"/>
    <n v="500"/>
    <n v="595"/>
    <n v="1000"/>
    <n v="405"/>
    <n v="0.40500000000000003"/>
    <x v="0"/>
  </r>
  <r>
    <n v="1297"/>
    <x v="611"/>
    <d v="1899-12-30T22:32:00"/>
    <x v="103"/>
    <x v="1"/>
    <n v="40"/>
    <x v="2"/>
    <n v="2"/>
    <n v="500"/>
    <n v="535"/>
    <n v="1000"/>
    <n v="465"/>
    <n v="0.46500000000000002"/>
    <x v="0"/>
  </r>
  <r>
    <n v="814"/>
    <x v="165"/>
    <d v="1899-12-30T20:33:00"/>
    <x v="131"/>
    <x v="1"/>
    <n v="59"/>
    <x v="0"/>
    <n v="1"/>
    <n v="500"/>
    <n v="540"/>
    <n v="500"/>
    <n v="-40"/>
    <n v="-0.08"/>
    <x v="2"/>
  </r>
  <r>
    <n v="894"/>
    <x v="210"/>
    <d v="1899-12-30T22:53:00"/>
    <x v="91"/>
    <x v="0"/>
    <n v="52"/>
    <x v="2"/>
    <n v="1"/>
    <n v="30"/>
    <n v="30.6"/>
    <n v="30"/>
    <n v="-0.60000000000000142"/>
    <n v="-2.0000000000000049E-2"/>
    <x v="1"/>
  </r>
  <r>
    <n v="1814"/>
    <x v="138"/>
    <d v="1899-12-30T17:53:00"/>
    <x v="105"/>
    <x v="1"/>
    <n v="59"/>
    <x v="0"/>
    <n v="1"/>
    <n v="500"/>
    <n v="620"/>
    <n v="500"/>
    <n v="-120"/>
    <n v="-0.24"/>
    <x v="2"/>
  </r>
  <r>
    <n v="1894"/>
    <x v="612"/>
    <d v="1899-12-30T18:11:00"/>
    <x v="146"/>
    <x v="0"/>
    <n v="52"/>
    <x v="2"/>
    <n v="1"/>
    <n v="30"/>
    <n v="30"/>
    <n v="30"/>
    <n v="0"/>
    <n v="0"/>
    <x v="1"/>
  </r>
  <r>
    <n v="194"/>
    <x v="496"/>
    <d v="1899-12-30T19:27:00"/>
    <x v="31"/>
    <x v="0"/>
    <n v="55"/>
    <x v="0"/>
    <n v="4"/>
    <n v="50"/>
    <n v="51.5"/>
    <n v="200"/>
    <n v="148.5"/>
    <n v="0.74250000000000005"/>
    <x v="1"/>
  </r>
  <r>
    <n v="245"/>
    <x v="247"/>
    <d v="1899-12-30T21:41:00"/>
    <x v="56"/>
    <x v="0"/>
    <n v="47"/>
    <x v="0"/>
    <n v="3"/>
    <n v="30"/>
    <n v="36"/>
    <n v="90"/>
    <n v="54"/>
    <n v="0.6"/>
    <x v="1"/>
  </r>
  <r>
    <n v="296"/>
    <x v="123"/>
    <d v="1899-12-30T22:44:00"/>
    <x v="152"/>
    <x v="1"/>
    <n v="22"/>
    <x v="0"/>
    <n v="4"/>
    <n v="300"/>
    <n v="369"/>
    <n v="1200"/>
    <n v="831"/>
    <n v="0.6925"/>
    <x v="3"/>
  </r>
  <r>
    <n v="644"/>
    <x v="94"/>
    <d v="1899-12-30T21:49:00"/>
    <x v="122"/>
    <x v="0"/>
    <n v="23"/>
    <x v="1"/>
    <n v="3"/>
    <n v="25"/>
    <n v="29"/>
    <n v="75"/>
    <n v="46"/>
    <n v="0.61333333333333329"/>
    <x v="3"/>
  </r>
  <r>
    <n v="696"/>
    <x v="303"/>
    <d v="1899-12-30T18:05:00"/>
    <x v="44"/>
    <x v="1"/>
    <n v="50"/>
    <x v="0"/>
    <n v="4"/>
    <n v="50"/>
    <n v="48.5"/>
    <n v="200"/>
    <n v="151.5"/>
    <n v="0.75749999999999995"/>
    <x v="1"/>
  </r>
  <r>
    <n v="1194"/>
    <x v="303"/>
    <d v="1899-12-30T22:06:00"/>
    <x v="25"/>
    <x v="0"/>
    <n v="55"/>
    <x v="0"/>
    <n v="4"/>
    <n v="50"/>
    <n v="61.5"/>
    <n v="200"/>
    <n v="138.5"/>
    <n v="0.6925"/>
    <x v="1"/>
  </r>
  <r>
    <n v="1245"/>
    <x v="598"/>
    <d v="1899-12-30T20:47:00"/>
    <x v="64"/>
    <x v="0"/>
    <n v="47"/>
    <x v="0"/>
    <n v="3"/>
    <n v="30"/>
    <n v="36"/>
    <n v="90"/>
    <n v="54"/>
    <n v="0.6"/>
    <x v="1"/>
  </r>
  <r>
    <n v="1296"/>
    <x v="613"/>
    <d v="1899-12-30T20:42:00"/>
    <x v="117"/>
    <x v="1"/>
    <n v="22"/>
    <x v="0"/>
    <n v="4"/>
    <n v="300"/>
    <n v="342"/>
    <n v="1200"/>
    <n v="858"/>
    <n v="0.71499999999999997"/>
    <x v="3"/>
  </r>
  <r>
    <n v="1644"/>
    <x v="167"/>
    <d v="1899-12-30T19:32:00"/>
    <x v="127"/>
    <x v="0"/>
    <n v="23"/>
    <x v="1"/>
    <n v="3"/>
    <n v="25"/>
    <n v="28.75"/>
    <n v="75"/>
    <n v="46.25"/>
    <n v="0.6166666666666667"/>
    <x v="3"/>
  </r>
  <r>
    <n v="1696"/>
    <x v="534"/>
    <d v="1899-12-30T17:59:00"/>
    <x v="44"/>
    <x v="1"/>
    <n v="50"/>
    <x v="0"/>
    <n v="4"/>
    <n v="50"/>
    <n v="55"/>
    <n v="200"/>
    <n v="145"/>
    <n v="0.72499999999999998"/>
    <x v="1"/>
  </r>
  <r>
    <n v="312"/>
    <x v="6"/>
    <d v="1899-12-30T18:08:00"/>
    <x v="72"/>
    <x v="0"/>
    <n v="41"/>
    <x v="0"/>
    <n v="4"/>
    <n v="30"/>
    <n v="28.5"/>
    <n v="120"/>
    <n v="91.5"/>
    <n v="0.76249999999999996"/>
    <x v="0"/>
  </r>
  <r>
    <n v="692"/>
    <x v="172"/>
    <d v="1899-12-30T19:48:00"/>
    <x v="140"/>
    <x v="1"/>
    <n v="64"/>
    <x v="0"/>
    <n v="2"/>
    <n v="50"/>
    <n v="49.5"/>
    <n v="100"/>
    <n v="50.5"/>
    <n v="0.505"/>
    <x v="2"/>
  </r>
  <r>
    <n v="835"/>
    <x v="172"/>
    <d v="1899-12-30T23:00:00"/>
    <x v="5"/>
    <x v="0"/>
    <n v="37"/>
    <x v="0"/>
    <n v="4"/>
    <n v="50"/>
    <n v="60"/>
    <n v="200"/>
    <n v="140"/>
    <n v="0.7"/>
    <x v="0"/>
  </r>
  <r>
    <n v="1312"/>
    <x v="614"/>
    <d v="1899-12-30T17:28:00"/>
    <x v="152"/>
    <x v="0"/>
    <n v="41"/>
    <x v="0"/>
    <n v="4"/>
    <n v="30"/>
    <n v="29.1"/>
    <n v="120"/>
    <n v="90.9"/>
    <n v="0.75750000000000006"/>
    <x v="0"/>
  </r>
  <r>
    <n v="1692"/>
    <x v="496"/>
    <d v="1899-12-30T19:50:00"/>
    <x v="139"/>
    <x v="1"/>
    <n v="64"/>
    <x v="0"/>
    <n v="2"/>
    <n v="50"/>
    <n v="59.5"/>
    <n v="100"/>
    <n v="40.5"/>
    <n v="0.40500000000000003"/>
    <x v="2"/>
  </r>
  <r>
    <n v="1835"/>
    <x v="615"/>
    <d v="1899-12-30T20:58:00"/>
    <x v="20"/>
    <x v="0"/>
    <n v="37"/>
    <x v="0"/>
    <n v="4"/>
    <n v="50"/>
    <n v="49.5"/>
    <n v="200"/>
    <n v="150.5"/>
    <n v="0.75249999999999995"/>
    <x v="0"/>
  </r>
  <r>
    <n v="183"/>
    <x v="616"/>
    <d v="1899-12-30T19:22:00"/>
    <x v="75"/>
    <x v="1"/>
    <n v="43"/>
    <x v="1"/>
    <n v="3"/>
    <n v="300"/>
    <n v="375"/>
    <n v="900"/>
    <n v="525"/>
    <n v="0.58333333333333337"/>
    <x v="0"/>
  </r>
  <r>
    <n v="413"/>
    <x v="617"/>
    <d v="1899-12-30T21:52:00"/>
    <x v="111"/>
    <x v="1"/>
    <n v="44"/>
    <x v="1"/>
    <n v="3"/>
    <n v="25"/>
    <n v="25.5"/>
    <n v="75"/>
    <n v="49.5"/>
    <n v="0.66"/>
    <x v="0"/>
  </r>
  <r>
    <n v="799"/>
    <x v="319"/>
    <d v="1899-12-30T19:44:00"/>
    <x v="67"/>
    <x v="0"/>
    <n v="56"/>
    <x v="2"/>
    <n v="2"/>
    <n v="50"/>
    <n v="60"/>
    <n v="100"/>
    <n v="40"/>
    <n v="0.4"/>
    <x v="2"/>
  </r>
  <r>
    <n v="851"/>
    <x v="226"/>
    <d v="1899-12-30T17:23:00"/>
    <x v="126"/>
    <x v="0"/>
    <n v="32"/>
    <x v="2"/>
    <n v="2"/>
    <n v="25"/>
    <n v="27.75"/>
    <n v="50"/>
    <n v="22.25"/>
    <n v="0.44500000000000001"/>
    <x v="4"/>
  </r>
  <r>
    <n v="1183"/>
    <x v="618"/>
    <d v="1899-12-30T17:10:00"/>
    <x v="7"/>
    <x v="1"/>
    <n v="43"/>
    <x v="1"/>
    <n v="3"/>
    <n v="300"/>
    <n v="342"/>
    <n v="900"/>
    <n v="558"/>
    <n v="0.62"/>
    <x v="0"/>
  </r>
  <r>
    <n v="1413"/>
    <x v="395"/>
    <d v="1899-12-30T19:33:00"/>
    <x v="74"/>
    <x v="1"/>
    <n v="44"/>
    <x v="1"/>
    <n v="3"/>
    <n v="25"/>
    <n v="30.75"/>
    <n v="75"/>
    <n v="44.25"/>
    <n v="0.59"/>
    <x v="0"/>
  </r>
  <r>
    <n v="1799"/>
    <x v="319"/>
    <d v="1899-12-30T19:09:00"/>
    <x v="68"/>
    <x v="0"/>
    <n v="56"/>
    <x v="2"/>
    <n v="2"/>
    <n v="50"/>
    <n v="51"/>
    <n v="100"/>
    <n v="49"/>
    <n v="0.49"/>
    <x v="2"/>
  </r>
  <r>
    <n v="1851"/>
    <x v="619"/>
    <d v="1899-12-30T21:36:00"/>
    <x v="90"/>
    <x v="0"/>
    <n v="32"/>
    <x v="2"/>
    <n v="2"/>
    <n v="25"/>
    <n v="25"/>
    <n v="50"/>
    <n v="25"/>
    <n v="0.5"/>
    <x v="4"/>
  </r>
  <r>
    <n v="858"/>
    <x v="392"/>
    <d v="1899-12-30T18:48:00"/>
    <x v="3"/>
    <x v="0"/>
    <n v="23"/>
    <x v="2"/>
    <n v="2"/>
    <n v="50"/>
    <n v="50.5"/>
    <n v="100"/>
    <n v="49.5"/>
    <n v="0.495"/>
    <x v="3"/>
  </r>
  <r>
    <n v="919"/>
    <x v="594"/>
    <d v="1899-12-30T21:13:00"/>
    <x v="18"/>
    <x v="1"/>
    <n v="22"/>
    <x v="1"/>
    <n v="2"/>
    <n v="25"/>
    <n v="27.75"/>
    <n v="50"/>
    <n v="22.25"/>
    <n v="0.44500000000000001"/>
    <x v="3"/>
  </r>
  <r>
    <n v="935"/>
    <x v="619"/>
    <d v="1899-12-30T21:16:00"/>
    <x v="98"/>
    <x v="1"/>
    <n v="34"/>
    <x v="1"/>
    <n v="1"/>
    <n v="50"/>
    <n v="55.5"/>
    <n v="50"/>
    <n v="-5.5"/>
    <n v="-0.11"/>
    <x v="4"/>
  </r>
  <r>
    <n v="1858"/>
    <x v="308"/>
    <d v="1899-12-30T20:47:00"/>
    <x v="5"/>
    <x v="0"/>
    <n v="23"/>
    <x v="2"/>
    <n v="2"/>
    <n v="50"/>
    <n v="52"/>
    <n v="100"/>
    <n v="48"/>
    <n v="0.48"/>
    <x v="3"/>
  </r>
  <r>
    <n v="1919"/>
    <x v="598"/>
    <d v="1899-12-30T17:54:00"/>
    <x v="66"/>
    <x v="1"/>
    <n v="22"/>
    <x v="1"/>
    <n v="2"/>
    <n v="25"/>
    <n v="26.5"/>
    <n v="50"/>
    <n v="23.5"/>
    <n v="0.47"/>
    <x v="3"/>
  </r>
  <r>
    <n v="1935"/>
    <x v="147"/>
    <d v="1899-12-30T22:40:00"/>
    <x v="131"/>
    <x v="1"/>
    <n v="34"/>
    <x v="1"/>
    <n v="1"/>
    <n v="50"/>
    <n v="47.5"/>
    <n v="50"/>
    <n v="2.5"/>
    <n v="0.05"/>
    <x v="4"/>
  </r>
  <r>
    <n v="132"/>
    <x v="315"/>
    <d v="1899-12-30T20:34:00"/>
    <x v="67"/>
    <x v="0"/>
    <n v="42"/>
    <x v="2"/>
    <n v="4"/>
    <n v="50"/>
    <n v="62"/>
    <n v="200"/>
    <n v="138"/>
    <n v="0.69"/>
    <x v="0"/>
  </r>
  <r>
    <n v="1132"/>
    <x v="293"/>
    <d v="1899-12-30T17:27:00"/>
    <x v="134"/>
    <x v="0"/>
    <n v="42"/>
    <x v="2"/>
    <n v="4"/>
    <n v="50"/>
    <n v="59"/>
    <n v="200"/>
    <n v="141"/>
    <n v="0.70499999999999996"/>
    <x v="0"/>
  </r>
  <r>
    <n v="604"/>
    <x v="30"/>
    <d v="1899-12-30T19:34:00"/>
    <x v="78"/>
    <x v="1"/>
    <n v="29"/>
    <x v="2"/>
    <n v="4"/>
    <n v="50"/>
    <n v="50.5"/>
    <n v="200"/>
    <n v="149.5"/>
    <n v="0.74750000000000005"/>
    <x v="4"/>
  </r>
  <r>
    <n v="832"/>
    <x v="50"/>
    <d v="1899-12-30T17:25:00"/>
    <x v="83"/>
    <x v="0"/>
    <n v="47"/>
    <x v="1"/>
    <n v="4"/>
    <n v="500"/>
    <n v="600"/>
    <n v="2000"/>
    <n v="1400"/>
    <n v="0.7"/>
    <x v="1"/>
  </r>
  <r>
    <n v="1604"/>
    <x v="140"/>
    <d v="1899-12-30T18:43:00"/>
    <x v="98"/>
    <x v="1"/>
    <n v="29"/>
    <x v="2"/>
    <n v="4"/>
    <n v="50"/>
    <n v="56"/>
    <n v="200"/>
    <n v="144"/>
    <n v="0.72"/>
    <x v="4"/>
  </r>
  <r>
    <n v="1832"/>
    <x v="270"/>
    <d v="1899-12-30T21:17:00"/>
    <x v="38"/>
    <x v="0"/>
    <n v="47"/>
    <x v="1"/>
    <n v="4"/>
    <n v="500"/>
    <n v="480"/>
    <n v="2000"/>
    <n v="1520"/>
    <n v="0.76"/>
    <x v="1"/>
  </r>
  <r>
    <n v="113"/>
    <x v="201"/>
    <d v="1899-12-30T19:14:00"/>
    <x v="36"/>
    <x v="1"/>
    <n v="41"/>
    <x v="2"/>
    <n v="2"/>
    <n v="25"/>
    <n v="26.25"/>
    <n v="50"/>
    <n v="23.75"/>
    <n v="0.47499999999999998"/>
    <x v="0"/>
  </r>
  <r>
    <n v="1113"/>
    <x v="442"/>
    <d v="1899-12-30T17:41:00"/>
    <x v="128"/>
    <x v="1"/>
    <n v="41"/>
    <x v="2"/>
    <n v="2"/>
    <n v="25"/>
    <n v="27.75"/>
    <n v="50"/>
    <n v="22.25"/>
    <n v="0.44500000000000001"/>
    <x v="0"/>
  </r>
  <r>
    <n v="165"/>
    <x v="620"/>
    <d v="1899-12-30T19:01:00"/>
    <x v="56"/>
    <x v="1"/>
    <n v="60"/>
    <x v="0"/>
    <n v="4"/>
    <n v="300"/>
    <n v="318"/>
    <n v="1200"/>
    <n v="882"/>
    <n v="0.73499999999999999"/>
    <x v="2"/>
  </r>
  <r>
    <n v="1165"/>
    <x v="247"/>
    <d v="1899-12-30T17:04:00"/>
    <x v="65"/>
    <x v="1"/>
    <n v="60"/>
    <x v="0"/>
    <n v="4"/>
    <n v="300"/>
    <n v="291"/>
    <n v="1200"/>
    <n v="909"/>
    <n v="0.75749999999999995"/>
    <x v="2"/>
  </r>
  <r>
    <n v="326"/>
    <x v="621"/>
    <d v="1899-12-30T19:51:00"/>
    <x v="145"/>
    <x v="1"/>
    <n v="18"/>
    <x v="0"/>
    <n v="3"/>
    <n v="25"/>
    <n v="24.25"/>
    <n v="75"/>
    <n v="50.75"/>
    <n v="0.67666666666666664"/>
    <x v="3"/>
  </r>
  <r>
    <n v="1326"/>
    <x v="233"/>
    <d v="1899-12-30T22:35:00"/>
    <x v="8"/>
    <x v="1"/>
    <n v="18"/>
    <x v="0"/>
    <n v="3"/>
    <n v="25"/>
    <n v="28.75"/>
    <n v="75"/>
    <n v="46.25"/>
    <n v="0.6166666666666667"/>
    <x v="3"/>
  </r>
  <r>
    <n v="19"/>
    <x v="324"/>
    <d v="1899-12-30T19:39:00"/>
    <x v="126"/>
    <x v="1"/>
    <n v="62"/>
    <x v="0"/>
    <n v="2"/>
    <n v="25"/>
    <n v="28.5"/>
    <n v="50"/>
    <n v="21.5"/>
    <n v="0.43"/>
    <x v="2"/>
  </r>
  <r>
    <n v="412"/>
    <x v="622"/>
    <d v="1899-12-30T19:36:00"/>
    <x v="126"/>
    <x v="1"/>
    <n v="19"/>
    <x v="2"/>
    <n v="4"/>
    <n v="500"/>
    <n v="570"/>
    <n v="2000"/>
    <n v="1430"/>
    <n v="0.71499999999999997"/>
    <x v="3"/>
  </r>
  <r>
    <n v="632"/>
    <x v="603"/>
    <d v="1899-12-30T20:13:00"/>
    <x v="66"/>
    <x v="1"/>
    <n v="26"/>
    <x v="2"/>
    <n v="4"/>
    <n v="25"/>
    <n v="24.75"/>
    <n v="100"/>
    <n v="75.25"/>
    <n v="0.75249999999999995"/>
    <x v="4"/>
  </r>
  <r>
    <n v="1019"/>
    <x v="393"/>
    <d v="1899-12-30T21:22:00"/>
    <x v="93"/>
    <x v="1"/>
    <n v="62"/>
    <x v="0"/>
    <n v="2"/>
    <n v="25"/>
    <n v="25.75"/>
    <n v="50"/>
    <n v="24.25"/>
    <n v="0.48499999999999999"/>
    <x v="2"/>
  </r>
  <r>
    <n v="1412"/>
    <x v="94"/>
    <d v="1899-12-30T19:59:00"/>
    <x v="56"/>
    <x v="1"/>
    <n v="19"/>
    <x v="2"/>
    <n v="4"/>
    <n v="500"/>
    <n v="615"/>
    <n v="2000"/>
    <n v="1385"/>
    <n v="0.6925"/>
    <x v="3"/>
  </r>
  <r>
    <n v="1632"/>
    <x v="106"/>
    <d v="1899-12-30T18:16:00"/>
    <x v="65"/>
    <x v="1"/>
    <n v="26"/>
    <x v="2"/>
    <n v="4"/>
    <n v="25"/>
    <n v="24.75"/>
    <n v="100"/>
    <n v="75.25"/>
    <n v="0.75249999999999995"/>
    <x v="4"/>
  </r>
  <r>
    <n v="167"/>
    <x v="483"/>
    <d v="1899-12-30T20:58:00"/>
    <x v="152"/>
    <x v="1"/>
    <n v="43"/>
    <x v="0"/>
    <n v="3"/>
    <n v="50"/>
    <n v="49"/>
    <n v="150"/>
    <n v="101"/>
    <n v="0.67333333333333334"/>
    <x v="0"/>
  </r>
  <r>
    <n v="172"/>
    <x v="149"/>
    <d v="1899-12-30T18:09:00"/>
    <x v="1"/>
    <x v="0"/>
    <n v="32"/>
    <x v="1"/>
    <n v="2"/>
    <n v="25"/>
    <n v="28"/>
    <n v="50"/>
    <n v="22"/>
    <n v="0.44"/>
    <x v="4"/>
  </r>
  <r>
    <n v="375"/>
    <x v="557"/>
    <d v="1899-12-30T17:32:00"/>
    <x v="28"/>
    <x v="0"/>
    <n v="32"/>
    <x v="0"/>
    <n v="1"/>
    <n v="50"/>
    <n v="52"/>
    <n v="50"/>
    <n v="-2"/>
    <n v="-0.04"/>
    <x v="4"/>
  </r>
  <r>
    <n v="538"/>
    <x v="234"/>
    <d v="1899-12-30T18:20:00"/>
    <x v="13"/>
    <x v="0"/>
    <n v="18"/>
    <x v="0"/>
    <n v="3"/>
    <n v="50"/>
    <n v="56.5"/>
    <n v="150"/>
    <n v="93.5"/>
    <n v="0.62333333333333329"/>
    <x v="3"/>
  </r>
  <r>
    <n v="794"/>
    <x v="116"/>
    <d v="1899-12-30T21:47:00"/>
    <x v="35"/>
    <x v="1"/>
    <n v="60"/>
    <x v="1"/>
    <n v="1"/>
    <n v="300"/>
    <n v="315"/>
    <n v="300"/>
    <n v="-15"/>
    <n v="-0.05"/>
    <x v="2"/>
  </r>
  <r>
    <n v="1167"/>
    <x v="347"/>
    <d v="1899-12-30T21:21:00"/>
    <x v="124"/>
    <x v="1"/>
    <n v="43"/>
    <x v="0"/>
    <n v="3"/>
    <n v="50"/>
    <n v="54"/>
    <n v="150"/>
    <n v="96"/>
    <n v="0.64"/>
    <x v="0"/>
  </r>
  <r>
    <n v="1172"/>
    <x v="106"/>
    <d v="1899-12-30T21:12:00"/>
    <x v="16"/>
    <x v="0"/>
    <n v="32"/>
    <x v="1"/>
    <n v="2"/>
    <n v="25"/>
    <n v="28.5"/>
    <n v="50"/>
    <n v="21.5"/>
    <n v="0.43"/>
    <x v="4"/>
  </r>
  <r>
    <n v="1375"/>
    <x v="165"/>
    <d v="1899-12-30T17:50:00"/>
    <x v="154"/>
    <x v="0"/>
    <n v="32"/>
    <x v="0"/>
    <n v="1"/>
    <n v="50"/>
    <n v="59"/>
    <n v="50"/>
    <n v="-9"/>
    <n v="-0.18"/>
    <x v="4"/>
  </r>
  <r>
    <n v="1538"/>
    <x v="189"/>
    <d v="1899-12-30T20:57:00"/>
    <x v="103"/>
    <x v="0"/>
    <n v="18"/>
    <x v="0"/>
    <n v="3"/>
    <n v="50"/>
    <n v="53.5"/>
    <n v="150"/>
    <n v="96.5"/>
    <n v="0.64333333333333331"/>
    <x v="3"/>
  </r>
  <r>
    <n v="1794"/>
    <x v="546"/>
    <d v="1899-12-30T19:40:00"/>
    <x v="86"/>
    <x v="1"/>
    <n v="60"/>
    <x v="1"/>
    <n v="1"/>
    <n v="300"/>
    <n v="351"/>
    <n v="300"/>
    <n v="-51"/>
    <n v="-0.17"/>
    <x v="2"/>
  </r>
  <r>
    <n v="131"/>
    <x v="347"/>
    <d v="1899-12-30T22:32:00"/>
    <x v="50"/>
    <x v="1"/>
    <n v="21"/>
    <x v="1"/>
    <n v="2"/>
    <n v="300"/>
    <n v="375"/>
    <n v="600"/>
    <n v="225"/>
    <n v="0.375"/>
    <x v="3"/>
  </r>
  <r>
    <n v="330"/>
    <x v="181"/>
    <d v="1899-12-30T20:18:00"/>
    <x v="31"/>
    <x v="1"/>
    <n v="25"/>
    <x v="1"/>
    <n v="4"/>
    <n v="50"/>
    <n v="55"/>
    <n v="200"/>
    <n v="145"/>
    <n v="0.72499999999999998"/>
    <x v="3"/>
  </r>
  <r>
    <n v="494"/>
    <x v="623"/>
    <d v="1899-12-30T20:18:00"/>
    <x v="142"/>
    <x v="1"/>
    <n v="42"/>
    <x v="1"/>
    <n v="4"/>
    <n v="50"/>
    <n v="58"/>
    <n v="200"/>
    <n v="142"/>
    <n v="0.71"/>
    <x v="0"/>
  </r>
  <r>
    <n v="1131"/>
    <x v="123"/>
    <d v="1899-12-30T19:16:00"/>
    <x v="25"/>
    <x v="1"/>
    <n v="21"/>
    <x v="1"/>
    <n v="2"/>
    <n v="300"/>
    <n v="336"/>
    <n v="600"/>
    <n v="264"/>
    <n v="0.44"/>
    <x v="3"/>
  </r>
  <r>
    <n v="1330"/>
    <x v="470"/>
    <d v="1899-12-30T17:49:00"/>
    <x v="61"/>
    <x v="1"/>
    <n v="25"/>
    <x v="1"/>
    <n v="4"/>
    <n v="50"/>
    <n v="48"/>
    <n v="200"/>
    <n v="152"/>
    <n v="0.76"/>
    <x v="3"/>
  </r>
  <r>
    <n v="1494"/>
    <x v="624"/>
    <d v="1899-12-30T19:29:00"/>
    <x v="119"/>
    <x v="1"/>
    <n v="42"/>
    <x v="1"/>
    <n v="4"/>
    <n v="50"/>
    <n v="62.5"/>
    <n v="200"/>
    <n v="137.5"/>
    <n v="0.6875"/>
    <x v="0"/>
  </r>
  <r>
    <n v="513"/>
    <x v="149"/>
    <d v="1899-12-30T18:31:00"/>
    <x v="3"/>
    <x v="0"/>
    <n v="24"/>
    <x v="2"/>
    <n v="4"/>
    <n v="25"/>
    <n v="24.5"/>
    <n v="100"/>
    <n v="75.5"/>
    <n v="0.755"/>
    <x v="3"/>
  </r>
  <r>
    <n v="573"/>
    <x v="591"/>
    <d v="1899-12-30T22:59:00"/>
    <x v="66"/>
    <x v="0"/>
    <n v="49"/>
    <x v="1"/>
    <n v="2"/>
    <n v="30"/>
    <n v="36.299999999999997"/>
    <n v="60"/>
    <n v="23.700000000000003"/>
    <n v="0.39500000000000007"/>
    <x v="1"/>
  </r>
  <r>
    <n v="1513"/>
    <x v="165"/>
    <d v="1899-12-30T21:47:00"/>
    <x v="143"/>
    <x v="0"/>
    <n v="24"/>
    <x v="2"/>
    <n v="4"/>
    <n v="25"/>
    <n v="31"/>
    <n v="100"/>
    <n v="69"/>
    <n v="0.69"/>
    <x v="3"/>
  </r>
  <r>
    <n v="1573"/>
    <x v="94"/>
    <d v="1899-12-30T21:45:00"/>
    <x v="121"/>
    <x v="0"/>
    <n v="49"/>
    <x v="1"/>
    <n v="2"/>
    <n v="30"/>
    <n v="31.2"/>
    <n v="60"/>
    <n v="28.8"/>
    <n v="0.48000000000000004"/>
    <x v="1"/>
  </r>
  <r>
    <n v="241"/>
    <x v="449"/>
    <d v="1899-12-30T20:21:00"/>
    <x v="145"/>
    <x v="1"/>
    <n v="23"/>
    <x v="2"/>
    <n v="3"/>
    <n v="25"/>
    <n v="26.75"/>
    <n v="75"/>
    <n v="48.25"/>
    <n v="0.64333333333333331"/>
    <x v="3"/>
  </r>
  <r>
    <n v="579"/>
    <x v="340"/>
    <d v="1899-12-30T17:43:00"/>
    <x v="51"/>
    <x v="1"/>
    <n v="38"/>
    <x v="2"/>
    <n v="1"/>
    <n v="30"/>
    <n v="36.6"/>
    <n v="30"/>
    <n v="-6.6000000000000014"/>
    <n v="-0.22000000000000006"/>
    <x v="0"/>
  </r>
  <r>
    <n v="1241"/>
    <x v="428"/>
    <d v="1899-12-30T17:28:00"/>
    <x v="86"/>
    <x v="1"/>
    <n v="23"/>
    <x v="2"/>
    <n v="3"/>
    <n v="25"/>
    <n v="24.5"/>
    <n v="75"/>
    <n v="50.5"/>
    <n v="0.67333333333333334"/>
    <x v="3"/>
  </r>
  <r>
    <n v="1579"/>
    <x v="348"/>
    <d v="1899-12-30T17:38:00"/>
    <x v="96"/>
    <x v="1"/>
    <n v="38"/>
    <x v="2"/>
    <n v="1"/>
    <n v="30"/>
    <n v="28.8"/>
    <n v="30"/>
    <n v="1.1999999999999993"/>
    <n v="3.9999999999999973E-2"/>
    <x v="0"/>
  </r>
  <r>
    <n v="218"/>
    <x v="625"/>
    <d v="1899-12-30T20:39:00"/>
    <x v="6"/>
    <x v="0"/>
    <n v="64"/>
    <x v="1"/>
    <n v="3"/>
    <n v="30"/>
    <n v="33.9"/>
    <n v="90"/>
    <n v="56.1"/>
    <n v="0.62333333333333329"/>
    <x v="2"/>
  </r>
  <r>
    <n v="846"/>
    <x v="234"/>
    <d v="1899-12-30T18:46:00"/>
    <x v="94"/>
    <x v="0"/>
    <n v="42"/>
    <x v="1"/>
    <n v="1"/>
    <n v="50"/>
    <n v="59.5"/>
    <n v="50"/>
    <n v="-9.5"/>
    <n v="-0.19"/>
    <x v="0"/>
  </r>
  <r>
    <n v="1218"/>
    <x v="603"/>
    <d v="1899-12-30T22:11:00"/>
    <x v="126"/>
    <x v="0"/>
    <n v="64"/>
    <x v="1"/>
    <n v="3"/>
    <n v="30"/>
    <n v="34.200000000000003"/>
    <n v="90"/>
    <n v="55.8"/>
    <n v="0.62"/>
    <x v="2"/>
  </r>
  <r>
    <n v="1846"/>
    <x v="416"/>
    <d v="1899-12-30T17:51:00"/>
    <x v="148"/>
    <x v="0"/>
    <n v="42"/>
    <x v="1"/>
    <n v="1"/>
    <n v="50"/>
    <n v="49.5"/>
    <n v="50"/>
    <n v="0.5"/>
    <n v="0.01"/>
    <x v="0"/>
  </r>
  <r>
    <n v="616"/>
    <x v="123"/>
    <d v="1899-12-30T19:18:00"/>
    <x v="80"/>
    <x v="0"/>
    <n v="41"/>
    <x v="0"/>
    <n v="2"/>
    <n v="50"/>
    <n v="49.5"/>
    <n v="100"/>
    <n v="50.5"/>
    <n v="0.505"/>
    <x v="0"/>
  </r>
  <r>
    <n v="1616"/>
    <x v="210"/>
    <d v="1899-12-30T18:41:00"/>
    <x v="100"/>
    <x v="0"/>
    <n v="41"/>
    <x v="0"/>
    <n v="2"/>
    <n v="50"/>
    <n v="59"/>
    <n v="100"/>
    <n v="41"/>
    <n v="0.41"/>
    <x v="0"/>
  </r>
  <r>
    <n v="523"/>
    <x v="300"/>
    <d v="1899-12-30T19:18:00"/>
    <x v="140"/>
    <x v="1"/>
    <n v="62"/>
    <x v="2"/>
    <n v="1"/>
    <n v="300"/>
    <n v="375"/>
    <n v="300"/>
    <n v="-75"/>
    <n v="-0.25"/>
    <x v="2"/>
  </r>
  <r>
    <n v="643"/>
    <x v="626"/>
    <d v="1899-12-30T22:26:00"/>
    <x v="112"/>
    <x v="1"/>
    <n v="28"/>
    <x v="2"/>
    <n v="3"/>
    <n v="30"/>
    <n v="28.8"/>
    <n v="90"/>
    <n v="61.2"/>
    <n v="0.68"/>
    <x v="4"/>
  </r>
  <r>
    <n v="1523"/>
    <x v="485"/>
    <d v="1899-12-30T20:40:00"/>
    <x v="16"/>
    <x v="1"/>
    <n v="62"/>
    <x v="2"/>
    <n v="1"/>
    <n v="300"/>
    <n v="330"/>
    <n v="300"/>
    <n v="-30"/>
    <n v="-0.1"/>
    <x v="2"/>
  </r>
  <r>
    <n v="1643"/>
    <x v="487"/>
    <d v="1899-12-30T21:47:00"/>
    <x v="19"/>
    <x v="1"/>
    <n v="28"/>
    <x v="2"/>
    <n v="3"/>
    <n v="30"/>
    <n v="33.299999999999997"/>
    <n v="90"/>
    <n v="56.7"/>
    <n v="0.63"/>
    <x v="4"/>
  </r>
  <r>
    <n v="351"/>
    <x v="537"/>
    <d v="1899-12-30T22:16:00"/>
    <x v="114"/>
    <x v="1"/>
    <n v="56"/>
    <x v="0"/>
    <n v="3"/>
    <n v="30"/>
    <n v="36.6"/>
    <n v="90"/>
    <n v="53.4"/>
    <n v="0.59333333333333327"/>
    <x v="2"/>
  </r>
  <r>
    <n v="809"/>
    <x v="576"/>
    <d v="1899-12-30T22:51:00"/>
    <x v="127"/>
    <x v="1"/>
    <n v="62"/>
    <x v="1"/>
    <n v="2"/>
    <n v="50"/>
    <n v="50"/>
    <n v="100"/>
    <n v="50"/>
    <n v="0.5"/>
    <x v="2"/>
  </r>
  <r>
    <n v="954"/>
    <x v="385"/>
    <d v="1899-12-30T21:03:00"/>
    <x v="90"/>
    <x v="1"/>
    <n v="50"/>
    <x v="2"/>
    <n v="3"/>
    <n v="300"/>
    <n v="321"/>
    <n v="900"/>
    <n v="579"/>
    <n v="0.64333333333333331"/>
    <x v="1"/>
  </r>
  <r>
    <n v="1351"/>
    <x v="627"/>
    <d v="1899-12-30T20:58:00"/>
    <x v="42"/>
    <x v="1"/>
    <n v="56"/>
    <x v="0"/>
    <n v="3"/>
    <n v="30"/>
    <n v="28.5"/>
    <n v="90"/>
    <n v="61.5"/>
    <n v="0.68333333333333335"/>
    <x v="2"/>
  </r>
  <r>
    <n v="1809"/>
    <x v="285"/>
    <d v="1899-12-30T18:09:00"/>
    <x v="71"/>
    <x v="1"/>
    <n v="62"/>
    <x v="1"/>
    <n v="2"/>
    <n v="50"/>
    <n v="61.5"/>
    <n v="100"/>
    <n v="38.5"/>
    <n v="0.38500000000000001"/>
    <x v="2"/>
  </r>
  <r>
    <n v="1954"/>
    <x v="272"/>
    <d v="1899-12-30T17:30:00"/>
    <x v="108"/>
    <x v="1"/>
    <n v="50"/>
    <x v="2"/>
    <n v="3"/>
    <n v="300"/>
    <n v="318"/>
    <n v="900"/>
    <n v="582"/>
    <n v="0.64666666666666661"/>
    <x v="1"/>
  </r>
  <r>
    <n v="897"/>
    <x v="535"/>
    <d v="1899-12-30T17:53:00"/>
    <x v="34"/>
    <x v="1"/>
    <n v="64"/>
    <x v="2"/>
    <n v="2"/>
    <n v="50"/>
    <n v="51.5"/>
    <n v="100"/>
    <n v="48.5"/>
    <n v="0.48499999999999999"/>
    <x v="2"/>
  </r>
  <r>
    <n v="1897"/>
    <x v="374"/>
    <d v="1899-12-30T17:12:00"/>
    <x v="14"/>
    <x v="1"/>
    <n v="64"/>
    <x v="2"/>
    <n v="2"/>
    <n v="50"/>
    <n v="62"/>
    <n v="100"/>
    <n v="38"/>
    <n v="0.38"/>
    <x v="2"/>
  </r>
  <r>
    <n v="147"/>
    <x v="65"/>
    <d v="1899-12-30T20:30:00"/>
    <x v="32"/>
    <x v="0"/>
    <n v="23"/>
    <x v="2"/>
    <n v="1"/>
    <n v="300"/>
    <n v="297"/>
    <n v="300"/>
    <n v="3"/>
    <n v="0.01"/>
    <x v="3"/>
  </r>
  <r>
    <n v="204"/>
    <x v="619"/>
    <d v="1899-12-30T21:04:00"/>
    <x v="32"/>
    <x v="0"/>
    <n v="39"/>
    <x v="1"/>
    <n v="1"/>
    <n v="25"/>
    <n v="31.25"/>
    <n v="25"/>
    <n v="-6.25"/>
    <n v="-0.25"/>
    <x v="0"/>
  </r>
  <r>
    <n v="390"/>
    <x v="628"/>
    <d v="1899-12-30T20:53:00"/>
    <x v="42"/>
    <x v="0"/>
    <n v="39"/>
    <x v="2"/>
    <n v="2"/>
    <n v="50"/>
    <n v="51"/>
    <n v="100"/>
    <n v="49"/>
    <n v="0.49"/>
    <x v="0"/>
  </r>
  <r>
    <n v="1147"/>
    <x v="477"/>
    <d v="1899-12-30T22:14:00"/>
    <x v="137"/>
    <x v="0"/>
    <n v="23"/>
    <x v="2"/>
    <n v="1"/>
    <n v="300"/>
    <n v="330"/>
    <n v="300"/>
    <n v="-30"/>
    <n v="-0.1"/>
    <x v="3"/>
  </r>
  <r>
    <n v="1204"/>
    <x v="276"/>
    <d v="1899-12-30T19:24:00"/>
    <x v="36"/>
    <x v="0"/>
    <n v="39"/>
    <x v="1"/>
    <n v="1"/>
    <n v="25"/>
    <n v="27.5"/>
    <n v="25"/>
    <n v="-2.5"/>
    <n v="-0.1"/>
    <x v="0"/>
  </r>
  <r>
    <n v="1390"/>
    <x v="183"/>
    <d v="1899-12-30T22:47:00"/>
    <x v="0"/>
    <x v="0"/>
    <n v="39"/>
    <x v="2"/>
    <n v="2"/>
    <n v="50"/>
    <n v="54"/>
    <n v="100"/>
    <n v="46"/>
    <n v="0.46"/>
    <x v="0"/>
  </r>
  <r>
    <n v="179"/>
    <x v="355"/>
    <d v="1899-12-30T20:42:00"/>
    <x v="100"/>
    <x v="0"/>
    <n v="31"/>
    <x v="2"/>
    <n v="1"/>
    <n v="300"/>
    <n v="375"/>
    <n v="300"/>
    <n v="-75"/>
    <n v="-0.25"/>
    <x v="4"/>
  </r>
  <r>
    <n v="327"/>
    <x v="338"/>
    <d v="1899-12-30T18:30:00"/>
    <x v="122"/>
    <x v="0"/>
    <n v="57"/>
    <x v="2"/>
    <n v="3"/>
    <n v="50"/>
    <n v="56"/>
    <n v="150"/>
    <n v="94"/>
    <n v="0.62666666666666671"/>
    <x v="2"/>
  </r>
  <r>
    <n v="626"/>
    <x v="77"/>
    <d v="1899-12-30T21:01:00"/>
    <x v="62"/>
    <x v="1"/>
    <n v="26"/>
    <x v="0"/>
    <n v="4"/>
    <n v="500"/>
    <n v="555"/>
    <n v="2000"/>
    <n v="1445"/>
    <n v="0.72250000000000003"/>
    <x v="4"/>
  </r>
  <r>
    <n v="873"/>
    <x v="486"/>
    <d v="1899-12-30T20:20:00"/>
    <x v="14"/>
    <x v="1"/>
    <n v="27"/>
    <x v="2"/>
    <n v="4"/>
    <n v="25"/>
    <n v="29"/>
    <n v="100"/>
    <n v="71"/>
    <n v="0.71"/>
    <x v="4"/>
  </r>
  <r>
    <n v="1179"/>
    <x v="289"/>
    <d v="1899-12-30T17:28:00"/>
    <x v="80"/>
    <x v="0"/>
    <n v="31"/>
    <x v="2"/>
    <n v="1"/>
    <n v="300"/>
    <n v="354"/>
    <n v="300"/>
    <n v="-54"/>
    <n v="-0.18"/>
    <x v="4"/>
  </r>
  <r>
    <n v="1327"/>
    <x v="593"/>
    <d v="1899-12-30T21:16:00"/>
    <x v="88"/>
    <x v="0"/>
    <n v="57"/>
    <x v="2"/>
    <n v="3"/>
    <n v="50"/>
    <n v="58"/>
    <n v="150"/>
    <n v="92"/>
    <n v="0.61333333333333329"/>
    <x v="2"/>
  </r>
  <r>
    <n v="1626"/>
    <x v="98"/>
    <d v="1899-12-30T19:13:00"/>
    <x v="143"/>
    <x v="1"/>
    <n v="26"/>
    <x v="0"/>
    <n v="4"/>
    <n v="500"/>
    <n v="495"/>
    <n v="2000"/>
    <n v="1505"/>
    <n v="0.75249999999999995"/>
    <x v="4"/>
  </r>
  <r>
    <n v="1873"/>
    <x v="625"/>
    <d v="1899-12-30T19:18:00"/>
    <x v="141"/>
    <x v="1"/>
    <n v="27"/>
    <x v="2"/>
    <n v="4"/>
    <n v="25"/>
    <n v="26.75"/>
    <n v="100"/>
    <n v="73.25"/>
    <n v="0.73250000000000004"/>
    <x v="4"/>
  </r>
  <r>
    <n v="196"/>
    <x v="612"/>
    <d v="1899-12-30T19:14:00"/>
    <x v="105"/>
    <x v="1"/>
    <n v="32"/>
    <x v="0"/>
    <n v="3"/>
    <n v="300"/>
    <n v="312"/>
    <n v="900"/>
    <n v="588"/>
    <n v="0.65333333333333332"/>
    <x v="4"/>
  </r>
  <r>
    <n v="789"/>
    <x v="486"/>
    <d v="1899-12-30T22:13:00"/>
    <x v="144"/>
    <x v="1"/>
    <n v="61"/>
    <x v="0"/>
    <n v="4"/>
    <n v="500"/>
    <n v="510"/>
    <n v="2000"/>
    <n v="1490"/>
    <n v="0.745"/>
    <x v="2"/>
  </r>
  <r>
    <n v="1196"/>
    <x v="123"/>
    <d v="1899-12-30T21:18:00"/>
    <x v="108"/>
    <x v="1"/>
    <n v="32"/>
    <x v="0"/>
    <n v="3"/>
    <n v="300"/>
    <n v="306"/>
    <n v="900"/>
    <n v="594"/>
    <n v="0.66"/>
    <x v="4"/>
  </r>
  <r>
    <n v="1789"/>
    <x v="270"/>
    <d v="1899-12-30T17:02:00"/>
    <x v="6"/>
    <x v="1"/>
    <n v="61"/>
    <x v="0"/>
    <n v="4"/>
    <n v="500"/>
    <n v="615"/>
    <n v="2000"/>
    <n v="1385"/>
    <n v="0.6925"/>
    <x v="2"/>
  </r>
  <r>
    <n v="89"/>
    <x v="267"/>
    <d v="1899-12-30T21:15:00"/>
    <x v="0"/>
    <x v="1"/>
    <n v="55"/>
    <x v="2"/>
    <n v="4"/>
    <n v="500"/>
    <n v="590"/>
    <n v="2000"/>
    <n v="1410"/>
    <n v="0.70499999999999996"/>
    <x v="1"/>
  </r>
  <r>
    <n v="707"/>
    <x v="508"/>
    <d v="1899-12-30T20:34:00"/>
    <x v="0"/>
    <x v="1"/>
    <n v="26"/>
    <x v="0"/>
    <n v="1"/>
    <n v="500"/>
    <n v="580"/>
    <n v="500"/>
    <n v="-80"/>
    <n v="-0.16"/>
    <x v="4"/>
  </r>
  <r>
    <n v="909"/>
    <x v="272"/>
    <d v="1899-12-30T19:43:00"/>
    <x v="41"/>
    <x v="0"/>
    <n v="26"/>
    <x v="2"/>
    <n v="1"/>
    <n v="300"/>
    <n v="288"/>
    <n v="300"/>
    <n v="12"/>
    <n v="0.04"/>
    <x v="4"/>
  </r>
  <r>
    <n v="1089"/>
    <x v="629"/>
    <d v="1899-12-30T18:44:00"/>
    <x v="145"/>
    <x v="1"/>
    <n v="55"/>
    <x v="2"/>
    <n v="4"/>
    <n v="500"/>
    <n v="555"/>
    <n v="2000"/>
    <n v="1445"/>
    <n v="0.72250000000000003"/>
    <x v="1"/>
  </r>
  <r>
    <n v="1707"/>
    <x v="359"/>
    <d v="1899-12-30T18:35:00"/>
    <x v="6"/>
    <x v="1"/>
    <n v="26"/>
    <x v="0"/>
    <n v="1"/>
    <n v="500"/>
    <n v="535"/>
    <n v="500"/>
    <n v="-35"/>
    <n v="-7.0000000000000007E-2"/>
    <x v="4"/>
  </r>
  <r>
    <n v="1909"/>
    <x v="630"/>
    <d v="1899-12-30T19:41:00"/>
    <x v="23"/>
    <x v="0"/>
    <n v="26"/>
    <x v="2"/>
    <n v="1"/>
    <n v="300"/>
    <n v="339"/>
    <n v="300"/>
    <n v="-39"/>
    <n v="-0.13"/>
    <x v="4"/>
  </r>
  <r>
    <n v="51"/>
    <x v="102"/>
    <d v="1899-12-30T22:09:00"/>
    <x v="66"/>
    <x v="0"/>
    <n v="27"/>
    <x v="1"/>
    <n v="3"/>
    <n v="25"/>
    <n v="24.75"/>
    <n v="75"/>
    <n v="50.25"/>
    <n v="0.67"/>
    <x v="4"/>
  </r>
  <r>
    <n v="154"/>
    <x v="631"/>
    <d v="1899-12-30T17:47:00"/>
    <x v="44"/>
    <x v="0"/>
    <n v="51"/>
    <x v="2"/>
    <n v="3"/>
    <n v="300"/>
    <n v="321"/>
    <n v="900"/>
    <n v="579"/>
    <n v="0.64333333333333331"/>
    <x v="1"/>
  </r>
  <r>
    <n v="276"/>
    <x v="400"/>
    <d v="1899-12-30T21:27:00"/>
    <x v="89"/>
    <x v="1"/>
    <n v="21"/>
    <x v="1"/>
    <n v="4"/>
    <n v="25"/>
    <n v="27.5"/>
    <n v="100"/>
    <n v="72.5"/>
    <n v="0.72499999999999998"/>
    <x v="3"/>
  </r>
  <r>
    <n v="497"/>
    <x v="485"/>
    <d v="1899-12-30T18:11:00"/>
    <x v="102"/>
    <x v="0"/>
    <n v="41"/>
    <x v="0"/>
    <n v="4"/>
    <n v="30"/>
    <n v="37.200000000000003"/>
    <n v="120"/>
    <n v="82.8"/>
    <n v="0.69"/>
    <x v="0"/>
  </r>
  <r>
    <n v="889"/>
    <x v="447"/>
    <d v="1899-12-30T22:32:00"/>
    <x v="49"/>
    <x v="1"/>
    <n v="35"/>
    <x v="2"/>
    <n v="1"/>
    <n v="50"/>
    <n v="57.5"/>
    <n v="50"/>
    <n v="-7.5"/>
    <n v="-0.15"/>
    <x v="4"/>
  </r>
  <r>
    <n v="1051"/>
    <x v="338"/>
    <d v="1899-12-30T17:47:00"/>
    <x v="74"/>
    <x v="0"/>
    <n v="27"/>
    <x v="1"/>
    <n v="3"/>
    <n v="25"/>
    <n v="25"/>
    <n v="75"/>
    <n v="50"/>
    <n v="0.66666666666666663"/>
    <x v="4"/>
  </r>
  <r>
    <n v="1154"/>
    <x v="264"/>
    <d v="1899-12-30T21:44:00"/>
    <x v="65"/>
    <x v="0"/>
    <n v="51"/>
    <x v="2"/>
    <n v="3"/>
    <n v="300"/>
    <n v="291"/>
    <n v="900"/>
    <n v="609"/>
    <n v="0.67666666666666664"/>
    <x v="1"/>
  </r>
  <r>
    <n v="1276"/>
    <x v="181"/>
    <d v="1899-12-30T18:54:00"/>
    <x v="142"/>
    <x v="1"/>
    <n v="21"/>
    <x v="1"/>
    <n v="4"/>
    <n v="25"/>
    <n v="27"/>
    <n v="100"/>
    <n v="73"/>
    <n v="0.73"/>
    <x v="3"/>
  </r>
  <r>
    <n v="1497"/>
    <x v="632"/>
    <d v="1899-12-30T21:44:00"/>
    <x v="136"/>
    <x v="0"/>
    <n v="41"/>
    <x v="0"/>
    <n v="4"/>
    <n v="30"/>
    <n v="32.4"/>
    <n v="120"/>
    <n v="87.6"/>
    <n v="0.73"/>
    <x v="0"/>
  </r>
  <r>
    <n v="1889"/>
    <x v="35"/>
    <d v="1899-12-30T22:48:00"/>
    <x v="46"/>
    <x v="1"/>
    <n v="35"/>
    <x v="2"/>
    <n v="1"/>
    <n v="50"/>
    <n v="56"/>
    <n v="50"/>
    <n v="-6"/>
    <n v="-0.12"/>
    <x v="4"/>
  </r>
  <r>
    <n v="122"/>
    <x v="247"/>
    <d v="1899-12-30T19:02:00"/>
    <x v="15"/>
    <x v="0"/>
    <n v="64"/>
    <x v="2"/>
    <n v="4"/>
    <n v="30"/>
    <n v="35.4"/>
    <n v="120"/>
    <n v="84.6"/>
    <n v="0.70499999999999996"/>
    <x v="2"/>
  </r>
  <r>
    <n v="373"/>
    <x v="44"/>
    <d v="1899-12-30T22:19:00"/>
    <x v="66"/>
    <x v="1"/>
    <n v="25"/>
    <x v="1"/>
    <n v="2"/>
    <n v="300"/>
    <n v="333"/>
    <n v="600"/>
    <n v="267"/>
    <n v="0.44500000000000001"/>
    <x v="3"/>
  </r>
  <r>
    <n v="524"/>
    <x v="359"/>
    <d v="1899-12-30T19:52:00"/>
    <x v="19"/>
    <x v="0"/>
    <n v="46"/>
    <x v="1"/>
    <n v="4"/>
    <n v="300"/>
    <n v="297"/>
    <n v="1200"/>
    <n v="903"/>
    <n v="0.75249999999999995"/>
    <x v="1"/>
  </r>
  <r>
    <n v="688"/>
    <x v="594"/>
    <d v="1899-12-30T21:45:00"/>
    <x v="68"/>
    <x v="0"/>
    <n v="56"/>
    <x v="0"/>
    <n v="4"/>
    <n v="25"/>
    <n v="24.75"/>
    <n v="100"/>
    <n v="75.25"/>
    <n v="0.75249999999999995"/>
    <x v="2"/>
  </r>
  <r>
    <n v="813"/>
    <x v="633"/>
    <d v="1899-12-30T19:51:00"/>
    <x v="99"/>
    <x v="0"/>
    <n v="52"/>
    <x v="2"/>
    <n v="3"/>
    <n v="50"/>
    <n v="62"/>
    <n v="150"/>
    <n v="88"/>
    <n v="0.58666666666666667"/>
    <x v="1"/>
  </r>
  <r>
    <n v="1122"/>
    <x v="138"/>
    <d v="1899-12-30T19:53:00"/>
    <x v="77"/>
    <x v="0"/>
    <n v="64"/>
    <x v="2"/>
    <n v="4"/>
    <n v="30"/>
    <n v="31.8"/>
    <n v="120"/>
    <n v="88.2"/>
    <n v="0.73499999999999999"/>
    <x v="2"/>
  </r>
  <r>
    <n v="1373"/>
    <x v="582"/>
    <d v="1899-12-30T20:26:00"/>
    <x v="141"/>
    <x v="1"/>
    <n v="25"/>
    <x v="1"/>
    <n v="2"/>
    <n v="300"/>
    <n v="294"/>
    <n v="600"/>
    <n v="306"/>
    <n v="0.51"/>
    <x v="3"/>
  </r>
  <r>
    <n v="1524"/>
    <x v="64"/>
    <d v="1899-12-30T22:10:00"/>
    <x v="37"/>
    <x v="0"/>
    <n v="46"/>
    <x v="1"/>
    <n v="4"/>
    <n v="300"/>
    <n v="321"/>
    <n v="1200"/>
    <n v="879"/>
    <n v="0.73250000000000004"/>
    <x v="1"/>
  </r>
  <r>
    <n v="1688"/>
    <x v="75"/>
    <d v="1899-12-30T17:25:00"/>
    <x v="16"/>
    <x v="0"/>
    <n v="56"/>
    <x v="0"/>
    <n v="4"/>
    <n v="25"/>
    <n v="26.5"/>
    <n v="100"/>
    <n v="73.5"/>
    <n v="0.73499999999999999"/>
    <x v="2"/>
  </r>
  <r>
    <n v="1813"/>
    <x v="34"/>
    <d v="1899-12-30T22:24:00"/>
    <x v="67"/>
    <x v="0"/>
    <n v="52"/>
    <x v="2"/>
    <n v="3"/>
    <n v="50"/>
    <n v="61.5"/>
    <n v="150"/>
    <n v="88.5"/>
    <n v="0.59"/>
    <x v="1"/>
  </r>
  <r>
    <n v="178"/>
    <x v="496"/>
    <d v="1899-12-30T17:51:00"/>
    <x v="113"/>
    <x v="0"/>
    <n v="40"/>
    <x v="0"/>
    <n v="2"/>
    <n v="30"/>
    <n v="34.200000000000003"/>
    <n v="60"/>
    <n v="25.799999999999997"/>
    <n v="0.42999999999999994"/>
    <x v="0"/>
  </r>
  <r>
    <n v="208"/>
    <x v="629"/>
    <d v="1899-12-30T20:56:00"/>
    <x v="6"/>
    <x v="1"/>
    <n v="34"/>
    <x v="2"/>
    <n v="4"/>
    <n v="50"/>
    <n v="57"/>
    <n v="200"/>
    <n v="143"/>
    <n v="0.71499999999999997"/>
    <x v="4"/>
  </r>
  <r>
    <n v="247"/>
    <x v="539"/>
    <d v="1899-12-30T17:56:00"/>
    <x v="18"/>
    <x v="0"/>
    <n v="41"/>
    <x v="2"/>
    <n v="2"/>
    <n v="30"/>
    <n v="31.5"/>
    <n v="60"/>
    <n v="28.5"/>
    <n v="0.47499999999999998"/>
    <x v="0"/>
  </r>
  <r>
    <n v="290"/>
    <x v="442"/>
    <d v="1899-12-30T21:39:00"/>
    <x v="67"/>
    <x v="1"/>
    <n v="30"/>
    <x v="1"/>
    <n v="2"/>
    <n v="300"/>
    <n v="342"/>
    <n v="600"/>
    <n v="258"/>
    <n v="0.43"/>
    <x v="4"/>
  </r>
  <r>
    <n v="656"/>
    <x v="395"/>
    <d v="1899-12-30T20:58:00"/>
    <x v="84"/>
    <x v="0"/>
    <n v="29"/>
    <x v="1"/>
    <n v="3"/>
    <n v="30"/>
    <n v="29.4"/>
    <n v="90"/>
    <n v="60.6"/>
    <n v="0.67333333333333334"/>
    <x v="4"/>
  </r>
  <r>
    <n v="735"/>
    <x v="613"/>
    <d v="1899-12-30T21:38:00"/>
    <x v="129"/>
    <x v="1"/>
    <n v="64"/>
    <x v="0"/>
    <n v="4"/>
    <n v="500"/>
    <n v="515"/>
    <n v="2000"/>
    <n v="1485"/>
    <n v="0.74250000000000005"/>
    <x v="2"/>
  </r>
  <r>
    <n v="1178"/>
    <x v="612"/>
    <d v="1899-12-30T21:15:00"/>
    <x v="14"/>
    <x v="0"/>
    <n v="40"/>
    <x v="0"/>
    <n v="2"/>
    <n v="30"/>
    <n v="33"/>
    <n v="60"/>
    <n v="27"/>
    <n v="0.45"/>
    <x v="0"/>
  </r>
  <r>
    <n v="1208"/>
    <x v="633"/>
    <d v="1899-12-30T17:44:00"/>
    <x v="124"/>
    <x v="1"/>
    <n v="34"/>
    <x v="2"/>
    <n v="4"/>
    <n v="50"/>
    <n v="47.5"/>
    <n v="200"/>
    <n v="152.5"/>
    <n v="0.76249999999999996"/>
    <x v="4"/>
  </r>
  <r>
    <n v="1247"/>
    <x v="634"/>
    <d v="1899-12-30T18:17:00"/>
    <x v="66"/>
    <x v="0"/>
    <n v="41"/>
    <x v="2"/>
    <n v="2"/>
    <n v="30"/>
    <n v="35.700000000000003"/>
    <n v="60"/>
    <n v="24.299999999999997"/>
    <n v="0.40499999999999997"/>
    <x v="0"/>
  </r>
  <r>
    <n v="1290"/>
    <x v="20"/>
    <d v="1899-12-30T22:40:00"/>
    <x v="8"/>
    <x v="1"/>
    <n v="30"/>
    <x v="1"/>
    <n v="2"/>
    <n v="300"/>
    <n v="318"/>
    <n v="600"/>
    <n v="282"/>
    <n v="0.47"/>
    <x v="4"/>
  </r>
  <r>
    <n v="1656"/>
    <x v="249"/>
    <d v="1899-12-30T20:03:00"/>
    <x v="128"/>
    <x v="0"/>
    <n v="29"/>
    <x v="1"/>
    <n v="3"/>
    <n v="30"/>
    <n v="35.4"/>
    <n v="90"/>
    <n v="54.6"/>
    <n v="0.60666666666666669"/>
    <x v="4"/>
  </r>
  <r>
    <n v="1735"/>
    <x v="385"/>
    <d v="1899-12-30T17:26:00"/>
    <x v="67"/>
    <x v="1"/>
    <n v="64"/>
    <x v="0"/>
    <n v="4"/>
    <n v="500"/>
    <n v="505"/>
    <n v="2000"/>
    <n v="1495"/>
    <n v="0.74750000000000005"/>
    <x v="2"/>
  </r>
  <r>
    <n v="319"/>
    <x v="175"/>
    <d v="1899-12-30T18:50:00"/>
    <x v="35"/>
    <x v="0"/>
    <n v="31"/>
    <x v="0"/>
    <n v="1"/>
    <n v="500"/>
    <n v="500"/>
    <n v="500"/>
    <n v="0"/>
    <n v="0"/>
    <x v="4"/>
  </r>
  <r>
    <n v="670"/>
    <x v="347"/>
    <d v="1899-12-30T17:24:00"/>
    <x v="12"/>
    <x v="0"/>
    <n v="27"/>
    <x v="1"/>
    <n v="1"/>
    <n v="30"/>
    <n v="35.700000000000003"/>
    <n v="30"/>
    <n v="-5.7000000000000028"/>
    <n v="-0.19000000000000009"/>
    <x v="4"/>
  </r>
  <r>
    <n v="1319"/>
    <x v="477"/>
    <d v="1899-12-30T17:17:00"/>
    <x v="104"/>
    <x v="0"/>
    <n v="31"/>
    <x v="0"/>
    <n v="1"/>
    <n v="500"/>
    <n v="585"/>
    <n v="500"/>
    <n v="-85"/>
    <n v="-0.17"/>
    <x v="4"/>
  </r>
  <r>
    <n v="1670"/>
    <x v="635"/>
    <d v="1899-12-30T21:32:00"/>
    <x v="11"/>
    <x v="0"/>
    <n v="27"/>
    <x v="1"/>
    <n v="1"/>
    <n v="30"/>
    <n v="34.200000000000003"/>
    <n v="30"/>
    <n v="-4.2000000000000028"/>
    <n v="-0.1400000000000001"/>
    <x v="4"/>
  </r>
  <r>
    <n v="385"/>
    <x v="519"/>
    <d v="1899-12-30T19:06:00"/>
    <x v="102"/>
    <x v="0"/>
    <n v="50"/>
    <x v="2"/>
    <n v="3"/>
    <n v="500"/>
    <n v="525"/>
    <n v="1500"/>
    <n v="975"/>
    <n v="0.65"/>
    <x v="1"/>
  </r>
  <r>
    <n v="1385"/>
    <x v="293"/>
    <d v="1899-12-30T19:22:00"/>
    <x v="57"/>
    <x v="0"/>
    <n v="50"/>
    <x v="2"/>
    <n v="3"/>
    <n v="500"/>
    <n v="505"/>
    <n v="1500"/>
    <n v="995"/>
    <n v="0.66333333333333333"/>
    <x v="1"/>
  </r>
  <r>
    <n v="10"/>
    <x v="183"/>
    <d v="1899-12-30T22:55:00"/>
    <x v="81"/>
    <x v="1"/>
    <n v="52"/>
    <x v="0"/>
    <n v="4"/>
    <n v="50"/>
    <n v="62.5"/>
    <n v="200"/>
    <n v="137.5"/>
    <n v="0.6875"/>
    <x v="1"/>
  </r>
  <r>
    <n v="26"/>
    <x v="441"/>
    <d v="1899-12-30T17:54:00"/>
    <x v="71"/>
    <x v="1"/>
    <n v="28"/>
    <x v="2"/>
    <n v="2"/>
    <n v="500"/>
    <n v="600"/>
    <n v="1000"/>
    <n v="400"/>
    <n v="0.4"/>
    <x v="4"/>
  </r>
  <r>
    <n v="437"/>
    <x v="324"/>
    <d v="1899-12-30T18:53:00"/>
    <x v="93"/>
    <x v="1"/>
    <n v="35"/>
    <x v="2"/>
    <n v="4"/>
    <n v="300"/>
    <n v="345"/>
    <n v="1200"/>
    <n v="855"/>
    <n v="0.71250000000000002"/>
    <x v="4"/>
  </r>
  <r>
    <n v="689"/>
    <x v="515"/>
    <d v="1899-12-30T20:17:00"/>
    <x v="57"/>
    <x v="0"/>
    <n v="57"/>
    <x v="2"/>
    <n v="2"/>
    <n v="50"/>
    <n v="52.5"/>
    <n v="100"/>
    <n v="47.5"/>
    <n v="0.47499999999999998"/>
    <x v="2"/>
  </r>
  <r>
    <n v="1010"/>
    <x v="149"/>
    <d v="1899-12-30T22:11:00"/>
    <x v="62"/>
    <x v="1"/>
    <n v="52"/>
    <x v="0"/>
    <n v="4"/>
    <n v="50"/>
    <n v="54.5"/>
    <n v="200"/>
    <n v="145.5"/>
    <n v="0.72750000000000004"/>
    <x v="1"/>
  </r>
  <r>
    <n v="1026"/>
    <x v="625"/>
    <d v="1899-12-30T19:10:00"/>
    <x v="111"/>
    <x v="1"/>
    <n v="28"/>
    <x v="2"/>
    <n v="2"/>
    <n v="500"/>
    <n v="520"/>
    <n v="1000"/>
    <n v="480"/>
    <n v="0.48"/>
    <x v="4"/>
  </r>
  <r>
    <n v="1437"/>
    <x v="457"/>
    <d v="1899-12-30T19:19:00"/>
    <x v="104"/>
    <x v="1"/>
    <n v="35"/>
    <x v="2"/>
    <n v="4"/>
    <n v="300"/>
    <n v="372"/>
    <n v="1200"/>
    <n v="828"/>
    <n v="0.69"/>
    <x v="4"/>
  </r>
  <r>
    <n v="1689"/>
    <x v="449"/>
    <d v="1899-12-30T20:54:00"/>
    <x v="43"/>
    <x v="0"/>
    <n v="57"/>
    <x v="2"/>
    <n v="2"/>
    <n v="50"/>
    <n v="47.5"/>
    <n v="100"/>
    <n v="52.5"/>
    <n v="0.52500000000000002"/>
    <x v="2"/>
  </r>
  <r>
    <n v="558"/>
    <x v="222"/>
    <d v="1899-12-30T17:47:00"/>
    <x v="145"/>
    <x v="1"/>
    <n v="41"/>
    <x v="0"/>
    <n v="1"/>
    <n v="25"/>
    <n v="26"/>
    <n v="25"/>
    <n v="-1"/>
    <n v="-0.04"/>
    <x v="0"/>
  </r>
  <r>
    <n v="634"/>
    <x v="98"/>
    <d v="1899-12-30T19:25:00"/>
    <x v="22"/>
    <x v="0"/>
    <n v="60"/>
    <x v="2"/>
    <n v="4"/>
    <n v="500"/>
    <n v="535"/>
    <n v="2000"/>
    <n v="1465"/>
    <n v="0.73250000000000004"/>
    <x v="2"/>
  </r>
  <r>
    <n v="1558"/>
    <x v="546"/>
    <d v="1899-12-30T20:37:00"/>
    <x v="147"/>
    <x v="1"/>
    <n v="41"/>
    <x v="0"/>
    <n v="1"/>
    <n v="25"/>
    <n v="27.75"/>
    <n v="25"/>
    <n v="-2.75"/>
    <n v="-0.11"/>
    <x v="0"/>
  </r>
  <r>
    <n v="1634"/>
    <x v="636"/>
    <d v="1899-12-30T17:18:00"/>
    <x v="52"/>
    <x v="0"/>
    <n v="60"/>
    <x v="2"/>
    <n v="4"/>
    <n v="500"/>
    <n v="520"/>
    <n v="2000"/>
    <n v="1480"/>
    <n v="0.74"/>
    <x v="2"/>
  </r>
  <r>
    <n v="201"/>
    <x v="94"/>
    <d v="1899-12-30T19:08:00"/>
    <x v="101"/>
    <x v="0"/>
    <n v="56"/>
    <x v="2"/>
    <n v="1"/>
    <n v="25"/>
    <n v="29.75"/>
    <n v="25"/>
    <n v="-4.75"/>
    <n v="-0.19"/>
    <x v="2"/>
  </r>
  <r>
    <n v="286"/>
    <x v="626"/>
    <d v="1899-12-30T22:56:00"/>
    <x v="146"/>
    <x v="0"/>
    <n v="55"/>
    <x v="2"/>
    <n v="2"/>
    <n v="25"/>
    <n v="27.75"/>
    <n v="50"/>
    <n v="22.25"/>
    <n v="0.44500000000000001"/>
    <x v="1"/>
  </r>
  <r>
    <n v="876"/>
    <x v="375"/>
    <d v="1899-12-30T19:39:00"/>
    <x v="74"/>
    <x v="0"/>
    <n v="43"/>
    <x v="0"/>
    <n v="4"/>
    <n v="30"/>
    <n v="30"/>
    <n v="120"/>
    <n v="90"/>
    <n v="0.75"/>
    <x v="0"/>
  </r>
  <r>
    <n v="1201"/>
    <x v="415"/>
    <d v="1899-12-30T17:28:00"/>
    <x v="37"/>
    <x v="0"/>
    <n v="56"/>
    <x v="2"/>
    <n v="1"/>
    <n v="25"/>
    <n v="27.75"/>
    <n v="25"/>
    <n v="-2.75"/>
    <n v="-0.11"/>
    <x v="2"/>
  </r>
  <r>
    <n v="1286"/>
    <x v="87"/>
    <d v="1899-12-30T17:23:00"/>
    <x v="91"/>
    <x v="0"/>
    <n v="55"/>
    <x v="2"/>
    <n v="2"/>
    <n v="25"/>
    <n v="28.5"/>
    <n v="50"/>
    <n v="21.5"/>
    <n v="0.43"/>
    <x v="1"/>
  </r>
  <r>
    <n v="1876"/>
    <x v="327"/>
    <d v="1899-12-30T19:53:00"/>
    <x v="22"/>
    <x v="0"/>
    <n v="43"/>
    <x v="0"/>
    <n v="4"/>
    <n v="30"/>
    <n v="32.1"/>
    <n v="120"/>
    <n v="87.9"/>
    <n v="0.73250000000000004"/>
    <x v="0"/>
  </r>
  <r>
    <n v="55"/>
    <x v="348"/>
    <d v="1899-12-30T20:32:00"/>
    <x v="38"/>
    <x v="0"/>
    <n v="31"/>
    <x v="1"/>
    <n v="4"/>
    <n v="30"/>
    <n v="31.8"/>
    <n v="120"/>
    <n v="88.2"/>
    <n v="0.73499999999999999"/>
    <x v="4"/>
  </r>
  <r>
    <n v="428"/>
    <x v="609"/>
    <d v="1899-12-30T22:44:00"/>
    <x v="17"/>
    <x v="1"/>
    <n v="40"/>
    <x v="2"/>
    <n v="4"/>
    <n v="50"/>
    <n v="49.5"/>
    <n v="200"/>
    <n v="150.5"/>
    <n v="0.75249999999999995"/>
    <x v="0"/>
  </r>
  <r>
    <n v="441"/>
    <x v="350"/>
    <d v="1899-12-30T22:00:00"/>
    <x v="3"/>
    <x v="0"/>
    <n v="57"/>
    <x v="1"/>
    <n v="4"/>
    <n v="300"/>
    <n v="351"/>
    <n v="1200"/>
    <n v="849"/>
    <n v="0.70750000000000002"/>
    <x v="2"/>
  </r>
  <r>
    <n v="976"/>
    <x v="517"/>
    <d v="1899-12-30T19:50:00"/>
    <x v="93"/>
    <x v="1"/>
    <n v="48"/>
    <x v="1"/>
    <n v="2"/>
    <n v="300"/>
    <n v="345"/>
    <n v="600"/>
    <n v="255"/>
    <n v="0.42499999999999999"/>
    <x v="1"/>
  </r>
  <r>
    <n v="1055"/>
    <x v="624"/>
    <d v="1899-12-30T21:35:00"/>
    <x v="85"/>
    <x v="0"/>
    <n v="31"/>
    <x v="1"/>
    <n v="4"/>
    <n v="30"/>
    <n v="37.5"/>
    <n v="120"/>
    <n v="82.5"/>
    <n v="0.6875"/>
    <x v="4"/>
  </r>
  <r>
    <n v="1428"/>
    <x v="290"/>
    <d v="1899-12-30T18:44:00"/>
    <x v="131"/>
    <x v="1"/>
    <n v="40"/>
    <x v="2"/>
    <n v="4"/>
    <n v="50"/>
    <n v="57"/>
    <n v="200"/>
    <n v="143"/>
    <n v="0.71499999999999997"/>
    <x v="0"/>
  </r>
  <r>
    <n v="1441"/>
    <x v="637"/>
    <d v="1899-12-30T21:38:00"/>
    <x v="112"/>
    <x v="0"/>
    <n v="57"/>
    <x v="1"/>
    <n v="4"/>
    <n v="300"/>
    <n v="354"/>
    <n v="1200"/>
    <n v="846"/>
    <n v="0.70499999999999996"/>
    <x v="2"/>
  </r>
  <r>
    <n v="1976"/>
    <x v="331"/>
    <d v="1899-12-30T21:10:00"/>
    <x v="145"/>
    <x v="1"/>
    <n v="48"/>
    <x v="1"/>
    <n v="2"/>
    <n v="300"/>
    <n v="360"/>
    <n v="600"/>
    <n v="240"/>
    <n v="0.4"/>
    <x v="1"/>
  </r>
  <r>
    <n v="149"/>
    <x v="441"/>
    <d v="1899-12-30T17:52:00"/>
    <x v="152"/>
    <x v="0"/>
    <n v="22"/>
    <x v="0"/>
    <n v="3"/>
    <n v="25"/>
    <n v="27"/>
    <n v="75"/>
    <n v="48"/>
    <n v="0.64"/>
    <x v="3"/>
  </r>
  <r>
    <n v="227"/>
    <x v="223"/>
    <d v="1899-12-30T19:19:00"/>
    <x v="90"/>
    <x v="0"/>
    <n v="36"/>
    <x v="2"/>
    <n v="2"/>
    <n v="50"/>
    <n v="50.5"/>
    <n v="100"/>
    <n v="49.5"/>
    <n v="0.495"/>
    <x v="0"/>
  </r>
  <r>
    <n v="393"/>
    <x v="106"/>
    <d v="1899-12-30T18:52:00"/>
    <x v="3"/>
    <x v="1"/>
    <n v="22"/>
    <x v="1"/>
    <n v="2"/>
    <n v="500"/>
    <n v="595"/>
    <n v="1000"/>
    <n v="405"/>
    <n v="0.40500000000000003"/>
    <x v="3"/>
  </r>
  <r>
    <n v="401"/>
    <x v="383"/>
    <d v="1899-12-30T19:03:00"/>
    <x v="71"/>
    <x v="1"/>
    <n v="62"/>
    <x v="0"/>
    <n v="1"/>
    <n v="300"/>
    <n v="372"/>
    <n v="300"/>
    <n v="-72"/>
    <n v="-0.24"/>
    <x v="2"/>
  </r>
  <r>
    <n v="546"/>
    <x v="20"/>
    <d v="1899-12-30T22:32:00"/>
    <x v="38"/>
    <x v="1"/>
    <n v="36"/>
    <x v="2"/>
    <n v="4"/>
    <n v="50"/>
    <n v="53.5"/>
    <n v="200"/>
    <n v="146.5"/>
    <n v="0.73250000000000004"/>
    <x v="0"/>
  </r>
  <r>
    <n v="872"/>
    <x v="276"/>
    <d v="1899-12-30T22:18:00"/>
    <x v="130"/>
    <x v="1"/>
    <n v="63"/>
    <x v="1"/>
    <n v="3"/>
    <n v="25"/>
    <n v="24.75"/>
    <n v="75"/>
    <n v="50.25"/>
    <n v="0.67"/>
    <x v="2"/>
  </r>
  <r>
    <n v="914"/>
    <x v="138"/>
    <d v="1899-12-30T22:25:00"/>
    <x v="148"/>
    <x v="1"/>
    <n v="59"/>
    <x v="2"/>
    <n v="1"/>
    <n v="500"/>
    <n v="510"/>
    <n v="500"/>
    <n v="-10"/>
    <n v="-0.02"/>
    <x v="2"/>
  </r>
  <r>
    <n v="1149"/>
    <x v="308"/>
    <d v="1899-12-30T19:23:00"/>
    <x v="20"/>
    <x v="0"/>
    <n v="22"/>
    <x v="0"/>
    <n v="3"/>
    <n v="25"/>
    <n v="29.75"/>
    <n v="75"/>
    <n v="45.25"/>
    <n v="0.60333333333333339"/>
    <x v="3"/>
  </r>
  <r>
    <n v="1227"/>
    <x v="319"/>
    <d v="1899-12-30T20:09:00"/>
    <x v="139"/>
    <x v="0"/>
    <n v="36"/>
    <x v="2"/>
    <n v="2"/>
    <n v="50"/>
    <n v="47.5"/>
    <n v="100"/>
    <n v="52.5"/>
    <n v="0.52500000000000002"/>
    <x v="0"/>
  </r>
  <r>
    <n v="1393"/>
    <x v="201"/>
    <d v="1899-12-30T17:24:00"/>
    <x v="93"/>
    <x v="1"/>
    <n v="22"/>
    <x v="1"/>
    <n v="2"/>
    <n v="500"/>
    <n v="580"/>
    <n v="1000"/>
    <n v="420"/>
    <n v="0.42"/>
    <x v="3"/>
  </r>
  <r>
    <n v="1401"/>
    <x v="165"/>
    <d v="1899-12-30T21:20:00"/>
    <x v="3"/>
    <x v="1"/>
    <n v="62"/>
    <x v="0"/>
    <n v="1"/>
    <n v="300"/>
    <n v="294"/>
    <n v="300"/>
    <n v="6"/>
    <n v="0.02"/>
    <x v="2"/>
  </r>
  <r>
    <n v="1546"/>
    <x v="14"/>
    <d v="1899-12-30T19:06:00"/>
    <x v="108"/>
    <x v="1"/>
    <n v="36"/>
    <x v="2"/>
    <n v="4"/>
    <n v="50"/>
    <n v="48"/>
    <n v="200"/>
    <n v="152"/>
    <n v="0.76"/>
    <x v="0"/>
  </r>
  <r>
    <n v="1872"/>
    <x v="34"/>
    <d v="1899-12-30T17:02:00"/>
    <x v="38"/>
    <x v="1"/>
    <n v="63"/>
    <x v="1"/>
    <n v="3"/>
    <n v="25"/>
    <n v="26.25"/>
    <n v="75"/>
    <n v="48.75"/>
    <n v="0.65"/>
    <x v="2"/>
  </r>
  <r>
    <n v="1914"/>
    <x v="327"/>
    <d v="1899-12-30T17:49:00"/>
    <x v="118"/>
    <x v="1"/>
    <n v="59"/>
    <x v="2"/>
    <n v="1"/>
    <n v="500"/>
    <n v="510"/>
    <n v="500"/>
    <n v="-10"/>
    <n v="-0.02"/>
    <x v="2"/>
  </r>
  <r>
    <n v="310"/>
    <x v="179"/>
    <d v="1899-12-30T21:34:00"/>
    <x v="104"/>
    <x v="1"/>
    <n v="28"/>
    <x v="1"/>
    <n v="1"/>
    <n v="25"/>
    <n v="31"/>
    <n v="25"/>
    <n v="-6"/>
    <n v="-0.24"/>
    <x v="4"/>
  </r>
  <r>
    <n v="844"/>
    <x v="303"/>
    <d v="1899-12-30T17:54:00"/>
    <x v="109"/>
    <x v="0"/>
    <n v="35"/>
    <x v="0"/>
    <n v="3"/>
    <n v="50"/>
    <n v="62"/>
    <n v="150"/>
    <n v="88"/>
    <n v="0.58666666666666667"/>
    <x v="4"/>
  </r>
  <r>
    <n v="852"/>
    <x v="165"/>
    <d v="1899-12-30T19:35:00"/>
    <x v="18"/>
    <x v="1"/>
    <n v="41"/>
    <x v="0"/>
    <n v="1"/>
    <n v="300"/>
    <n v="375"/>
    <n v="300"/>
    <n v="-75"/>
    <n v="-0.25"/>
    <x v="0"/>
  </r>
  <r>
    <n v="1310"/>
    <x v="141"/>
    <d v="1899-12-30T21:31:00"/>
    <x v="119"/>
    <x v="1"/>
    <n v="28"/>
    <x v="1"/>
    <n v="1"/>
    <n v="25"/>
    <n v="24.75"/>
    <n v="25"/>
    <n v="0.25"/>
    <n v="0.01"/>
    <x v="4"/>
  </r>
  <r>
    <n v="1844"/>
    <x v="598"/>
    <d v="1899-12-30T20:30:00"/>
    <x v="118"/>
    <x v="0"/>
    <n v="35"/>
    <x v="0"/>
    <n v="3"/>
    <n v="50"/>
    <n v="50.5"/>
    <n v="150"/>
    <n v="99.5"/>
    <n v="0.66333333333333333"/>
    <x v="4"/>
  </r>
  <r>
    <n v="1852"/>
    <x v="496"/>
    <d v="1899-12-30T18:09:00"/>
    <x v="136"/>
    <x v="1"/>
    <n v="41"/>
    <x v="0"/>
    <n v="1"/>
    <n v="300"/>
    <n v="333"/>
    <n v="300"/>
    <n v="-33"/>
    <n v="-0.11"/>
    <x v="0"/>
  </r>
  <r>
    <n v="97"/>
    <x v="613"/>
    <d v="1899-12-30T18:17:00"/>
    <x v="116"/>
    <x v="1"/>
    <n v="51"/>
    <x v="1"/>
    <n v="2"/>
    <n v="500"/>
    <n v="555"/>
    <n v="1000"/>
    <n v="445"/>
    <n v="0.44500000000000001"/>
    <x v="1"/>
  </r>
  <r>
    <n v="619"/>
    <x v="303"/>
    <d v="1899-12-30T18:10:00"/>
    <x v="93"/>
    <x v="0"/>
    <n v="47"/>
    <x v="2"/>
    <n v="4"/>
    <n v="25"/>
    <n v="26.25"/>
    <n v="100"/>
    <n v="73.75"/>
    <n v="0.73750000000000004"/>
    <x v="1"/>
  </r>
  <r>
    <n v="948"/>
    <x v="276"/>
    <d v="1899-12-30T22:06:00"/>
    <x v="1"/>
    <x v="1"/>
    <n v="23"/>
    <x v="2"/>
    <n v="3"/>
    <n v="25"/>
    <n v="28.75"/>
    <n v="75"/>
    <n v="46.25"/>
    <n v="0.6166666666666667"/>
    <x v="3"/>
  </r>
  <r>
    <n v="1097"/>
    <x v="87"/>
    <d v="1899-12-30T20:53:00"/>
    <x v="67"/>
    <x v="1"/>
    <n v="51"/>
    <x v="1"/>
    <n v="2"/>
    <n v="500"/>
    <n v="485"/>
    <n v="1000"/>
    <n v="515"/>
    <n v="0.51500000000000001"/>
    <x v="1"/>
  </r>
  <r>
    <n v="1619"/>
    <x v="150"/>
    <d v="1899-12-30T18:07:00"/>
    <x v="63"/>
    <x v="0"/>
    <n v="47"/>
    <x v="2"/>
    <n v="4"/>
    <n v="25"/>
    <n v="24.25"/>
    <n v="100"/>
    <n v="75.75"/>
    <n v="0.75749999999999995"/>
    <x v="1"/>
  </r>
  <r>
    <n v="1948"/>
    <x v="359"/>
    <d v="1899-12-30T21:09:00"/>
    <x v="151"/>
    <x v="1"/>
    <n v="23"/>
    <x v="2"/>
    <n v="3"/>
    <n v="25"/>
    <n v="24.5"/>
    <n v="75"/>
    <n v="50.5"/>
    <n v="0.67333333333333334"/>
    <x v="3"/>
  </r>
  <r>
    <n v="456"/>
    <x v="638"/>
    <d v="1899-12-30T19:45:00"/>
    <x v="71"/>
    <x v="0"/>
    <n v="57"/>
    <x v="2"/>
    <n v="2"/>
    <n v="30"/>
    <n v="33.9"/>
    <n v="60"/>
    <n v="26.1"/>
    <n v="0.435"/>
    <x v="2"/>
  </r>
  <r>
    <n v="627"/>
    <x v="183"/>
    <d v="1899-12-30T18:14:00"/>
    <x v="154"/>
    <x v="0"/>
    <n v="57"/>
    <x v="0"/>
    <n v="1"/>
    <n v="50"/>
    <n v="55.5"/>
    <n v="50"/>
    <n v="-5.5"/>
    <n v="-0.11"/>
    <x v="2"/>
  </r>
  <r>
    <n v="1456"/>
    <x v="35"/>
    <d v="1899-12-30T18:49:00"/>
    <x v="3"/>
    <x v="0"/>
    <n v="57"/>
    <x v="2"/>
    <n v="2"/>
    <n v="30"/>
    <n v="37.200000000000003"/>
    <n v="60"/>
    <n v="22.799999999999997"/>
    <n v="0.37999999999999995"/>
    <x v="2"/>
  </r>
  <r>
    <n v="1627"/>
    <x v="520"/>
    <d v="1899-12-30T17:21:00"/>
    <x v="150"/>
    <x v="0"/>
    <n v="57"/>
    <x v="0"/>
    <n v="1"/>
    <n v="50"/>
    <n v="60"/>
    <n v="50"/>
    <n v="-10"/>
    <n v="-0.2"/>
    <x v="2"/>
  </r>
  <r>
    <n v="22"/>
    <x v="477"/>
    <d v="1899-12-30T17:11:00"/>
    <x v="8"/>
    <x v="0"/>
    <n v="18"/>
    <x v="0"/>
    <n v="2"/>
    <n v="50"/>
    <n v="60.5"/>
    <n v="100"/>
    <n v="39.5"/>
    <n v="0.39500000000000002"/>
    <x v="3"/>
  </r>
  <r>
    <n v="121"/>
    <x v="355"/>
    <d v="1899-12-30T18:57:00"/>
    <x v="140"/>
    <x v="1"/>
    <n v="28"/>
    <x v="2"/>
    <n v="4"/>
    <n v="50"/>
    <n v="54.5"/>
    <n v="200"/>
    <n v="145.5"/>
    <n v="0.72750000000000004"/>
    <x v="4"/>
  </r>
  <r>
    <n v="431"/>
    <x v="141"/>
    <d v="1899-12-30T22:02:00"/>
    <x v="123"/>
    <x v="0"/>
    <n v="63"/>
    <x v="2"/>
    <n v="4"/>
    <n v="300"/>
    <n v="345"/>
    <n v="1200"/>
    <n v="855"/>
    <n v="0.71250000000000002"/>
    <x v="2"/>
  </r>
  <r>
    <n v="1022"/>
    <x v="385"/>
    <d v="1899-12-30T17:49:00"/>
    <x v="69"/>
    <x v="0"/>
    <n v="18"/>
    <x v="0"/>
    <n v="2"/>
    <n v="50"/>
    <n v="52.5"/>
    <n v="100"/>
    <n v="47.5"/>
    <n v="0.47499999999999998"/>
    <x v="3"/>
  </r>
  <r>
    <n v="1121"/>
    <x v="15"/>
    <d v="1899-12-30T21:10:00"/>
    <x v="109"/>
    <x v="1"/>
    <n v="28"/>
    <x v="2"/>
    <n v="4"/>
    <n v="50"/>
    <n v="50.5"/>
    <n v="200"/>
    <n v="149.5"/>
    <n v="0.74750000000000005"/>
    <x v="4"/>
  </r>
  <r>
    <n v="1431"/>
    <x v="348"/>
    <d v="1899-12-30T21:28:00"/>
    <x v="43"/>
    <x v="0"/>
    <n v="63"/>
    <x v="2"/>
    <n v="4"/>
    <n v="300"/>
    <n v="312"/>
    <n v="1200"/>
    <n v="888"/>
    <n v="0.74"/>
    <x v="2"/>
  </r>
  <r>
    <n v="370"/>
    <x v="635"/>
    <d v="1899-12-30T21:04:00"/>
    <x v="63"/>
    <x v="0"/>
    <n v="23"/>
    <x v="2"/>
    <n v="2"/>
    <n v="30"/>
    <n v="34.799999999999997"/>
    <n v="60"/>
    <n v="25.200000000000003"/>
    <n v="0.42000000000000004"/>
    <x v="3"/>
  </r>
  <r>
    <n v="711"/>
    <x v="408"/>
    <d v="1899-12-30T22:26:00"/>
    <x v="139"/>
    <x v="0"/>
    <n v="26"/>
    <x v="2"/>
    <n v="3"/>
    <n v="500"/>
    <n v="575"/>
    <n v="1500"/>
    <n v="925"/>
    <n v="0.6166666666666667"/>
    <x v="4"/>
  </r>
  <r>
    <n v="754"/>
    <x v="436"/>
    <d v="1899-12-30T18:40:00"/>
    <x v="52"/>
    <x v="1"/>
    <n v="43"/>
    <x v="2"/>
    <n v="4"/>
    <n v="25"/>
    <n v="23.75"/>
    <n v="100"/>
    <n v="76.25"/>
    <n v="0.76249999999999996"/>
    <x v="0"/>
  </r>
  <r>
    <n v="943"/>
    <x v="0"/>
    <d v="1899-12-30T19:29:00"/>
    <x v="52"/>
    <x v="1"/>
    <n v="57"/>
    <x v="0"/>
    <n v="4"/>
    <n v="300"/>
    <n v="318"/>
    <n v="1200"/>
    <n v="882"/>
    <n v="0.73499999999999999"/>
    <x v="2"/>
  </r>
  <r>
    <n v="1370"/>
    <x v="204"/>
    <d v="1899-12-30T22:51:00"/>
    <x v="52"/>
    <x v="0"/>
    <n v="23"/>
    <x v="2"/>
    <n v="2"/>
    <n v="30"/>
    <n v="36"/>
    <n v="60"/>
    <n v="24"/>
    <n v="0.4"/>
    <x v="3"/>
  </r>
  <r>
    <n v="1711"/>
    <x v="557"/>
    <d v="1899-12-30T20:33:00"/>
    <x v="130"/>
    <x v="0"/>
    <n v="26"/>
    <x v="2"/>
    <n v="3"/>
    <n v="500"/>
    <n v="570"/>
    <n v="1500"/>
    <n v="930"/>
    <n v="0.62"/>
    <x v="4"/>
  </r>
  <r>
    <n v="1754"/>
    <x v="131"/>
    <d v="1899-12-30T21:03:00"/>
    <x v="122"/>
    <x v="1"/>
    <n v="43"/>
    <x v="2"/>
    <n v="4"/>
    <n v="25"/>
    <n v="28.5"/>
    <n v="100"/>
    <n v="71.5"/>
    <n v="0.71499999999999997"/>
    <x v="0"/>
  </r>
  <r>
    <n v="1943"/>
    <x v="323"/>
    <d v="1899-12-30T21:00:00"/>
    <x v="145"/>
    <x v="1"/>
    <n v="57"/>
    <x v="0"/>
    <n v="4"/>
    <n v="300"/>
    <n v="321"/>
    <n v="1200"/>
    <n v="879"/>
    <n v="0.73250000000000004"/>
    <x v="2"/>
  </r>
  <r>
    <n v="350"/>
    <x v="519"/>
    <d v="1899-12-30T17:41:00"/>
    <x v="63"/>
    <x v="0"/>
    <n v="25"/>
    <x v="1"/>
    <n v="3"/>
    <n v="25"/>
    <n v="28.5"/>
    <n v="75"/>
    <n v="46.5"/>
    <n v="0.62"/>
    <x v="3"/>
  </r>
  <r>
    <n v="786"/>
    <x v="147"/>
    <d v="1899-12-30T20:38:00"/>
    <x v="66"/>
    <x v="0"/>
    <n v="48"/>
    <x v="0"/>
    <n v="4"/>
    <n v="25"/>
    <n v="28.5"/>
    <n v="100"/>
    <n v="71.5"/>
    <n v="0.71499999999999997"/>
    <x v="1"/>
  </r>
  <r>
    <n v="1350"/>
    <x v="407"/>
    <d v="1899-12-30T22:02:00"/>
    <x v="108"/>
    <x v="0"/>
    <n v="25"/>
    <x v="1"/>
    <n v="3"/>
    <n v="25"/>
    <n v="29.25"/>
    <n v="75"/>
    <n v="45.75"/>
    <n v="0.61"/>
    <x v="3"/>
  </r>
  <r>
    <n v="1786"/>
    <x v="588"/>
    <d v="1899-12-30T21:26:00"/>
    <x v="69"/>
    <x v="0"/>
    <n v="48"/>
    <x v="0"/>
    <n v="4"/>
    <n v="25"/>
    <n v="28.75"/>
    <n v="100"/>
    <n v="71.25"/>
    <n v="0.71250000000000002"/>
    <x v="1"/>
  </r>
  <r>
    <n v="109"/>
    <x v="277"/>
    <d v="1899-12-30T19:57:00"/>
    <x v="30"/>
    <x v="1"/>
    <n v="34"/>
    <x v="2"/>
    <n v="4"/>
    <n v="500"/>
    <n v="560"/>
    <n v="2000"/>
    <n v="1440"/>
    <n v="0.72"/>
    <x v="4"/>
  </r>
  <r>
    <n v="191"/>
    <x v="234"/>
    <d v="1899-12-30T21:24:00"/>
    <x v="41"/>
    <x v="0"/>
    <n v="64"/>
    <x v="1"/>
    <n v="1"/>
    <n v="25"/>
    <n v="28.25"/>
    <n v="25"/>
    <n v="-3.25"/>
    <n v="-0.13"/>
    <x v="2"/>
  </r>
  <r>
    <n v="1109"/>
    <x v="288"/>
    <d v="1899-12-30T22:13:00"/>
    <x v="43"/>
    <x v="1"/>
    <n v="34"/>
    <x v="2"/>
    <n v="4"/>
    <n v="500"/>
    <n v="590"/>
    <n v="2000"/>
    <n v="1410"/>
    <n v="0.70499999999999996"/>
    <x v="4"/>
  </r>
  <r>
    <n v="1191"/>
    <x v="623"/>
    <d v="1899-12-30T17:20:00"/>
    <x v="42"/>
    <x v="0"/>
    <n v="64"/>
    <x v="1"/>
    <n v="1"/>
    <n v="25"/>
    <n v="25"/>
    <n v="25"/>
    <n v="0"/>
    <n v="0"/>
    <x v="2"/>
  </r>
  <r>
    <n v="340"/>
    <x v="591"/>
    <d v="1899-12-30T22:59:00"/>
    <x v="7"/>
    <x v="1"/>
    <n v="36"/>
    <x v="0"/>
    <n v="4"/>
    <n v="300"/>
    <n v="294"/>
    <n v="1200"/>
    <n v="906"/>
    <n v="0.755"/>
    <x v="0"/>
  </r>
  <r>
    <n v="555"/>
    <x v="576"/>
    <d v="1899-12-30T19:35:00"/>
    <x v="139"/>
    <x v="0"/>
    <n v="25"/>
    <x v="1"/>
    <n v="1"/>
    <n v="300"/>
    <n v="360"/>
    <n v="300"/>
    <n v="-60"/>
    <n v="-0.2"/>
    <x v="3"/>
  </r>
  <r>
    <n v="826"/>
    <x v="631"/>
    <d v="1899-12-30T19:08:00"/>
    <x v="81"/>
    <x v="1"/>
    <n v="46"/>
    <x v="0"/>
    <n v="1"/>
    <n v="300"/>
    <n v="303"/>
    <n v="300"/>
    <n v="-3"/>
    <n v="-0.01"/>
    <x v="1"/>
  </r>
  <r>
    <n v="962"/>
    <x v="638"/>
    <d v="1899-12-30T22:02:00"/>
    <x v="104"/>
    <x v="0"/>
    <n v="44"/>
    <x v="0"/>
    <n v="2"/>
    <n v="30"/>
    <n v="35.1"/>
    <n v="60"/>
    <n v="24.9"/>
    <n v="0.41499999999999998"/>
    <x v="0"/>
  </r>
  <r>
    <n v="1340"/>
    <x v="229"/>
    <d v="1899-12-30T20:55:00"/>
    <x v="146"/>
    <x v="1"/>
    <n v="36"/>
    <x v="0"/>
    <n v="4"/>
    <n v="300"/>
    <n v="348"/>
    <n v="1200"/>
    <n v="852"/>
    <n v="0.71"/>
    <x v="0"/>
  </r>
  <r>
    <n v="1555"/>
    <x v="639"/>
    <d v="1899-12-30T18:54:00"/>
    <x v="57"/>
    <x v="0"/>
    <n v="25"/>
    <x v="1"/>
    <n v="1"/>
    <n v="300"/>
    <n v="312"/>
    <n v="300"/>
    <n v="-12"/>
    <n v="-0.04"/>
    <x v="3"/>
  </r>
  <r>
    <n v="1826"/>
    <x v="20"/>
    <d v="1899-12-30T22:05:00"/>
    <x v="74"/>
    <x v="1"/>
    <n v="46"/>
    <x v="0"/>
    <n v="1"/>
    <n v="300"/>
    <n v="297"/>
    <n v="300"/>
    <n v="3"/>
    <n v="0.01"/>
    <x v="1"/>
  </r>
  <r>
    <n v="1962"/>
    <x v="138"/>
    <d v="1899-12-30T18:59:00"/>
    <x v="62"/>
    <x v="0"/>
    <n v="44"/>
    <x v="0"/>
    <n v="2"/>
    <n v="30"/>
    <n v="32.700000000000003"/>
    <n v="60"/>
    <n v="27.299999999999997"/>
    <n v="0.45499999999999996"/>
    <x v="0"/>
  </r>
  <r>
    <n v="249"/>
    <x v="31"/>
    <d v="1899-12-30T20:17:00"/>
    <x v="136"/>
    <x v="0"/>
    <n v="20"/>
    <x v="0"/>
    <n v="1"/>
    <n v="50"/>
    <n v="53.5"/>
    <n v="50"/>
    <n v="-3.5"/>
    <n v="-7.0000000000000007E-2"/>
    <x v="3"/>
  </r>
  <r>
    <n v="1249"/>
    <x v="135"/>
    <d v="1899-12-30T21:44:00"/>
    <x v="109"/>
    <x v="0"/>
    <n v="20"/>
    <x v="0"/>
    <n v="1"/>
    <n v="50"/>
    <n v="60"/>
    <n v="50"/>
    <n v="-10"/>
    <n v="-0.2"/>
    <x v="3"/>
  </r>
  <r>
    <n v="922"/>
    <x v="425"/>
    <d v="1899-12-30T22:54:00"/>
    <x v="139"/>
    <x v="0"/>
    <n v="41"/>
    <x v="2"/>
    <n v="1"/>
    <n v="50"/>
    <n v="60.5"/>
    <n v="50"/>
    <n v="-10.5"/>
    <n v="-0.21"/>
    <x v="0"/>
  </r>
  <r>
    <n v="1922"/>
    <x v="594"/>
    <d v="1899-12-30T20:07:00"/>
    <x v="36"/>
    <x v="0"/>
    <n v="41"/>
    <x v="2"/>
    <n v="1"/>
    <n v="50"/>
    <n v="48.5"/>
    <n v="50"/>
    <n v="1.5"/>
    <n v="0.03"/>
    <x v="0"/>
  </r>
  <r>
    <n v="600"/>
    <x v="303"/>
    <d v="1899-12-30T18:39:00"/>
    <x v="141"/>
    <x v="1"/>
    <n v="59"/>
    <x v="1"/>
    <n v="2"/>
    <n v="500"/>
    <n v="525"/>
    <n v="1000"/>
    <n v="475"/>
    <n v="0.47499999999999998"/>
    <x v="2"/>
  </r>
  <r>
    <n v="680"/>
    <x v="131"/>
    <d v="1899-12-30T22:04:00"/>
    <x v="140"/>
    <x v="1"/>
    <n v="53"/>
    <x v="0"/>
    <n v="3"/>
    <n v="300"/>
    <n v="330"/>
    <n v="900"/>
    <n v="570"/>
    <n v="0.6333333333333333"/>
    <x v="1"/>
  </r>
  <r>
    <n v="770"/>
    <x v="136"/>
    <d v="1899-12-30T22:49:00"/>
    <x v="41"/>
    <x v="0"/>
    <n v="32"/>
    <x v="0"/>
    <n v="1"/>
    <n v="50"/>
    <n v="55"/>
    <n v="50"/>
    <n v="-5"/>
    <n v="-0.1"/>
    <x v="4"/>
  </r>
  <r>
    <n v="1600"/>
    <x v="14"/>
    <d v="1899-12-30T17:44:00"/>
    <x v="26"/>
    <x v="1"/>
    <n v="59"/>
    <x v="1"/>
    <n v="2"/>
    <n v="500"/>
    <n v="575"/>
    <n v="1000"/>
    <n v="425"/>
    <n v="0.42499999999999999"/>
    <x v="2"/>
  </r>
  <r>
    <n v="1680"/>
    <x v="274"/>
    <d v="1899-12-30T17:12:00"/>
    <x v="36"/>
    <x v="1"/>
    <n v="53"/>
    <x v="0"/>
    <n v="3"/>
    <n v="300"/>
    <n v="324"/>
    <n v="900"/>
    <n v="576"/>
    <n v="0.64"/>
    <x v="1"/>
  </r>
  <r>
    <n v="1770"/>
    <x v="226"/>
    <d v="1899-12-30T20:08:00"/>
    <x v="62"/>
    <x v="0"/>
    <n v="32"/>
    <x v="0"/>
    <n v="1"/>
    <n v="50"/>
    <n v="56"/>
    <n v="50"/>
    <n v="-6"/>
    <n v="-0.12"/>
    <x v="4"/>
  </r>
  <r>
    <n v="60"/>
    <x v="495"/>
    <d v="1899-12-30T18:15:00"/>
    <x v="147"/>
    <x v="0"/>
    <n v="30"/>
    <x v="1"/>
    <n v="3"/>
    <n v="50"/>
    <n v="60.5"/>
    <n v="150"/>
    <n v="89.5"/>
    <n v="0.59666666666666668"/>
    <x v="4"/>
  </r>
  <r>
    <n v="250"/>
    <x v="631"/>
    <d v="1899-12-30T23:00:00"/>
    <x v="147"/>
    <x v="0"/>
    <n v="48"/>
    <x v="2"/>
    <n v="1"/>
    <n v="50"/>
    <n v="60.5"/>
    <n v="50"/>
    <n v="-10.5"/>
    <n v="-0.21"/>
    <x v="1"/>
  </r>
  <r>
    <n v="516"/>
    <x v="447"/>
    <d v="1899-12-30T18:38:00"/>
    <x v="3"/>
    <x v="0"/>
    <n v="30"/>
    <x v="1"/>
    <n v="4"/>
    <n v="25"/>
    <n v="24.25"/>
    <n v="100"/>
    <n v="75.75"/>
    <n v="0.75749999999999995"/>
    <x v="4"/>
  </r>
  <r>
    <n v="937"/>
    <x v="516"/>
    <d v="1899-12-30T19:57:00"/>
    <x v="17"/>
    <x v="1"/>
    <n v="62"/>
    <x v="1"/>
    <n v="1"/>
    <n v="500"/>
    <n v="510"/>
    <n v="500"/>
    <n v="-10"/>
    <n v="-0.02"/>
    <x v="2"/>
  </r>
  <r>
    <n v="1060"/>
    <x v="65"/>
    <d v="1899-12-30T18:29:00"/>
    <x v="41"/>
    <x v="0"/>
    <n v="30"/>
    <x v="1"/>
    <n v="3"/>
    <n v="50"/>
    <n v="57"/>
    <n v="150"/>
    <n v="93"/>
    <n v="0.62"/>
    <x v="4"/>
  </r>
  <r>
    <n v="1250"/>
    <x v="632"/>
    <d v="1899-12-30T20:39:00"/>
    <x v="131"/>
    <x v="0"/>
    <n v="48"/>
    <x v="2"/>
    <n v="1"/>
    <n v="50"/>
    <n v="48.5"/>
    <n v="50"/>
    <n v="1.5"/>
    <n v="0.03"/>
    <x v="1"/>
  </r>
  <r>
    <n v="1516"/>
    <x v="119"/>
    <d v="1899-12-30T17:19:00"/>
    <x v="7"/>
    <x v="0"/>
    <n v="30"/>
    <x v="1"/>
    <n v="4"/>
    <n v="25"/>
    <n v="24.5"/>
    <n v="100"/>
    <n v="75.5"/>
    <n v="0.755"/>
    <x v="4"/>
  </r>
  <r>
    <n v="1937"/>
    <x v="138"/>
    <d v="1899-12-30T17:57:00"/>
    <x v="1"/>
    <x v="1"/>
    <n v="62"/>
    <x v="1"/>
    <n v="1"/>
    <n v="500"/>
    <n v="620"/>
    <n v="500"/>
    <n v="-120"/>
    <n v="-0.24"/>
    <x v="2"/>
  </r>
  <r>
    <n v="318"/>
    <x v="246"/>
    <d v="1899-12-30T21:26:00"/>
    <x v="38"/>
    <x v="0"/>
    <n v="61"/>
    <x v="0"/>
    <n v="1"/>
    <n v="25"/>
    <n v="29.25"/>
    <n v="25"/>
    <n v="-4.25"/>
    <n v="-0.17"/>
    <x v="2"/>
  </r>
  <r>
    <n v="342"/>
    <x v="327"/>
    <d v="1899-12-30T17:24:00"/>
    <x v="3"/>
    <x v="1"/>
    <n v="43"/>
    <x v="0"/>
    <n v="4"/>
    <n v="500"/>
    <n v="500"/>
    <n v="2000"/>
    <n v="1500"/>
    <n v="0.75"/>
    <x v="0"/>
  </r>
  <r>
    <n v="564"/>
    <x v="535"/>
    <d v="1899-12-30T20:14:00"/>
    <x v="43"/>
    <x v="0"/>
    <n v="50"/>
    <x v="2"/>
    <n v="2"/>
    <n v="50"/>
    <n v="55.5"/>
    <n v="100"/>
    <n v="44.5"/>
    <n v="0.44500000000000001"/>
    <x v="1"/>
  </r>
  <r>
    <n v="767"/>
    <x v="175"/>
    <d v="1899-12-30T22:44:00"/>
    <x v="36"/>
    <x v="0"/>
    <n v="39"/>
    <x v="1"/>
    <n v="3"/>
    <n v="25"/>
    <n v="24.5"/>
    <n v="75"/>
    <n v="50.5"/>
    <n v="0.67333333333333334"/>
    <x v="0"/>
  </r>
  <r>
    <n v="1318"/>
    <x v="25"/>
    <d v="1899-12-30T22:57:00"/>
    <x v="57"/>
    <x v="0"/>
    <n v="61"/>
    <x v="0"/>
    <n v="1"/>
    <n v="25"/>
    <n v="27"/>
    <n v="25"/>
    <n v="-2"/>
    <n v="-0.08"/>
    <x v="2"/>
  </r>
  <r>
    <n v="1342"/>
    <x v="615"/>
    <d v="1899-12-30T23:00:00"/>
    <x v="43"/>
    <x v="1"/>
    <n v="43"/>
    <x v="0"/>
    <n v="4"/>
    <n v="500"/>
    <n v="485"/>
    <n v="2000"/>
    <n v="1515"/>
    <n v="0.75749999999999995"/>
    <x v="0"/>
  </r>
  <r>
    <n v="1564"/>
    <x v="76"/>
    <d v="1899-12-30T22:55:00"/>
    <x v="37"/>
    <x v="0"/>
    <n v="50"/>
    <x v="2"/>
    <n v="2"/>
    <n v="50"/>
    <n v="49.5"/>
    <n v="100"/>
    <n v="50.5"/>
    <n v="0.505"/>
    <x v="1"/>
  </r>
  <r>
    <n v="1767"/>
    <x v="135"/>
    <d v="1899-12-30T17:35:00"/>
    <x v="90"/>
    <x v="0"/>
    <n v="39"/>
    <x v="1"/>
    <n v="3"/>
    <n v="25"/>
    <n v="28.25"/>
    <n v="75"/>
    <n v="46.75"/>
    <n v="0.62333333333333329"/>
    <x v="0"/>
  </r>
  <r>
    <n v="503"/>
    <x v="517"/>
    <d v="1899-12-30T20:06:00"/>
    <x v="112"/>
    <x v="0"/>
    <n v="45"/>
    <x v="1"/>
    <n v="4"/>
    <n v="500"/>
    <n v="570"/>
    <n v="2000"/>
    <n v="1430"/>
    <n v="0.71499999999999997"/>
    <x v="0"/>
  </r>
  <r>
    <n v="869"/>
    <x v="220"/>
    <d v="1899-12-30T22:16:00"/>
    <x v="71"/>
    <x v="0"/>
    <n v="37"/>
    <x v="1"/>
    <n v="3"/>
    <n v="500"/>
    <n v="485"/>
    <n v="1500"/>
    <n v="1015"/>
    <n v="0.67666666666666664"/>
    <x v="0"/>
  </r>
  <r>
    <n v="1503"/>
    <x v="640"/>
    <d v="1899-12-30T18:28:00"/>
    <x v="26"/>
    <x v="0"/>
    <n v="45"/>
    <x v="1"/>
    <n v="4"/>
    <n v="500"/>
    <n v="605"/>
    <n v="2000"/>
    <n v="1395"/>
    <n v="0.69750000000000001"/>
    <x v="0"/>
  </r>
  <r>
    <n v="1869"/>
    <x v="624"/>
    <d v="1899-12-30T19:51:00"/>
    <x v="130"/>
    <x v="0"/>
    <n v="37"/>
    <x v="1"/>
    <n v="3"/>
    <n v="500"/>
    <n v="605"/>
    <n v="1500"/>
    <n v="895"/>
    <n v="0.59666666666666668"/>
    <x v="0"/>
  </r>
  <r>
    <n v="126"/>
    <x v="134"/>
    <d v="1899-12-30T18:16:00"/>
    <x v="112"/>
    <x v="1"/>
    <n v="28"/>
    <x v="0"/>
    <n v="3"/>
    <n v="30"/>
    <n v="28.8"/>
    <n v="90"/>
    <n v="61.2"/>
    <n v="0.68"/>
    <x v="4"/>
  </r>
  <r>
    <n v="349"/>
    <x v="330"/>
    <d v="1899-12-30T17:05:00"/>
    <x v="66"/>
    <x v="1"/>
    <n v="57"/>
    <x v="1"/>
    <n v="1"/>
    <n v="50"/>
    <n v="48.5"/>
    <n v="50"/>
    <n v="1.5"/>
    <n v="0.03"/>
    <x v="2"/>
  </r>
  <r>
    <n v="440"/>
    <x v="315"/>
    <d v="1899-12-30T20:15:00"/>
    <x v="140"/>
    <x v="0"/>
    <n v="64"/>
    <x v="0"/>
    <n v="2"/>
    <n v="300"/>
    <n v="348"/>
    <n v="600"/>
    <n v="252"/>
    <n v="0.42"/>
    <x v="2"/>
  </r>
  <r>
    <n v="1126"/>
    <x v="189"/>
    <d v="1899-12-30T17:12:00"/>
    <x v="48"/>
    <x v="1"/>
    <n v="28"/>
    <x v="0"/>
    <n v="3"/>
    <n v="30"/>
    <n v="28.8"/>
    <n v="90"/>
    <n v="61.2"/>
    <n v="0.68"/>
    <x v="4"/>
  </r>
  <r>
    <n v="1349"/>
    <x v="442"/>
    <d v="1899-12-30T21:57:00"/>
    <x v="116"/>
    <x v="1"/>
    <n v="57"/>
    <x v="1"/>
    <n v="1"/>
    <n v="50"/>
    <n v="49.5"/>
    <n v="50"/>
    <n v="0.5"/>
    <n v="0.01"/>
    <x v="2"/>
  </r>
  <r>
    <n v="1440"/>
    <x v="233"/>
    <d v="1899-12-30T19:20:00"/>
    <x v="67"/>
    <x v="0"/>
    <n v="64"/>
    <x v="0"/>
    <n v="2"/>
    <n v="300"/>
    <n v="354"/>
    <n v="600"/>
    <n v="246"/>
    <n v="0.41"/>
    <x v="2"/>
  </r>
  <r>
    <n v="124"/>
    <x v="631"/>
    <d v="1899-12-30T21:17:00"/>
    <x v="148"/>
    <x v="0"/>
    <n v="33"/>
    <x v="0"/>
    <n v="4"/>
    <n v="500"/>
    <n v="515"/>
    <n v="2000"/>
    <n v="1485"/>
    <n v="0.74250000000000005"/>
    <x v="4"/>
  </r>
  <r>
    <n v="324"/>
    <x v="86"/>
    <d v="1899-12-30T17:52:00"/>
    <x v="7"/>
    <x v="1"/>
    <n v="52"/>
    <x v="2"/>
    <n v="3"/>
    <n v="50"/>
    <n v="49"/>
    <n v="150"/>
    <n v="101"/>
    <n v="0.67333333333333334"/>
    <x v="1"/>
  </r>
  <r>
    <n v="677"/>
    <x v="75"/>
    <d v="1899-12-30T21:13:00"/>
    <x v="62"/>
    <x v="1"/>
    <n v="19"/>
    <x v="1"/>
    <n v="3"/>
    <n v="500"/>
    <n v="555"/>
    <n v="1500"/>
    <n v="945"/>
    <n v="0.63"/>
    <x v="3"/>
  </r>
  <r>
    <n v="1124"/>
    <x v="340"/>
    <d v="1899-12-30T20:04:00"/>
    <x v="148"/>
    <x v="0"/>
    <n v="33"/>
    <x v="0"/>
    <n v="4"/>
    <n v="500"/>
    <n v="515"/>
    <n v="2000"/>
    <n v="1485"/>
    <n v="0.74250000000000005"/>
    <x v="4"/>
  </r>
  <r>
    <n v="1324"/>
    <x v="623"/>
    <d v="1899-12-30T20:29:00"/>
    <x v="93"/>
    <x v="1"/>
    <n v="52"/>
    <x v="2"/>
    <n v="3"/>
    <n v="50"/>
    <n v="55"/>
    <n v="150"/>
    <n v="95"/>
    <n v="0.6333333333333333"/>
    <x v="1"/>
  </r>
  <r>
    <n v="1677"/>
    <x v="627"/>
    <d v="1899-12-30T20:51:00"/>
    <x v="150"/>
    <x v="1"/>
    <n v="19"/>
    <x v="1"/>
    <n v="3"/>
    <n v="500"/>
    <n v="490"/>
    <n v="1500"/>
    <n v="1010"/>
    <n v="0.67333333333333334"/>
    <x v="3"/>
  </r>
  <r>
    <n v="30"/>
    <x v="641"/>
    <d v="1899-12-30T20:05:00"/>
    <x v="12"/>
    <x v="1"/>
    <n v="39"/>
    <x v="1"/>
    <n v="3"/>
    <n v="300"/>
    <n v="285"/>
    <n v="900"/>
    <n v="615"/>
    <n v="0.68333333333333335"/>
    <x v="0"/>
  </r>
  <r>
    <n v="226"/>
    <x v="44"/>
    <d v="1899-12-30T17:02:00"/>
    <x v="69"/>
    <x v="1"/>
    <n v="61"/>
    <x v="0"/>
    <n v="1"/>
    <n v="50"/>
    <n v="57.5"/>
    <n v="50"/>
    <n v="-7.5"/>
    <n v="-0.15"/>
    <x v="2"/>
  </r>
  <r>
    <n v="229"/>
    <x v="364"/>
    <d v="1899-12-30T19:23:00"/>
    <x v="146"/>
    <x v="0"/>
    <n v="58"/>
    <x v="1"/>
    <n v="3"/>
    <n v="30"/>
    <n v="36.9"/>
    <n v="90"/>
    <n v="53.1"/>
    <n v="0.59"/>
    <x v="2"/>
  </r>
  <r>
    <n v="896"/>
    <x v="267"/>
    <d v="1899-12-30T19:17:00"/>
    <x v="93"/>
    <x v="1"/>
    <n v="30"/>
    <x v="2"/>
    <n v="2"/>
    <n v="25"/>
    <n v="30.75"/>
    <n v="50"/>
    <n v="19.25"/>
    <n v="0.38500000000000001"/>
    <x v="4"/>
  </r>
  <r>
    <n v="959"/>
    <x v="615"/>
    <d v="1899-12-30T17:59:00"/>
    <x v="7"/>
    <x v="1"/>
    <n v="42"/>
    <x v="2"/>
    <n v="2"/>
    <n v="30"/>
    <n v="28.5"/>
    <n v="60"/>
    <n v="31.5"/>
    <n v="0.52500000000000002"/>
    <x v="0"/>
  </r>
  <r>
    <n v="998"/>
    <x v="629"/>
    <d v="1899-12-30T17:32:00"/>
    <x v="63"/>
    <x v="1"/>
    <n v="23"/>
    <x v="1"/>
    <n v="4"/>
    <n v="25"/>
    <n v="30.5"/>
    <n v="100"/>
    <n v="69.5"/>
    <n v="0.69499999999999995"/>
    <x v="3"/>
  </r>
  <r>
    <n v="1030"/>
    <x v="502"/>
    <d v="1899-12-30T18:02:00"/>
    <x v="131"/>
    <x v="1"/>
    <n v="39"/>
    <x v="1"/>
    <n v="3"/>
    <n v="300"/>
    <n v="309"/>
    <n v="900"/>
    <n v="591"/>
    <n v="0.65666666666666662"/>
    <x v="0"/>
  </r>
  <r>
    <n v="1226"/>
    <x v="226"/>
    <d v="1899-12-30T17:52:00"/>
    <x v="13"/>
    <x v="1"/>
    <n v="61"/>
    <x v="0"/>
    <n v="1"/>
    <n v="50"/>
    <n v="51"/>
    <n v="50"/>
    <n v="-1"/>
    <n v="-0.02"/>
    <x v="2"/>
  </r>
  <r>
    <n v="1229"/>
    <x v="297"/>
    <d v="1899-12-30T21:08:00"/>
    <x v="48"/>
    <x v="0"/>
    <n v="58"/>
    <x v="1"/>
    <n v="3"/>
    <n v="30"/>
    <n v="34.5"/>
    <n v="90"/>
    <n v="55.5"/>
    <n v="0.6166666666666667"/>
    <x v="2"/>
  </r>
  <r>
    <n v="1896"/>
    <x v="0"/>
    <d v="1899-12-30T20:19:00"/>
    <x v="90"/>
    <x v="1"/>
    <n v="30"/>
    <x v="2"/>
    <n v="2"/>
    <n v="25"/>
    <n v="30.75"/>
    <n v="50"/>
    <n v="19.25"/>
    <n v="0.38500000000000001"/>
    <x v="4"/>
  </r>
  <r>
    <n v="1959"/>
    <x v="201"/>
    <d v="1899-12-30T19:56:00"/>
    <x v="109"/>
    <x v="1"/>
    <n v="42"/>
    <x v="2"/>
    <n v="2"/>
    <n v="30"/>
    <n v="34.200000000000003"/>
    <n v="60"/>
    <n v="25.799999999999997"/>
    <n v="0.42999999999999994"/>
    <x v="0"/>
  </r>
  <r>
    <n v="1998"/>
    <x v="611"/>
    <d v="1899-12-30T19:53:00"/>
    <x v="52"/>
    <x v="1"/>
    <n v="23"/>
    <x v="1"/>
    <n v="4"/>
    <n v="25"/>
    <n v="24"/>
    <n v="100"/>
    <n v="76"/>
    <n v="0.76"/>
    <x v="3"/>
  </r>
  <r>
    <n v="12"/>
    <x v="642"/>
    <d v="1899-12-30T22:09:00"/>
    <x v="43"/>
    <x v="0"/>
    <n v="35"/>
    <x v="1"/>
    <n v="3"/>
    <n v="25"/>
    <n v="25.25"/>
    <n v="75"/>
    <n v="49.75"/>
    <n v="0.66333333333333333"/>
    <x v="4"/>
  </r>
  <r>
    <n v="1012"/>
    <x v="121"/>
    <d v="1899-12-30T18:47:00"/>
    <x v="93"/>
    <x v="0"/>
    <n v="35"/>
    <x v="1"/>
    <n v="3"/>
    <n v="25"/>
    <n v="27.25"/>
    <n v="75"/>
    <n v="47.75"/>
    <n v="0.63666666666666671"/>
    <x v="4"/>
  </r>
  <r>
    <n v="710"/>
    <x v="137"/>
    <d v="1899-12-30T21:11:00"/>
    <x v="41"/>
    <x v="1"/>
    <n v="26"/>
    <x v="2"/>
    <n v="3"/>
    <n v="500"/>
    <n v="495"/>
    <n v="1500"/>
    <n v="1005"/>
    <n v="0.67"/>
    <x v="4"/>
  </r>
  <r>
    <n v="776"/>
    <x v="392"/>
    <d v="1899-12-30T18:57:00"/>
    <x v="136"/>
    <x v="0"/>
    <n v="35"/>
    <x v="0"/>
    <n v="3"/>
    <n v="30"/>
    <n v="30.9"/>
    <n v="90"/>
    <n v="59.1"/>
    <n v="0.65666666666666673"/>
    <x v="4"/>
  </r>
  <r>
    <n v="817"/>
    <x v="626"/>
    <d v="1899-12-30T21:12:00"/>
    <x v="90"/>
    <x v="0"/>
    <n v="30"/>
    <x v="1"/>
    <n v="4"/>
    <n v="50"/>
    <n v="49"/>
    <n v="200"/>
    <n v="151"/>
    <n v="0.755"/>
    <x v="4"/>
  </r>
  <r>
    <n v="1710"/>
    <x v="624"/>
    <d v="1899-12-30T20:14:00"/>
    <x v="74"/>
    <x v="1"/>
    <n v="26"/>
    <x v="2"/>
    <n v="3"/>
    <n v="500"/>
    <n v="610"/>
    <n v="1500"/>
    <n v="890"/>
    <n v="0.59333333333333338"/>
    <x v="4"/>
  </r>
  <r>
    <n v="1776"/>
    <x v="624"/>
    <d v="1899-12-30T20:07:00"/>
    <x v="91"/>
    <x v="0"/>
    <n v="35"/>
    <x v="0"/>
    <n v="3"/>
    <n v="30"/>
    <n v="32.1"/>
    <n v="90"/>
    <n v="57.9"/>
    <n v="0.64333333333333331"/>
    <x v="4"/>
  </r>
  <r>
    <n v="1817"/>
    <x v="167"/>
    <d v="1899-12-30T21:22:00"/>
    <x v="18"/>
    <x v="0"/>
    <n v="30"/>
    <x v="1"/>
    <n v="4"/>
    <n v="50"/>
    <n v="50"/>
    <n v="200"/>
    <n v="150"/>
    <n v="0.75"/>
    <x v="4"/>
  </r>
  <r>
    <n v="334"/>
    <x v="515"/>
    <d v="1899-12-30T20:37:00"/>
    <x v="139"/>
    <x v="0"/>
    <n v="31"/>
    <x v="2"/>
    <n v="3"/>
    <n v="300"/>
    <n v="360"/>
    <n v="900"/>
    <n v="540"/>
    <n v="0.6"/>
    <x v="4"/>
  </r>
  <r>
    <n v="343"/>
    <x v="119"/>
    <d v="1899-12-30T18:44:00"/>
    <x v="22"/>
    <x v="0"/>
    <n v="21"/>
    <x v="2"/>
    <n v="2"/>
    <n v="25"/>
    <n v="30"/>
    <n v="50"/>
    <n v="20"/>
    <n v="0.4"/>
    <x v="3"/>
  </r>
  <r>
    <n v="628"/>
    <x v="593"/>
    <d v="1899-12-30T18:00:00"/>
    <x v="8"/>
    <x v="1"/>
    <n v="19"/>
    <x v="1"/>
    <n v="4"/>
    <n v="50"/>
    <n v="59.5"/>
    <n v="200"/>
    <n v="140.5"/>
    <n v="0.70250000000000001"/>
    <x v="3"/>
  </r>
  <r>
    <n v="983"/>
    <x v="98"/>
    <d v="1899-12-30T20:12:00"/>
    <x v="63"/>
    <x v="1"/>
    <n v="29"/>
    <x v="0"/>
    <n v="1"/>
    <n v="300"/>
    <n v="345"/>
    <n v="300"/>
    <n v="-45"/>
    <n v="-0.15"/>
    <x v="4"/>
  </r>
  <r>
    <n v="1334"/>
    <x v="133"/>
    <d v="1899-12-30T20:37:00"/>
    <x v="111"/>
    <x v="0"/>
    <n v="31"/>
    <x v="2"/>
    <n v="3"/>
    <n v="300"/>
    <n v="366"/>
    <n v="900"/>
    <n v="534"/>
    <n v="0.59333333333333338"/>
    <x v="4"/>
  </r>
  <r>
    <n v="1343"/>
    <x v="629"/>
    <d v="1899-12-30T20:10:00"/>
    <x v="90"/>
    <x v="0"/>
    <n v="21"/>
    <x v="2"/>
    <n v="2"/>
    <n v="25"/>
    <n v="28.5"/>
    <n v="50"/>
    <n v="21.5"/>
    <n v="0.43"/>
    <x v="3"/>
  </r>
  <r>
    <n v="1628"/>
    <x v="618"/>
    <d v="1899-12-30T22:23:00"/>
    <x v="71"/>
    <x v="1"/>
    <n v="19"/>
    <x v="1"/>
    <n v="4"/>
    <n v="50"/>
    <n v="58.5"/>
    <n v="200"/>
    <n v="141.5"/>
    <n v="0.70750000000000002"/>
    <x v="3"/>
  </r>
  <r>
    <n v="1983"/>
    <x v="161"/>
    <d v="1899-12-30T21:38:00"/>
    <x v="43"/>
    <x v="1"/>
    <n v="29"/>
    <x v="0"/>
    <n v="1"/>
    <n v="300"/>
    <n v="303"/>
    <n v="300"/>
    <n v="-3"/>
    <n v="-0.01"/>
    <x v="4"/>
  </r>
  <r>
    <n v="141"/>
    <x v="134"/>
    <d v="1899-12-30T19:26:00"/>
    <x v="7"/>
    <x v="1"/>
    <n v="22"/>
    <x v="2"/>
    <n v="1"/>
    <n v="50"/>
    <n v="59"/>
    <n v="50"/>
    <n v="-9"/>
    <n v="-0.18"/>
    <x v="3"/>
  </r>
  <r>
    <n v="145"/>
    <x v="643"/>
    <d v="1899-12-30T19:21:00"/>
    <x v="141"/>
    <x v="1"/>
    <n v="39"/>
    <x v="0"/>
    <n v="3"/>
    <n v="25"/>
    <n v="27.5"/>
    <n v="75"/>
    <n v="47.5"/>
    <n v="0.6333333333333333"/>
    <x v="0"/>
  </r>
  <r>
    <n v="507"/>
    <x v="136"/>
    <d v="1899-12-30T21:40:00"/>
    <x v="1"/>
    <x v="1"/>
    <n v="37"/>
    <x v="2"/>
    <n v="3"/>
    <n v="500"/>
    <n v="485"/>
    <n v="1500"/>
    <n v="1015"/>
    <n v="0.67666666666666664"/>
    <x v="0"/>
  </r>
  <r>
    <n v="841"/>
    <x v="14"/>
    <d v="1899-12-30T20:58:00"/>
    <x v="145"/>
    <x v="0"/>
    <n v="31"/>
    <x v="2"/>
    <n v="4"/>
    <n v="25"/>
    <n v="28.5"/>
    <n v="100"/>
    <n v="71.5"/>
    <n v="0.71499999999999997"/>
    <x v="4"/>
  </r>
  <r>
    <n v="898"/>
    <x v="359"/>
    <d v="1899-12-30T20:55:00"/>
    <x v="132"/>
    <x v="1"/>
    <n v="42"/>
    <x v="0"/>
    <n v="3"/>
    <n v="30"/>
    <n v="35.1"/>
    <n v="90"/>
    <n v="54.9"/>
    <n v="0.61"/>
    <x v="0"/>
  </r>
  <r>
    <n v="951"/>
    <x v="615"/>
    <d v="1899-12-30T21:35:00"/>
    <x v="11"/>
    <x v="0"/>
    <n v="33"/>
    <x v="1"/>
    <n v="2"/>
    <n v="50"/>
    <n v="57.5"/>
    <n v="100"/>
    <n v="42.5"/>
    <n v="0.42499999999999999"/>
    <x v="4"/>
  </r>
  <r>
    <n v="1141"/>
    <x v="359"/>
    <d v="1899-12-30T19:13:00"/>
    <x v="62"/>
    <x v="1"/>
    <n v="22"/>
    <x v="2"/>
    <n v="1"/>
    <n v="50"/>
    <n v="58"/>
    <n v="50"/>
    <n v="-8"/>
    <n v="-0.16"/>
    <x v="3"/>
  </r>
  <r>
    <n v="1145"/>
    <x v="233"/>
    <d v="1899-12-30T19:19:00"/>
    <x v="90"/>
    <x v="1"/>
    <n v="39"/>
    <x v="0"/>
    <n v="3"/>
    <n v="25"/>
    <n v="31"/>
    <n v="75"/>
    <n v="44"/>
    <n v="0.58666666666666667"/>
    <x v="0"/>
  </r>
  <r>
    <n v="1507"/>
    <x v="168"/>
    <d v="1899-12-30T22:14:00"/>
    <x v="109"/>
    <x v="1"/>
    <n v="37"/>
    <x v="2"/>
    <n v="3"/>
    <n v="500"/>
    <n v="520"/>
    <n v="1500"/>
    <n v="980"/>
    <n v="0.65333333333333332"/>
    <x v="0"/>
  </r>
  <r>
    <n v="1841"/>
    <x v="410"/>
    <d v="1899-12-30T18:55:00"/>
    <x v="30"/>
    <x v="0"/>
    <n v="31"/>
    <x v="2"/>
    <n v="4"/>
    <n v="25"/>
    <n v="28.25"/>
    <n v="100"/>
    <n v="71.75"/>
    <n v="0.71750000000000003"/>
    <x v="4"/>
  </r>
  <r>
    <n v="1898"/>
    <x v="300"/>
    <d v="1899-12-30T18:17:00"/>
    <x v="81"/>
    <x v="1"/>
    <n v="42"/>
    <x v="0"/>
    <n v="3"/>
    <n v="30"/>
    <n v="35.1"/>
    <n v="90"/>
    <n v="54.9"/>
    <n v="0.61"/>
    <x v="0"/>
  </r>
  <r>
    <n v="1951"/>
    <x v="614"/>
    <d v="1899-12-30T18:56:00"/>
    <x v="7"/>
    <x v="0"/>
    <n v="33"/>
    <x v="1"/>
    <n v="2"/>
    <n v="50"/>
    <n v="59.5"/>
    <n v="100"/>
    <n v="40.5"/>
    <n v="0.40500000000000003"/>
    <x v="4"/>
  </r>
  <r>
    <n v="181"/>
    <x v="350"/>
    <d v="1899-12-30T19:59:00"/>
    <x v="154"/>
    <x v="0"/>
    <n v="19"/>
    <x v="2"/>
    <n v="4"/>
    <n v="300"/>
    <n v="327"/>
    <n v="1200"/>
    <n v="873"/>
    <n v="0.72750000000000004"/>
    <x v="3"/>
  </r>
  <r>
    <n v="1181"/>
    <x v="643"/>
    <d v="1899-12-30T18:28:00"/>
    <x v="150"/>
    <x v="0"/>
    <n v="19"/>
    <x v="2"/>
    <n v="4"/>
    <n v="300"/>
    <n v="354"/>
    <n v="1200"/>
    <n v="846"/>
    <n v="0.70499999999999996"/>
    <x v="3"/>
  </r>
  <r>
    <n v="784"/>
    <x v="400"/>
    <d v="1899-12-30T22:44:00"/>
    <x v="41"/>
    <x v="1"/>
    <n v="34"/>
    <x v="2"/>
    <n v="1"/>
    <n v="500"/>
    <n v="610"/>
    <n v="500"/>
    <n v="-110"/>
    <n v="-0.22"/>
    <x v="4"/>
  </r>
  <r>
    <n v="1784"/>
    <x v="326"/>
    <d v="1899-12-30T20:58:00"/>
    <x v="151"/>
    <x v="1"/>
    <n v="34"/>
    <x v="2"/>
    <n v="1"/>
    <n v="500"/>
    <n v="500"/>
    <n v="500"/>
    <n v="0"/>
    <n v="0"/>
    <x v="4"/>
  </r>
  <r>
    <n v="20"/>
    <x v="289"/>
    <d v="1899-12-30T21:35:00"/>
    <x v="3"/>
    <x v="0"/>
    <n v="22"/>
    <x v="0"/>
    <n v="3"/>
    <n v="300"/>
    <n v="345"/>
    <n v="900"/>
    <n v="555"/>
    <n v="0.6166666666666667"/>
    <x v="3"/>
  </r>
  <r>
    <n v="690"/>
    <x v="449"/>
    <d v="1899-12-30T18:39:00"/>
    <x v="147"/>
    <x v="1"/>
    <n v="52"/>
    <x v="0"/>
    <n v="3"/>
    <n v="300"/>
    <n v="324"/>
    <n v="900"/>
    <n v="576"/>
    <n v="0.64"/>
    <x v="1"/>
  </r>
  <r>
    <n v="1020"/>
    <x v="34"/>
    <d v="1899-12-30T18:30:00"/>
    <x v="67"/>
    <x v="0"/>
    <n v="22"/>
    <x v="0"/>
    <n v="3"/>
    <n v="300"/>
    <n v="300"/>
    <n v="900"/>
    <n v="600"/>
    <n v="0.66666666666666663"/>
    <x v="3"/>
  </r>
  <r>
    <n v="1690"/>
    <x v="385"/>
    <d v="1899-12-30T17:36:00"/>
    <x v="32"/>
    <x v="1"/>
    <n v="52"/>
    <x v="0"/>
    <n v="3"/>
    <n v="300"/>
    <n v="369"/>
    <n v="900"/>
    <n v="531"/>
    <n v="0.59"/>
    <x v="1"/>
  </r>
  <r>
    <n v="47"/>
    <x v="630"/>
    <d v="1899-12-30T17:22:00"/>
    <x v="131"/>
    <x v="1"/>
    <n v="40"/>
    <x v="1"/>
    <n v="3"/>
    <n v="500"/>
    <n v="600"/>
    <n v="1500"/>
    <n v="900"/>
    <n v="0.6"/>
    <x v="0"/>
  </r>
  <r>
    <n v="405"/>
    <x v="640"/>
    <d v="1899-12-30T17:55:00"/>
    <x v="154"/>
    <x v="1"/>
    <n v="25"/>
    <x v="0"/>
    <n v="4"/>
    <n v="300"/>
    <n v="324"/>
    <n v="1200"/>
    <n v="876"/>
    <n v="0.73"/>
    <x v="3"/>
  </r>
  <r>
    <n v="1047"/>
    <x v="495"/>
    <d v="1899-12-30T21:53:00"/>
    <x v="150"/>
    <x v="1"/>
    <n v="40"/>
    <x v="1"/>
    <n v="3"/>
    <n v="500"/>
    <n v="490"/>
    <n v="1500"/>
    <n v="1010"/>
    <n v="0.67333333333333334"/>
    <x v="0"/>
  </r>
  <r>
    <n v="1405"/>
    <x v="594"/>
    <d v="1899-12-30T20:08:00"/>
    <x v="147"/>
    <x v="1"/>
    <n v="25"/>
    <x v="0"/>
    <n v="4"/>
    <n v="300"/>
    <n v="342"/>
    <n v="1200"/>
    <n v="858"/>
    <n v="0.71499999999999997"/>
    <x v="3"/>
  </r>
  <r>
    <n v="205"/>
    <x v="34"/>
    <d v="1899-12-30T17:20:00"/>
    <x v="42"/>
    <x v="1"/>
    <n v="43"/>
    <x v="0"/>
    <n v="1"/>
    <n v="25"/>
    <n v="25.5"/>
    <n v="25"/>
    <n v="-0.5"/>
    <n v="-0.02"/>
    <x v="0"/>
  </r>
  <r>
    <n v="512"/>
    <x v="514"/>
    <d v="1899-12-30T18:00:00"/>
    <x v="93"/>
    <x v="1"/>
    <n v="57"/>
    <x v="1"/>
    <n v="1"/>
    <n v="25"/>
    <n v="9.5"/>
    <n v="25"/>
    <n v="15.5"/>
    <n v="0.62"/>
    <x v="2"/>
  </r>
  <r>
    <n v="565"/>
    <x v="385"/>
    <d v="1899-12-30T20:24:00"/>
    <x v="56"/>
    <x v="1"/>
    <n v="45"/>
    <x v="1"/>
    <n v="2"/>
    <n v="30"/>
    <n v="9"/>
    <n v="60"/>
    <n v="51"/>
    <n v="0.85"/>
    <x v="0"/>
  </r>
  <r>
    <n v="761"/>
    <x v="4"/>
    <d v="1899-12-30T22:16:00"/>
    <x v="141"/>
    <x v="1"/>
    <n v="33"/>
    <x v="0"/>
    <n v="1"/>
    <n v="500"/>
    <n v="275"/>
    <n v="500"/>
    <n v="225"/>
    <n v="0.45"/>
    <x v="4"/>
  </r>
  <r>
    <n v="762"/>
    <x v="370"/>
    <d v="1899-12-30T17:49:00"/>
    <x v="93"/>
    <x v="1"/>
    <n v="24"/>
    <x v="2"/>
    <n v="2"/>
    <n v="25"/>
    <n v="10.25"/>
    <n v="50"/>
    <n v="39.75"/>
    <n v="0.79500000000000004"/>
    <x v="3"/>
  </r>
  <r>
    <n v="950"/>
    <x v="210"/>
    <d v="1899-12-30T21:27:00"/>
    <x v="56"/>
    <x v="0"/>
    <n v="36"/>
    <x v="0"/>
    <n v="3"/>
    <n v="300"/>
    <n v="144"/>
    <n v="900"/>
    <n v="756"/>
    <n v="0.84"/>
    <x v="0"/>
  </r>
  <r>
    <n v="1205"/>
    <x v="540"/>
    <d v="1899-12-30T19:19:00"/>
    <x v="85"/>
    <x v="1"/>
    <n v="43"/>
    <x v="0"/>
    <n v="1"/>
    <n v="25"/>
    <n v="7.25"/>
    <n v="25"/>
    <n v="17.75"/>
    <n v="0.71"/>
    <x v="0"/>
  </r>
  <r>
    <n v="1512"/>
    <x v="453"/>
    <d v="1899-12-30T20:05:00"/>
    <x v="101"/>
    <x v="1"/>
    <n v="57"/>
    <x v="1"/>
    <n v="1"/>
    <n v="25"/>
    <n v="13.25"/>
    <n v="25"/>
    <n v="11.75"/>
    <n v="0.47"/>
    <x v="2"/>
  </r>
  <r>
    <n v="1565"/>
    <x v="457"/>
    <d v="1899-12-30T20:45:00"/>
    <x v="119"/>
    <x v="1"/>
    <n v="45"/>
    <x v="1"/>
    <n v="2"/>
    <n v="30"/>
    <n v="11.1"/>
    <n v="60"/>
    <n v="48.9"/>
    <n v="0.81499999999999995"/>
    <x v="0"/>
  </r>
  <r>
    <n v="1761"/>
    <x v="475"/>
    <d v="1899-12-30T18:46:00"/>
    <x v="36"/>
    <x v="1"/>
    <n v="33"/>
    <x v="0"/>
    <n v="1"/>
    <n v="500"/>
    <n v="200"/>
    <n v="500"/>
    <n v="300"/>
    <n v="0.6"/>
    <x v="4"/>
  </r>
  <r>
    <n v="1762"/>
    <x v="223"/>
    <d v="1899-12-30T18:43:00"/>
    <x v="81"/>
    <x v="1"/>
    <n v="24"/>
    <x v="2"/>
    <n v="2"/>
    <n v="25"/>
    <n v="11"/>
    <n v="50"/>
    <n v="39"/>
    <n v="0.78"/>
    <x v="3"/>
  </r>
  <r>
    <n v="1950"/>
    <x v="495"/>
    <d v="1899-12-30T19:23:00"/>
    <x v="17"/>
    <x v="0"/>
    <n v="36"/>
    <x v="0"/>
    <n v="3"/>
    <n v="300"/>
    <n v="84"/>
    <n v="900"/>
    <n v="816"/>
    <n v="0.90666666666666662"/>
    <x v="0"/>
  </r>
  <r>
    <n v="86"/>
    <x v="347"/>
    <d v="1899-12-30T18:55:00"/>
    <x v="69"/>
    <x v="0"/>
    <n v="19"/>
    <x v="1"/>
    <n v="3"/>
    <n v="30"/>
    <n v="15.6"/>
    <n v="90"/>
    <n v="74.400000000000006"/>
    <n v="0.82666666666666677"/>
    <x v="3"/>
  </r>
  <r>
    <n v="173"/>
    <x v="449"/>
    <d v="1899-12-30T17:30:00"/>
    <x v="3"/>
    <x v="0"/>
    <n v="64"/>
    <x v="2"/>
    <n v="4"/>
    <n v="30"/>
    <n v="14.1"/>
    <n v="120"/>
    <n v="105.9"/>
    <n v="0.88250000000000006"/>
    <x v="2"/>
  </r>
  <r>
    <n v="1086"/>
    <x v="308"/>
    <d v="1899-12-30T19:50:00"/>
    <x v="150"/>
    <x v="0"/>
    <n v="19"/>
    <x v="1"/>
    <n v="3"/>
    <n v="30"/>
    <n v="16.5"/>
    <n v="90"/>
    <n v="73.5"/>
    <n v="0.81666666666666665"/>
    <x v="3"/>
  </r>
  <r>
    <n v="1173"/>
    <x v="495"/>
    <d v="1899-12-30T21:03:00"/>
    <x v="118"/>
    <x v="0"/>
    <n v="64"/>
    <x v="2"/>
    <n v="4"/>
    <n v="30"/>
    <n v="15"/>
    <n v="120"/>
    <n v="105"/>
    <n v="0.875"/>
    <x v="2"/>
  </r>
  <r>
    <n v="595"/>
    <x v="633"/>
    <d v="1899-12-30T21:35:00"/>
    <x v="62"/>
    <x v="1"/>
    <n v="18"/>
    <x v="0"/>
    <n v="4"/>
    <n v="500"/>
    <n v="210"/>
    <n v="2000"/>
    <n v="1790"/>
    <n v="0.89500000000000002"/>
    <x v="3"/>
  </r>
  <r>
    <n v="827"/>
    <x v="594"/>
    <d v="1899-12-30T19:24:00"/>
    <x v="131"/>
    <x v="0"/>
    <n v="61"/>
    <x v="1"/>
    <n v="3"/>
    <n v="300"/>
    <n v="165"/>
    <n v="900"/>
    <n v="735"/>
    <n v="0.81666666666666665"/>
    <x v="2"/>
  </r>
  <r>
    <n v="965"/>
    <x v="502"/>
    <d v="1899-12-30T21:45:00"/>
    <x v="150"/>
    <x v="0"/>
    <n v="22"/>
    <x v="0"/>
    <n v="4"/>
    <n v="50"/>
    <n v="13"/>
    <n v="200"/>
    <n v="187"/>
    <n v="0.93500000000000005"/>
    <x v="3"/>
  </r>
  <r>
    <n v="1595"/>
    <x v="637"/>
    <d v="1899-12-30T17:44:00"/>
    <x v="37"/>
    <x v="1"/>
    <n v="18"/>
    <x v="0"/>
    <n v="4"/>
    <n v="500"/>
    <n v="255"/>
    <n v="2000"/>
    <n v="1745"/>
    <n v="0.87250000000000005"/>
    <x v="3"/>
  </r>
  <r>
    <n v="1827"/>
    <x v="119"/>
    <d v="1899-12-30T20:02:00"/>
    <x v="48"/>
    <x v="0"/>
    <n v="61"/>
    <x v="1"/>
    <n v="3"/>
    <n v="300"/>
    <n v="132"/>
    <n v="900"/>
    <n v="768"/>
    <n v="0.85333333333333339"/>
    <x v="2"/>
  </r>
  <r>
    <n v="1965"/>
    <x v="2"/>
    <d v="1899-12-30T20:03:00"/>
    <x v="108"/>
    <x v="0"/>
    <n v="22"/>
    <x v="0"/>
    <n v="4"/>
    <n v="50"/>
    <n v="21.5"/>
    <n v="200"/>
    <n v="178.5"/>
    <n v="0.89249999999999996"/>
    <x v="3"/>
  </r>
  <r>
    <n v="388"/>
    <x v="614"/>
    <d v="1899-12-30T19:04:00"/>
    <x v="111"/>
    <x v="0"/>
    <n v="50"/>
    <x v="2"/>
    <n v="1"/>
    <n v="25"/>
    <n v="12.25"/>
    <n v="25"/>
    <n v="12.75"/>
    <n v="0.51"/>
    <x v="1"/>
  </r>
  <r>
    <n v="631"/>
    <x v="246"/>
    <d v="1899-12-30T22:18:00"/>
    <x v="146"/>
    <x v="0"/>
    <n v="56"/>
    <x v="2"/>
    <n v="3"/>
    <n v="30"/>
    <n v="16.5"/>
    <n v="90"/>
    <n v="73.5"/>
    <n v="0.81666666666666665"/>
    <x v="2"/>
  </r>
  <r>
    <n v="1388"/>
    <x v="412"/>
    <d v="1899-12-30T18:12:00"/>
    <x v="27"/>
    <x v="0"/>
    <n v="50"/>
    <x v="2"/>
    <n v="1"/>
    <n v="25"/>
    <n v="6.75"/>
    <n v="25"/>
    <n v="18.25"/>
    <n v="0.73"/>
    <x v="1"/>
  </r>
  <r>
    <n v="1631"/>
    <x v="134"/>
    <d v="1899-12-30T19:11:00"/>
    <x v="56"/>
    <x v="0"/>
    <n v="56"/>
    <x v="2"/>
    <n v="3"/>
    <n v="30"/>
    <n v="12.3"/>
    <n v="90"/>
    <n v="77.7"/>
    <n v="0.8633333333333334"/>
    <x v="2"/>
  </r>
  <r>
    <n v="554"/>
    <x v="514"/>
    <d v="1899-12-30T21:04:00"/>
    <x v="30"/>
    <x v="1"/>
    <n v="46"/>
    <x v="1"/>
    <n v="3"/>
    <n v="50"/>
    <n v="13"/>
    <n v="150"/>
    <n v="137"/>
    <n v="0.91333333333333333"/>
    <x v="1"/>
  </r>
  <r>
    <n v="812"/>
    <x v="582"/>
    <d v="1899-12-30T17:45:00"/>
    <x v="27"/>
    <x v="0"/>
    <n v="19"/>
    <x v="2"/>
    <n v="3"/>
    <n v="25"/>
    <n v="11.25"/>
    <n v="75"/>
    <n v="63.75"/>
    <n v="0.85"/>
    <x v="3"/>
  </r>
  <r>
    <n v="1554"/>
    <x v="370"/>
    <d v="1899-12-30T19:55:00"/>
    <x v="148"/>
    <x v="1"/>
    <n v="46"/>
    <x v="1"/>
    <n v="3"/>
    <n v="50"/>
    <n v="15.5"/>
    <n v="150"/>
    <n v="134.5"/>
    <n v="0.89666666666666661"/>
    <x v="1"/>
  </r>
  <r>
    <n v="1812"/>
    <x v="603"/>
    <d v="1899-12-30T22:19:00"/>
    <x v="3"/>
    <x v="0"/>
    <n v="19"/>
    <x v="2"/>
    <n v="3"/>
    <n v="25"/>
    <n v="12"/>
    <n v="75"/>
    <n v="63"/>
    <n v="0.84"/>
    <x v="3"/>
  </r>
  <r>
    <n v="58"/>
    <x v="249"/>
    <d v="1899-12-30T19:18:00"/>
    <x v="132"/>
    <x v="0"/>
    <n v="18"/>
    <x v="0"/>
    <n v="4"/>
    <n v="300"/>
    <n v="75"/>
    <n v="1200"/>
    <n v="1125"/>
    <n v="0.9375"/>
    <x v="3"/>
  </r>
  <r>
    <n v="952"/>
    <x v="161"/>
    <d v="1899-12-30T18:09:00"/>
    <x v="69"/>
    <x v="1"/>
    <n v="57"/>
    <x v="0"/>
    <n v="1"/>
    <n v="25"/>
    <n v="13.25"/>
    <n v="25"/>
    <n v="11.75"/>
    <n v="0.47"/>
    <x v="2"/>
  </r>
  <r>
    <n v="1058"/>
    <x v="77"/>
    <d v="1899-12-30T18:31:00"/>
    <x v="151"/>
    <x v="0"/>
    <n v="18"/>
    <x v="0"/>
    <n v="4"/>
    <n v="300"/>
    <n v="153"/>
    <n v="1200"/>
    <n v="1047"/>
    <n v="0.87250000000000005"/>
    <x v="3"/>
  </r>
  <r>
    <n v="1952"/>
    <x v="75"/>
    <d v="1899-12-30T22:13:00"/>
    <x v="43"/>
    <x v="1"/>
    <n v="57"/>
    <x v="0"/>
    <n v="1"/>
    <n v="25"/>
    <n v="13.5"/>
    <n v="25"/>
    <n v="11.5"/>
    <n v="0.46"/>
    <x v="2"/>
  </r>
  <r>
    <n v="345"/>
    <x v="107"/>
    <d v="1899-12-30T18:56:00"/>
    <x v="74"/>
    <x v="0"/>
    <n v="62"/>
    <x v="2"/>
    <n v="1"/>
    <n v="30"/>
    <n v="13.5"/>
    <n v="30"/>
    <n v="16.5"/>
    <n v="0.55000000000000004"/>
    <x v="2"/>
  </r>
  <r>
    <n v="458"/>
    <x v="617"/>
    <d v="1899-12-30T21:35:00"/>
    <x v="140"/>
    <x v="1"/>
    <n v="39"/>
    <x v="2"/>
    <n v="4"/>
    <n v="25"/>
    <n v="7"/>
    <n v="100"/>
    <n v="93"/>
    <n v="0.93"/>
    <x v="0"/>
  </r>
  <r>
    <n v="582"/>
    <x v="172"/>
    <d v="1899-12-30T21:38:00"/>
    <x v="140"/>
    <x v="0"/>
    <n v="35"/>
    <x v="0"/>
    <n v="3"/>
    <n v="300"/>
    <n v="75"/>
    <n v="900"/>
    <n v="825"/>
    <n v="0.91666666666666663"/>
    <x v="4"/>
  </r>
  <r>
    <n v="963"/>
    <x v="425"/>
    <d v="1899-12-30T18:24:00"/>
    <x v="104"/>
    <x v="1"/>
    <n v="55"/>
    <x v="1"/>
    <n v="1"/>
    <n v="50"/>
    <n v="13"/>
    <n v="50"/>
    <n v="37"/>
    <n v="0.74"/>
    <x v="1"/>
  </r>
  <r>
    <n v="1345"/>
    <x v="51"/>
    <d v="1899-12-30T17:50:00"/>
    <x v="20"/>
    <x v="0"/>
    <n v="62"/>
    <x v="2"/>
    <n v="1"/>
    <n v="30"/>
    <n v="11.4"/>
    <n v="30"/>
    <n v="18.600000000000001"/>
    <n v="0.62"/>
    <x v="2"/>
  </r>
  <r>
    <n v="1458"/>
    <x v="303"/>
    <d v="1899-12-30T19:21:00"/>
    <x v="109"/>
    <x v="1"/>
    <n v="39"/>
    <x v="2"/>
    <n v="4"/>
    <n v="25"/>
    <n v="9.75"/>
    <n v="100"/>
    <n v="90.25"/>
    <n v="0.90249999999999997"/>
    <x v="0"/>
  </r>
  <r>
    <n v="1582"/>
    <x v="487"/>
    <d v="1899-12-30T19:12:00"/>
    <x v="93"/>
    <x v="0"/>
    <n v="35"/>
    <x v="0"/>
    <n v="3"/>
    <n v="300"/>
    <n v="114"/>
    <n v="900"/>
    <n v="786"/>
    <n v="0.87333333333333329"/>
    <x v="4"/>
  </r>
  <r>
    <n v="1963"/>
    <x v="2"/>
    <d v="1899-12-30T20:56:00"/>
    <x v="37"/>
    <x v="1"/>
    <n v="55"/>
    <x v="1"/>
    <n v="1"/>
    <n v="50"/>
    <n v="20.5"/>
    <n v="50"/>
    <n v="29.5"/>
    <n v="0.59"/>
    <x v="1"/>
  </r>
  <r>
    <n v="369"/>
    <x v="288"/>
    <d v="1899-12-30T19:42:00"/>
    <x v="91"/>
    <x v="0"/>
    <n v="23"/>
    <x v="2"/>
    <n v="3"/>
    <n v="500"/>
    <n v="215"/>
    <n v="1500"/>
    <n v="1285"/>
    <n v="0.85666666666666669"/>
    <x v="3"/>
  </r>
  <r>
    <n v="706"/>
    <x v="622"/>
    <d v="1899-12-30T22:19:00"/>
    <x v="8"/>
    <x v="0"/>
    <n v="51"/>
    <x v="2"/>
    <n v="4"/>
    <n v="25"/>
    <n v="8"/>
    <n v="100"/>
    <n v="92"/>
    <n v="0.92"/>
    <x v="1"/>
  </r>
  <r>
    <n v="747"/>
    <x v="149"/>
    <d v="1899-12-30T18:12:00"/>
    <x v="71"/>
    <x v="0"/>
    <n v="23"/>
    <x v="1"/>
    <n v="1"/>
    <n v="30"/>
    <n v="9.3000000000000007"/>
    <n v="30"/>
    <n v="20.7"/>
    <n v="0.69"/>
    <x v="3"/>
  </r>
  <r>
    <n v="1369"/>
    <x v="98"/>
    <d v="1899-12-30T21:14:00"/>
    <x v="141"/>
    <x v="0"/>
    <n v="23"/>
    <x v="2"/>
    <n v="3"/>
    <n v="500"/>
    <n v="180"/>
    <n v="1500"/>
    <n v="1320"/>
    <n v="0.88"/>
    <x v="3"/>
  </r>
  <r>
    <n v="1706"/>
    <x v="515"/>
    <d v="1899-12-30T18:04:00"/>
    <x v="38"/>
    <x v="0"/>
    <n v="51"/>
    <x v="2"/>
    <n v="4"/>
    <n v="25"/>
    <n v="11.75"/>
    <n v="100"/>
    <n v="88.25"/>
    <n v="0.88249999999999995"/>
    <x v="1"/>
  </r>
  <r>
    <n v="1747"/>
    <x v="385"/>
    <d v="1899-12-30T18:22:00"/>
    <x v="90"/>
    <x v="0"/>
    <n v="23"/>
    <x v="1"/>
    <n v="1"/>
    <n v="30"/>
    <n v="16.2"/>
    <n v="30"/>
    <n v="13.8"/>
    <n v="0.46"/>
    <x v="3"/>
  </r>
  <r>
    <n v="533"/>
    <x v="50"/>
    <d v="1899-12-30T17:19:00"/>
    <x v="146"/>
    <x v="0"/>
    <n v="19"/>
    <x v="2"/>
    <n v="3"/>
    <n v="500"/>
    <n v="155"/>
    <n v="1500"/>
    <n v="1345"/>
    <n v="0.89666666666666661"/>
    <x v="3"/>
  </r>
  <r>
    <n v="1533"/>
    <x v="141"/>
    <d v="1899-12-30T19:35:00"/>
    <x v="26"/>
    <x v="0"/>
    <n v="19"/>
    <x v="2"/>
    <n v="3"/>
    <n v="500"/>
    <n v="255"/>
    <n v="1500"/>
    <n v="1245"/>
    <n v="0.83"/>
    <x v="3"/>
  </r>
  <r>
    <n v="169"/>
    <x v="578"/>
    <d v="1899-12-30T18:47:00"/>
    <x v="152"/>
    <x v="0"/>
    <n v="18"/>
    <x v="1"/>
    <n v="3"/>
    <n v="500"/>
    <n v="145"/>
    <n v="1500"/>
    <n v="1355"/>
    <n v="0.90333333333333332"/>
    <x v="3"/>
  </r>
  <r>
    <n v="645"/>
    <x v="576"/>
    <d v="1899-12-30T22:11:00"/>
    <x v="71"/>
    <x v="1"/>
    <n v="35"/>
    <x v="2"/>
    <n v="4"/>
    <n v="30"/>
    <n v="11.1"/>
    <n v="120"/>
    <n v="108.9"/>
    <n v="0.90750000000000008"/>
    <x v="4"/>
  </r>
  <r>
    <n v="968"/>
    <x v="518"/>
    <d v="1899-12-30T20:34:00"/>
    <x v="32"/>
    <x v="1"/>
    <n v="48"/>
    <x v="0"/>
    <n v="3"/>
    <n v="300"/>
    <n v="120"/>
    <n v="900"/>
    <n v="780"/>
    <n v="0.8666666666666667"/>
    <x v="1"/>
  </r>
  <r>
    <n v="997"/>
    <x v="319"/>
    <d v="1899-12-30T20:36:00"/>
    <x v="71"/>
    <x v="0"/>
    <n v="52"/>
    <x v="1"/>
    <n v="3"/>
    <n v="30"/>
    <n v="15"/>
    <n v="90"/>
    <n v="75"/>
    <n v="0.83333333333333337"/>
    <x v="1"/>
  </r>
  <r>
    <n v="1169"/>
    <x v="190"/>
    <d v="1899-12-30T17:12:00"/>
    <x v="32"/>
    <x v="0"/>
    <n v="18"/>
    <x v="1"/>
    <n v="3"/>
    <n v="500"/>
    <n v="255"/>
    <n v="1500"/>
    <n v="1245"/>
    <n v="0.83"/>
    <x v="3"/>
  </r>
  <r>
    <n v="1645"/>
    <x v="466"/>
    <d v="1899-12-30T17:27:00"/>
    <x v="136"/>
    <x v="1"/>
    <n v="35"/>
    <x v="2"/>
    <n v="4"/>
    <n v="30"/>
    <n v="9"/>
    <n v="120"/>
    <n v="111"/>
    <n v="0.92500000000000004"/>
    <x v="4"/>
  </r>
  <r>
    <n v="1968"/>
    <x v="133"/>
    <d v="1899-12-30T19:09:00"/>
    <x v="56"/>
    <x v="1"/>
    <n v="48"/>
    <x v="0"/>
    <n v="3"/>
    <n v="300"/>
    <n v="153"/>
    <n v="900"/>
    <n v="747"/>
    <n v="0.83"/>
    <x v="1"/>
  </r>
  <r>
    <n v="1997"/>
    <x v="272"/>
    <d v="1899-12-30T21:09:00"/>
    <x v="123"/>
    <x v="0"/>
    <n v="52"/>
    <x v="1"/>
    <n v="3"/>
    <n v="30"/>
    <n v="10.199999999999999"/>
    <n v="90"/>
    <n v="79.8"/>
    <n v="0.8866666666666666"/>
    <x v="1"/>
  </r>
  <r>
    <n v="57"/>
    <x v="181"/>
    <d v="1899-12-30T20:12:00"/>
    <x v="141"/>
    <x v="1"/>
    <n v="63"/>
    <x v="1"/>
    <n v="1"/>
    <n v="30"/>
    <n v="10.199999999999999"/>
    <n v="30"/>
    <n v="19.8"/>
    <n v="0.66"/>
    <x v="2"/>
  </r>
  <r>
    <n v="137"/>
    <x v="619"/>
    <d v="1899-12-30T20:42:00"/>
    <x v="8"/>
    <x v="0"/>
    <n v="46"/>
    <x v="1"/>
    <n v="2"/>
    <n v="500"/>
    <n v="125"/>
    <n v="1000"/>
    <n v="875"/>
    <n v="0.875"/>
    <x v="1"/>
  </r>
  <r>
    <n v="778"/>
    <x v="288"/>
    <d v="1899-12-30T18:28:00"/>
    <x v="101"/>
    <x v="1"/>
    <n v="47"/>
    <x v="1"/>
    <n v="4"/>
    <n v="25"/>
    <n v="13.75"/>
    <n v="100"/>
    <n v="86.25"/>
    <n v="0.86250000000000004"/>
    <x v="1"/>
  </r>
  <r>
    <n v="1057"/>
    <x v="591"/>
    <d v="1899-12-30T22:31:00"/>
    <x v="43"/>
    <x v="1"/>
    <n v="63"/>
    <x v="1"/>
    <n v="1"/>
    <n v="30"/>
    <n v="15.9"/>
    <n v="30"/>
    <n v="14.1"/>
    <n v="0.47"/>
    <x v="2"/>
  </r>
  <r>
    <n v="1137"/>
    <x v="0"/>
    <d v="1899-12-30T22:34:00"/>
    <x v="74"/>
    <x v="0"/>
    <n v="46"/>
    <x v="1"/>
    <n v="2"/>
    <n v="500"/>
    <n v="145"/>
    <n v="1000"/>
    <n v="855"/>
    <n v="0.85499999999999998"/>
    <x v="1"/>
  </r>
  <r>
    <n v="1778"/>
    <x v="267"/>
    <d v="1899-12-30T19:57:00"/>
    <x v="30"/>
    <x v="1"/>
    <n v="47"/>
    <x v="1"/>
    <n v="4"/>
    <n v="25"/>
    <n v="11.25"/>
    <n v="100"/>
    <n v="88.75"/>
    <n v="0.88749999999999996"/>
    <x v="1"/>
  </r>
  <r>
    <n v="599"/>
    <x v="276"/>
    <d v="1899-12-30T19:07:00"/>
    <x v="18"/>
    <x v="1"/>
    <n v="28"/>
    <x v="1"/>
    <n v="2"/>
    <n v="50"/>
    <n v="24.5"/>
    <n v="100"/>
    <n v="75.5"/>
    <n v="0.755"/>
    <x v="4"/>
  </r>
  <r>
    <n v="938"/>
    <x v="30"/>
    <d v="1899-12-30T17:55:00"/>
    <x v="139"/>
    <x v="0"/>
    <n v="49"/>
    <x v="0"/>
    <n v="4"/>
    <n v="50"/>
    <n v="23"/>
    <n v="200"/>
    <n v="177"/>
    <n v="0.88500000000000001"/>
    <x v="1"/>
  </r>
  <r>
    <n v="1599"/>
    <x v="183"/>
    <d v="1899-12-30T17:23:00"/>
    <x v="140"/>
    <x v="1"/>
    <n v="28"/>
    <x v="1"/>
    <n v="2"/>
    <n v="50"/>
    <n v="20.5"/>
    <n v="100"/>
    <n v="79.5"/>
    <n v="0.79500000000000004"/>
    <x v="4"/>
  </r>
  <r>
    <n v="1938"/>
    <x v="102"/>
    <d v="1899-12-30T20:15:00"/>
    <x v="104"/>
    <x v="0"/>
    <n v="49"/>
    <x v="0"/>
    <n v="4"/>
    <n v="50"/>
    <n v="13.5"/>
    <n v="200"/>
    <n v="186.5"/>
    <n v="0.9325"/>
    <x v="1"/>
  </r>
  <r>
    <n v="234"/>
    <x v="475"/>
    <d v="1899-12-30T17:42:00"/>
    <x v="141"/>
    <x v="1"/>
    <n v="62"/>
    <x v="2"/>
    <n v="2"/>
    <n v="25"/>
    <n v="13.75"/>
    <n v="50"/>
    <n v="36.25"/>
    <n v="0.72499999999999998"/>
    <x v="2"/>
  </r>
  <r>
    <n v="1234"/>
    <x v="608"/>
    <d v="1899-12-30T17:46:00"/>
    <x v="66"/>
    <x v="1"/>
    <n v="62"/>
    <x v="2"/>
    <n v="2"/>
    <n v="25"/>
    <n v="8.25"/>
    <n v="50"/>
    <n v="41.75"/>
    <n v="0.83499999999999996"/>
    <x v="2"/>
  </r>
  <r>
    <n v="410"/>
    <x v="415"/>
    <d v="1899-12-30T19:41:00"/>
    <x v="141"/>
    <x v="1"/>
    <n v="29"/>
    <x v="0"/>
    <n v="2"/>
    <n v="50"/>
    <n v="14.5"/>
    <n v="100"/>
    <n v="85.5"/>
    <n v="0.85499999999999998"/>
    <x v="4"/>
  </r>
  <r>
    <n v="417"/>
    <x v="319"/>
    <d v="1899-12-30T22:03:00"/>
    <x v="136"/>
    <x v="0"/>
    <n v="43"/>
    <x v="2"/>
    <n v="3"/>
    <n v="300"/>
    <n v="162"/>
    <n v="900"/>
    <n v="738"/>
    <n v="0.82"/>
    <x v="0"/>
  </r>
  <r>
    <n v="581"/>
    <x v="151"/>
    <d v="1899-12-30T21:16:00"/>
    <x v="139"/>
    <x v="1"/>
    <n v="48"/>
    <x v="1"/>
    <n v="2"/>
    <n v="30"/>
    <n v="13.8"/>
    <n v="60"/>
    <n v="46.2"/>
    <n v="0.77"/>
    <x v="1"/>
  </r>
  <r>
    <n v="1410"/>
    <x v="515"/>
    <d v="1899-12-30T18:47:00"/>
    <x v="36"/>
    <x v="1"/>
    <n v="29"/>
    <x v="0"/>
    <n v="2"/>
    <n v="50"/>
    <n v="22.5"/>
    <n v="100"/>
    <n v="77.5"/>
    <n v="0.77500000000000002"/>
    <x v="4"/>
  </r>
  <r>
    <n v="1417"/>
    <x v="87"/>
    <d v="1899-12-30T17:43:00"/>
    <x v="7"/>
    <x v="0"/>
    <n v="43"/>
    <x v="2"/>
    <n v="3"/>
    <n v="300"/>
    <n v="147"/>
    <n v="900"/>
    <n v="753"/>
    <n v="0.83666666666666667"/>
    <x v="0"/>
  </r>
  <r>
    <n v="1581"/>
    <x v="610"/>
    <d v="1899-12-30T18:57:00"/>
    <x v="145"/>
    <x v="1"/>
    <n v="48"/>
    <x v="1"/>
    <n v="2"/>
    <n v="30"/>
    <n v="9.9"/>
    <n v="60"/>
    <n v="50.1"/>
    <n v="0.83500000000000008"/>
    <x v="1"/>
  </r>
  <r>
    <n v="74"/>
    <x v="373"/>
    <d v="1899-12-30T19:50:00"/>
    <x v="93"/>
    <x v="1"/>
    <n v="18"/>
    <x v="1"/>
    <n v="4"/>
    <n v="500"/>
    <n v="205"/>
    <n v="2000"/>
    <n v="1795"/>
    <n v="0.89749999999999996"/>
    <x v="3"/>
  </r>
  <r>
    <n v="87"/>
    <x v="138"/>
    <d v="1899-12-30T18:09:00"/>
    <x v="74"/>
    <x v="1"/>
    <n v="28"/>
    <x v="1"/>
    <n v="2"/>
    <n v="50"/>
    <n v="15.5"/>
    <n v="100"/>
    <n v="84.5"/>
    <n v="0.84499999999999997"/>
    <x v="4"/>
  </r>
  <r>
    <n v="803"/>
    <x v="598"/>
    <d v="1899-12-30T17:16:00"/>
    <x v="111"/>
    <x v="0"/>
    <n v="39"/>
    <x v="0"/>
    <n v="4"/>
    <n v="25"/>
    <n v="6.75"/>
    <n v="100"/>
    <n v="93.25"/>
    <n v="0.9325"/>
    <x v="0"/>
  </r>
  <r>
    <n v="1074"/>
    <x v="76"/>
    <d v="1899-12-30T20:18:00"/>
    <x v="26"/>
    <x v="1"/>
    <n v="18"/>
    <x v="1"/>
    <n v="4"/>
    <n v="500"/>
    <n v="230"/>
    <n v="2000"/>
    <n v="1770"/>
    <n v="0.88500000000000001"/>
    <x v="3"/>
  </r>
  <r>
    <n v="1087"/>
    <x v="152"/>
    <d v="1899-12-30T23:00:00"/>
    <x v="81"/>
    <x v="1"/>
    <n v="28"/>
    <x v="1"/>
    <n v="2"/>
    <n v="50"/>
    <n v="15"/>
    <n v="100"/>
    <n v="85"/>
    <n v="0.85"/>
    <x v="4"/>
  </r>
  <r>
    <n v="1803"/>
    <x v="253"/>
    <d v="1899-12-30T19:36:00"/>
    <x v="32"/>
    <x v="0"/>
    <n v="39"/>
    <x v="0"/>
    <n v="4"/>
    <n v="25"/>
    <n v="8.5"/>
    <n v="100"/>
    <n v="91.5"/>
    <n v="0.91500000000000004"/>
    <x v="0"/>
  </r>
  <r>
    <n v="424"/>
    <x v="453"/>
    <d v="1899-12-30T19:21:00"/>
    <x v="32"/>
    <x v="0"/>
    <n v="57"/>
    <x v="1"/>
    <n v="4"/>
    <n v="300"/>
    <n v="147"/>
    <n v="1200"/>
    <n v="1053"/>
    <n v="0.87749999999999995"/>
    <x v="2"/>
  </r>
  <r>
    <n v="641"/>
    <x v="434"/>
    <d v="1899-12-30T18:30:00"/>
    <x v="101"/>
    <x v="1"/>
    <n v="40"/>
    <x v="2"/>
    <n v="1"/>
    <n v="300"/>
    <n v="144"/>
    <n v="300"/>
    <n v="156"/>
    <n v="0.52"/>
    <x v="0"/>
  </r>
  <r>
    <n v="918"/>
    <x v="412"/>
    <d v="1899-12-30T21:59:00"/>
    <x v="43"/>
    <x v="1"/>
    <n v="42"/>
    <x v="2"/>
    <n v="3"/>
    <n v="30"/>
    <n v="16.2"/>
    <n v="90"/>
    <n v="73.8"/>
    <n v="0.82"/>
    <x v="0"/>
  </r>
  <r>
    <n v="1424"/>
    <x v="385"/>
    <d v="1899-12-30T21:32:00"/>
    <x v="7"/>
    <x v="0"/>
    <n v="57"/>
    <x v="1"/>
    <n v="4"/>
    <n v="300"/>
    <n v="111"/>
    <n v="1200"/>
    <n v="1089"/>
    <n v="0.90749999999999997"/>
    <x v="2"/>
  </r>
  <r>
    <n v="1641"/>
    <x v="616"/>
    <d v="1899-12-30T17:41:00"/>
    <x v="62"/>
    <x v="1"/>
    <n v="40"/>
    <x v="2"/>
    <n v="1"/>
    <n v="300"/>
    <n v="165"/>
    <n v="300"/>
    <n v="135"/>
    <n v="0.45"/>
    <x v="0"/>
  </r>
  <r>
    <n v="1918"/>
    <x v="135"/>
    <d v="1899-12-30T21:57:00"/>
    <x v="93"/>
    <x v="1"/>
    <n v="42"/>
    <x v="2"/>
    <n v="3"/>
    <n v="30"/>
    <n v="13.2"/>
    <n v="90"/>
    <n v="76.8"/>
    <n v="0.85333333333333328"/>
    <x v="0"/>
  </r>
  <r>
    <n v="1"/>
    <x v="147"/>
    <d v="1899-12-30T19:10:00"/>
    <x v="17"/>
    <x v="0"/>
    <n v="34"/>
    <x v="1"/>
    <n v="3"/>
    <n v="50"/>
    <n v="16"/>
    <n v="150"/>
    <n v="134"/>
    <n v="0.89333333333333331"/>
    <x v="4"/>
  </r>
  <r>
    <n v="95"/>
    <x v="643"/>
    <d v="1899-12-30T19:57:00"/>
    <x v="139"/>
    <x v="1"/>
    <n v="32"/>
    <x v="0"/>
    <n v="2"/>
    <n v="30"/>
    <n v="7.5"/>
    <n v="60"/>
    <n v="52.5"/>
    <n v="0.875"/>
    <x v="4"/>
  </r>
  <r>
    <n v="171"/>
    <x v="203"/>
    <d v="1899-12-30T20:10:00"/>
    <x v="136"/>
    <x v="1"/>
    <n v="52"/>
    <x v="0"/>
    <n v="3"/>
    <n v="300"/>
    <n v="126"/>
    <n v="900"/>
    <n v="774"/>
    <n v="0.86"/>
    <x v="1"/>
  </r>
  <r>
    <n v="1001"/>
    <x v="233"/>
    <d v="1899-12-30T20:11:00"/>
    <x v="123"/>
    <x v="0"/>
    <n v="34"/>
    <x v="1"/>
    <n v="3"/>
    <n v="50"/>
    <n v="22"/>
    <n v="150"/>
    <n v="128"/>
    <n v="0.85333333333333339"/>
    <x v="4"/>
  </r>
  <r>
    <n v="1095"/>
    <x v="156"/>
    <d v="1899-12-30T17:56:00"/>
    <x v="93"/>
    <x v="1"/>
    <n v="32"/>
    <x v="0"/>
    <n v="2"/>
    <n v="30"/>
    <n v="9.9"/>
    <n v="60"/>
    <n v="50.1"/>
    <n v="0.83500000000000008"/>
    <x v="4"/>
  </r>
  <r>
    <n v="1171"/>
    <x v="626"/>
    <d v="1899-12-30T21:05:00"/>
    <x v="90"/>
    <x v="1"/>
    <n v="52"/>
    <x v="0"/>
    <n v="3"/>
    <n v="300"/>
    <n v="84"/>
    <n v="900"/>
    <n v="816"/>
    <n v="0.90666666666666662"/>
    <x v="1"/>
  </r>
  <r>
    <n v="156"/>
    <x v="609"/>
    <d v="1899-12-30T19:34:00"/>
    <x v="111"/>
    <x v="1"/>
    <n v="43"/>
    <x v="0"/>
    <n v="4"/>
    <n v="25"/>
    <n v="7"/>
    <n v="100"/>
    <n v="93"/>
    <n v="0.93"/>
    <x v="0"/>
  </r>
  <r>
    <n v="493"/>
    <x v="131"/>
    <d v="1899-12-30T20:10:00"/>
    <x v="109"/>
    <x v="0"/>
    <n v="41"/>
    <x v="1"/>
    <n v="2"/>
    <n v="25"/>
    <n v="7.75"/>
    <n v="50"/>
    <n v="42.25"/>
    <n v="0.84499999999999997"/>
    <x v="0"/>
  </r>
  <r>
    <n v="1156"/>
    <x v="87"/>
    <d v="1899-12-30T21:10:00"/>
    <x v="22"/>
    <x v="1"/>
    <n v="43"/>
    <x v="0"/>
    <n v="4"/>
    <n v="25"/>
    <n v="13.5"/>
    <n v="100"/>
    <n v="86.5"/>
    <n v="0.86499999999999999"/>
    <x v="0"/>
  </r>
  <r>
    <n v="1493"/>
    <x v="324"/>
    <d v="1899-12-30T21:49:00"/>
    <x v="11"/>
    <x v="0"/>
    <n v="41"/>
    <x v="1"/>
    <n v="2"/>
    <n v="25"/>
    <n v="6.75"/>
    <n v="50"/>
    <n v="43.25"/>
    <n v="0.86499999999999999"/>
    <x v="0"/>
  </r>
  <r>
    <n v="115"/>
    <x v="35"/>
    <d v="1899-12-30T19:21:00"/>
    <x v="26"/>
    <x v="0"/>
    <n v="51"/>
    <x v="0"/>
    <n v="3"/>
    <n v="500"/>
    <n v="255"/>
    <n v="1500"/>
    <n v="1245"/>
    <n v="0.83"/>
    <x v="1"/>
  </r>
  <r>
    <n v="715"/>
    <x v="181"/>
    <d v="1899-12-30T20:57:00"/>
    <x v="57"/>
    <x v="1"/>
    <n v="42"/>
    <x v="1"/>
    <n v="4"/>
    <n v="25"/>
    <n v="6.25"/>
    <n v="100"/>
    <n v="93.75"/>
    <n v="0.9375"/>
    <x v="0"/>
  </r>
  <r>
    <n v="1115"/>
    <x v="483"/>
    <d v="1899-12-30T17:41:00"/>
    <x v="123"/>
    <x v="0"/>
    <n v="51"/>
    <x v="0"/>
    <n v="3"/>
    <n v="500"/>
    <n v="180"/>
    <n v="1500"/>
    <n v="1320"/>
    <n v="0.88"/>
    <x v="1"/>
  </r>
  <r>
    <n v="1715"/>
    <x v="20"/>
    <d v="1899-12-30T19:35:00"/>
    <x v="27"/>
    <x v="1"/>
    <n v="42"/>
    <x v="1"/>
    <n v="4"/>
    <n v="25"/>
    <n v="9.75"/>
    <n v="100"/>
    <n v="90.25"/>
    <n v="0.90249999999999997"/>
    <x v="0"/>
  </r>
  <r>
    <n v="267"/>
    <x v="632"/>
    <d v="1899-12-30T17:53:00"/>
    <x v="150"/>
    <x v="1"/>
    <n v="32"/>
    <x v="1"/>
    <n v="3"/>
    <n v="30"/>
    <n v="12"/>
    <n v="90"/>
    <n v="78"/>
    <n v="0.8666666666666667"/>
    <x v="4"/>
  </r>
  <r>
    <n v="362"/>
    <x v="574"/>
    <d v="1899-12-30T22:43:00"/>
    <x v="32"/>
    <x v="0"/>
    <n v="50"/>
    <x v="0"/>
    <n v="1"/>
    <n v="25"/>
    <n v="10.25"/>
    <n v="25"/>
    <n v="14.75"/>
    <n v="0.59"/>
    <x v="1"/>
  </r>
  <r>
    <n v="856"/>
    <x v="0"/>
    <d v="1899-12-30T17:43:00"/>
    <x v="13"/>
    <x v="0"/>
    <n v="54"/>
    <x v="2"/>
    <n v="4"/>
    <n v="30"/>
    <n v="9.3000000000000007"/>
    <n v="120"/>
    <n v="110.7"/>
    <n v="0.92249999999999999"/>
    <x v="1"/>
  </r>
  <r>
    <n v="1267"/>
    <x v="539"/>
    <d v="1899-12-30T21:03:00"/>
    <x v="147"/>
    <x v="1"/>
    <n v="32"/>
    <x v="1"/>
    <n v="3"/>
    <n v="30"/>
    <n v="9.6"/>
    <n v="90"/>
    <n v="80.400000000000006"/>
    <n v="0.89333333333333342"/>
    <x v="4"/>
  </r>
  <r>
    <n v="1362"/>
    <x v="549"/>
    <d v="1899-12-30T18:53:00"/>
    <x v="74"/>
    <x v="0"/>
    <n v="50"/>
    <x v="0"/>
    <n v="1"/>
    <n v="25"/>
    <n v="11"/>
    <n v="25"/>
    <n v="14"/>
    <n v="0.56000000000000005"/>
    <x v="1"/>
  </r>
  <r>
    <n v="1856"/>
    <x v="453"/>
    <d v="1899-12-30T21:34:00"/>
    <x v="43"/>
    <x v="0"/>
    <n v="54"/>
    <x v="2"/>
    <n v="4"/>
    <n v="30"/>
    <n v="16.2"/>
    <n v="120"/>
    <n v="103.8"/>
    <n v="0.86499999999999999"/>
    <x v="1"/>
  </r>
  <r>
    <n v="84"/>
    <x v="270"/>
    <d v="1899-12-30T17:17:00"/>
    <x v="27"/>
    <x v="1"/>
    <n v="38"/>
    <x v="2"/>
    <n v="3"/>
    <n v="30"/>
    <n v="10.199999999999999"/>
    <n v="90"/>
    <n v="79.8"/>
    <n v="0.8866666666666666"/>
    <x v="0"/>
  </r>
  <r>
    <n v="795"/>
    <x v="375"/>
    <d v="1899-12-30T19:51:00"/>
    <x v="41"/>
    <x v="0"/>
    <n v="57"/>
    <x v="2"/>
    <n v="1"/>
    <n v="300"/>
    <n v="102"/>
    <n v="300"/>
    <n v="198"/>
    <n v="0.66"/>
    <x v="2"/>
  </r>
  <r>
    <n v="1084"/>
    <x v="624"/>
    <d v="1899-12-30T20:37:00"/>
    <x v="108"/>
    <x v="1"/>
    <n v="38"/>
    <x v="2"/>
    <n v="3"/>
    <n v="30"/>
    <n v="7.8"/>
    <n v="90"/>
    <n v="82.2"/>
    <n v="0.91333333333333333"/>
    <x v="0"/>
  </r>
  <r>
    <n v="1795"/>
    <x v="612"/>
    <d v="1899-12-30T18:50:00"/>
    <x v="67"/>
    <x v="0"/>
    <n v="57"/>
    <x v="2"/>
    <n v="1"/>
    <n v="300"/>
    <n v="105"/>
    <n v="300"/>
    <n v="195"/>
    <n v="0.65"/>
    <x v="2"/>
  </r>
  <r>
    <n v="24"/>
    <x v="393"/>
    <d v="1899-12-30T22:59:00"/>
    <x v="12"/>
    <x v="1"/>
    <n v="49"/>
    <x v="0"/>
    <n v="1"/>
    <n v="300"/>
    <n v="87"/>
    <n v="300"/>
    <n v="213"/>
    <n v="0.71"/>
    <x v="1"/>
  </r>
  <r>
    <n v="215"/>
    <x v="56"/>
    <d v="1899-12-30T21:20:00"/>
    <x v="32"/>
    <x v="0"/>
    <n v="58"/>
    <x v="0"/>
    <n v="3"/>
    <n v="500"/>
    <n v="145"/>
    <n v="1500"/>
    <n v="1355"/>
    <n v="0.90333333333333332"/>
    <x v="2"/>
  </r>
  <r>
    <n v="739"/>
    <x v="441"/>
    <d v="1899-12-30T17:09:00"/>
    <x v="38"/>
    <x v="0"/>
    <n v="36"/>
    <x v="1"/>
    <n v="1"/>
    <n v="25"/>
    <n v="10.25"/>
    <n v="25"/>
    <n v="14.75"/>
    <n v="0.59"/>
    <x v="0"/>
  </r>
  <r>
    <n v="1024"/>
    <x v="383"/>
    <d v="1899-12-30T21:51:00"/>
    <x v="36"/>
    <x v="1"/>
    <n v="49"/>
    <x v="0"/>
    <n v="1"/>
    <n v="300"/>
    <n v="126"/>
    <n v="300"/>
    <n v="174"/>
    <n v="0.57999999999999996"/>
    <x v="1"/>
  </r>
  <r>
    <n v="1215"/>
    <x v="632"/>
    <d v="1899-12-30T20:44:00"/>
    <x v="122"/>
    <x v="0"/>
    <n v="58"/>
    <x v="0"/>
    <n v="3"/>
    <n v="500"/>
    <n v="130"/>
    <n v="1500"/>
    <n v="1370"/>
    <n v="0.91333333333333333"/>
    <x v="2"/>
  </r>
  <r>
    <n v="1739"/>
    <x v="603"/>
    <d v="1899-12-30T17:52:00"/>
    <x v="26"/>
    <x v="0"/>
    <n v="36"/>
    <x v="1"/>
    <n v="1"/>
    <n v="25"/>
    <n v="11.25"/>
    <n v="25"/>
    <n v="13.75"/>
    <n v="0.55000000000000004"/>
    <x v="0"/>
  </r>
  <r>
    <n v="289"/>
    <x v="290"/>
    <d v="1899-12-30T20:29:00"/>
    <x v="122"/>
    <x v="0"/>
    <n v="53"/>
    <x v="2"/>
    <n v="2"/>
    <n v="30"/>
    <n v="8.1"/>
    <n v="60"/>
    <n v="51.9"/>
    <n v="0.86499999999999999"/>
    <x v="1"/>
  </r>
  <r>
    <n v="741"/>
    <x v="631"/>
    <d v="1899-12-30T22:30:00"/>
    <x v="132"/>
    <x v="0"/>
    <n v="48"/>
    <x v="0"/>
    <n v="1"/>
    <n v="300"/>
    <n v="141"/>
    <n v="300"/>
    <n v="159"/>
    <n v="0.53"/>
    <x v="1"/>
  </r>
  <r>
    <n v="810"/>
    <x v="131"/>
    <d v="1899-12-30T18:04:00"/>
    <x v="104"/>
    <x v="0"/>
    <n v="59"/>
    <x v="2"/>
    <n v="4"/>
    <n v="25"/>
    <n v="13.75"/>
    <n v="100"/>
    <n v="86.25"/>
    <n v="0.86250000000000004"/>
    <x v="2"/>
  </r>
  <r>
    <n v="1289"/>
    <x v="641"/>
    <d v="1899-12-30T19:35:00"/>
    <x v="148"/>
    <x v="0"/>
    <n v="53"/>
    <x v="2"/>
    <n v="2"/>
    <n v="30"/>
    <n v="16.2"/>
    <n v="60"/>
    <n v="43.8"/>
    <n v="0.73"/>
    <x v="1"/>
  </r>
  <r>
    <n v="1741"/>
    <x v="634"/>
    <d v="1899-12-30T20:47:00"/>
    <x v="118"/>
    <x v="0"/>
    <n v="48"/>
    <x v="0"/>
    <n v="1"/>
    <n v="300"/>
    <n v="132"/>
    <n v="300"/>
    <n v="168"/>
    <n v="0.56000000000000005"/>
    <x v="1"/>
  </r>
  <r>
    <n v="1810"/>
    <x v="557"/>
    <d v="1899-12-30T18:29:00"/>
    <x v="83"/>
    <x v="0"/>
    <n v="59"/>
    <x v="2"/>
    <n v="4"/>
    <n v="25"/>
    <n v="13.5"/>
    <n v="100"/>
    <n v="86.5"/>
    <n v="0.86499999999999999"/>
    <x v="2"/>
  </r>
  <r>
    <n v="266"/>
    <x v="189"/>
    <d v="1899-12-30T18:26:00"/>
    <x v="8"/>
    <x v="1"/>
    <n v="19"/>
    <x v="2"/>
    <n v="2"/>
    <n v="30"/>
    <n v="14.4"/>
    <n v="60"/>
    <n v="45.6"/>
    <n v="0.76"/>
    <x v="3"/>
  </r>
  <r>
    <n v="389"/>
    <x v="494"/>
    <d v="1899-12-30T19:06:00"/>
    <x v="136"/>
    <x v="0"/>
    <n v="21"/>
    <x v="0"/>
    <n v="2"/>
    <n v="25"/>
    <n v="12.25"/>
    <n v="50"/>
    <n v="37.75"/>
    <n v="0.755"/>
    <x v="3"/>
  </r>
  <r>
    <n v="1266"/>
    <x v="274"/>
    <d v="1899-12-30T20:08:00"/>
    <x v="154"/>
    <x v="1"/>
    <n v="19"/>
    <x v="2"/>
    <n v="2"/>
    <n v="30"/>
    <n v="15.6"/>
    <n v="60"/>
    <n v="44.4"/>
    <n v="0.74"/>
    <x v="3"/>
  </r>
  <r>
    <n v="1389"/>
    <x v="574"/>
    <d v="1899-12-30T18:11:00"/>
    <x v="111"/>
    <x v="0"/>
    <n v="21"/>
    <x v="0"/>
    <n v="2"/>
    <n v="25"/>
    <n v="9.5"/>
    <n v="50"/>
    <n v="40.5"/>
    <n v="0.81"/>
    <x v="3"/>
  </r>
  <r>
    <n v="112"/>
    <x v="434"/>
    <d v="1899-12-30T18:44:00"/>
    <x v="38"/>
    <x v="0"/>
    <n v="37"/>
    <x v="0"/>
    <n v="3"/>
    <n v="500"/>
    <n v="165"/>
    <n v="1500"/>
    <n v="1335"/>
    <n v="0.89"/>
    <x v="0"/>
  </r>
  <r>
    <n v="566"/>
    <x v="613"/>
    <d v="1899-12-30T19:15:00"/>
    <x v="83"/>
    <x v="1"/>
    <n v="64"/>
    <x v="0"/>
    <n v="1"/>
    <n v="30"/>
    <n v="8.4"/>
    <n v="30"/>
    <n v="21.6"/>
    <n v="0.72000000000000008"/>
    <x v="2"/>
  </r>
  <r>
    <n v="608"/>
    <x v="107"/>
    <d v="1899-12-30T22:19:00"/>
    <x v="116"/>
    <x v="1"/>
    <n v="55"/>
    <x v="2"/>
    <n v="3"/>
    <n v="500"/>
    <n v="200"/>
    <n v="1500"/>
    <n v="1300"/>
    <n v="0.8666666666666667"/>
    <x v="1"/>
  </r>
  <r>
    <n v="1112"/>
    <x v="546"/>
    <d v="1899-12-30T17:11:00"/>
    <x v="30"/>
    <x v="0"/>
    <n v="37"/>
    <x v="0"/>
    <n v="3"/>
    <n v="500"/>
    <n v="180"/>
    <n v="1500"/>
    <n v="1320"/>
    <n v="0.88"/>
    <x v="0"/>
  </r>
  <r>
    <n v="1566"/>
    <x v="56"/>
    <d v="1899-12-30T18:17:00"/>
    <x v="93"/>
    <x v="1"/>
    <n v="64"/>
    <x v="0"/>
    <n v="1"/>
    <n v="30"/>
    <n v="15.6"/>
    <n v="30"/>
    <n v="14.4"/>
    <n v="0.48000000000000004"/>
    <x v="2"/>
  </r>
  <r>
    <n v="1608"/>
    <x v="436"/>
    <d v="1899-12-30T21:01:00"/>
    <x v="90"/>
    <x v="1"/>
    <n v="55"/>
    <x v="2"/>
    <n v="3"/>
    <n v="500"/>
    <n v="265"/>
    <n v="1500"/>
    <n v="1235"/>
    <n v="0.82333333333333336"/>
    <x v="1"/>
  </r>
  <r>
    <n v="348"/>
    <x v="640"/>
    <d v="1899-12-30T20:20:00"/>
    <x v="148"/>
    <x v="1"/>
    <n v="35"/>
    <x v="2"/>
    <n v="2"/>
    <n v="300"/>
    <n v="147"/>
    <n v="600"/>
    <n v="453"/>
    <n v="0.755"/>
    <x v="4"/>
  </r>
  <r>
    <n v="1348"/>
    <x v="603"/>
    <d v="1899-12-30T17:21:00"/>
    <x v="154"/>
    <x v="1"/>
    <n v="35"/>
    <x v="2"/>
    <n v="2"/>
    <n v="300"/>
    <n v="87"/>
    <n v="600"/>
    <n v="513"/>
    <n v="0.85499999999999998"/>
    <x v="4"/>
  </r>
  <r>
    <n v="199"/>
    <x v="222"/>
    <d v="1899-12-30T21:34:00"/>
    <x v="132"/>
    <x v="0"/>
    <n v="45"/>
    <x v="1"/>
    <n v="3"/>
    <n v="500"/>
    <n v="135"/>
    <n v="1500"/>
    <n v="1365"/>
    <n v="0.91"/>
    <x v="0"/>
  </r>
  <r>
    <n v="258"/>
    <x v="612"/>
    <d v="1899-12-30T17:40:00"/>
    <x v="136"/>
    <x v="1"/>
    <n v="37"/>
    <x v="0"/>
    <n v="1"/>
    <n v="50"/>
    <n v="22"/>
    <n v="50"/>
    <n v="28"/>
    <n v="0.56000000000000005"/>
    <x v="0"/>
  </r>
  <r>
    <n v="485"/>
    <x v="152"/>
    <d v="1899-12-30T17:30:00"/>
    <x v="32"/>
    <x v="0"/>
    <n v="24"/>
    <x v="2"/>
    <n v="1"/>
    <n v="30"/>
    <n v="11.4"/>
    <n v="30"/>
    <n v="18.600000000000001"/>
    <n v="0.62"/>
    <x v="3"/>
  </r>
  <r>
    <n v="576"/>
    <x v="434"/>
    <d v="1899-12-30T17:30:00"/>
    <x v="130"/>
    <x v="1"/>
    <n v="33"/>
    <x v="1"/>
    <n v="3"/>
    <n v="50"/>
    <n v="20"/>
    <n v="150"/>
    <n v="130"/>
    <n v="0.8666666666666667"/>
    <x v="4"/>
  </r>
  <r>
    <n v="1199"/>
    <x v="264"/>
    <d v="1899-12-30T17:46:00"/>
    <x v="140"/>
    <x v="0"/>
    <n v="45"/>
    <x v="1"/>
    <n v="3"/>
    <n v="500"/>
    <n v="190"/>
    <n v="1500"/>
    <n v="1310"/>
    <n v="0.87333333333333329"/>
    <x v="0"/>
  </r>
  <r>
    <n v="1258"/>
    <x v="614"/>
    <d v="1899-12-30T20:27:00"/>
    <x v="141"/>
    <x v="1"/>
    <n v="37"/>
    <x v="0"/>
    <n v="1"/>
    <n v="50"/>
    <n v="21.5"/>
    <n v="50"/>
    <n v="28.5"/>
    <n v="0.56999999999999995"/>
    <x v="0"/>
  </r>
  <r>
    <n v="1485"/>
    <x v="620"/>
    <d v="1899-12-30T18:29:00"/>
    <x v="8"/>
    <x v="0"/>
    <n v="24"/>
    <x v="2"/>
    <n v="1"/>
    <n v="30"/>
    <n v="15.6"/>
    <n v="30"/>
    <n v="14.4"/>
    <n v="0.48000000000000004"/>
    <x v="3"/>
  </r>
  <r>
    <n v="1576"/>
    <x v="576"/>
    <d v="1899-12-30T18:34:00"/>
    <x v="145"/>
    <x v="1"/>
    <n v="33"/>
    <x v="1"/>
    <n v="3"/>
    <n v="50"/>
    <n v="27.5"/>
    <n v="150"/>
    <n v="122.5"/>
    <n v="0.81666666666666665"/>
    <x v="4"/>
  </r>
  <r>
    <n v="65"/>
    <x v="136"/>
    <d v="1899-12-30T20:03:00"/>
    <x v="150"/>
    <x v="0"/>
    <n v="51"/>
    <x v="2"/>
    <n v="4"/>
    <n v="500"/>
    <n v="160"/>
    <n v="2000"/>
    <n v="1840"/>
    <n v="0.92"/>
    <x v="1"/>
  </r>
  <r>
    <n v="311"/>
    <x v="493"/>
    <d v="1899-12-30T21:01:00"/>
    <x v="63"/>
    <x v="1"/>
    <n v="32"/>
    <x v="1"/>
    <n v="4"/>
    <n v="25"/>
    <n v="9.75"/>
    <n v="100"/>
    <n v="90.25"/>
    <n v="0.90249999999999997"/>
    <x v="4"/>
  </r>
  <r>
    <n v="791"/>
    <x v="622"/>
    <d v="1899-12-30T16:28:00"/>
    <x v="83"/>
    <x v="1"/>
    <n v="51"/>
    <x v="1"/>
    <n v="1"/>
    <n v="25"/>
    <n v="11.75"/>
    <n v="25"/>
    <n v="13.25"/>
    <n v="0.53"/>
    <x v="1"/>
  </r>
  <r>
    <n v="971"/>
    <x v="267"/>
    <d v="1899-12-30T16:50:00"/>
    <x v="141"/>
    <x v="1"/>
    <n v="27"/>
    <x v="2"/>
    <n v="4"/>
    <n v="50"/>
    <n v="26.5"/>
    <n v="200"/>
    <n v="173.5"/>
    <n v="0.86750000000000005"/>
    <x v="4"/>
  </r>
  <r>
    <n v="999"/>
    <x v="576"/>
    <d v="1899-12-30T16:45:00"/>
    <x v="140"/>
    <x v="1"/>
    <n v="36"/>
    <x v="2"/>
    <n v="3"/>
    <n v="50"/>
    <n v="21.5"/>
    <n v="150"/>
    <n v="128.5"/>
    <n v="0.85666666666666669"/>
    <x v="0"/>
  </r>
  <r>
    <n v="1065"/>
    <x v="635"/>
    <d v="1899-12-30T15:16:00"/>
    <x v="104"/>
    <x v="0"/>
    <n v="51"/>
    <x v="2"/>
    <n v="4"/>
    <n v="500"/>
    <n v="175"/>
    <n v="2000"/>
    <n v="1825"/>
    <n v="0.91249999999999998"/>
    <x v="1"/>
  </r>
  <r>
    <n v="1311"/>
    <x v="470"/>
    <d v="1899-12-30T15:22:00"/>
    <x v="150"/>
    <x v="1"/>
    <n v="32"/>
    <x v="1"/>
    <n v="4"/>
    <n v="25"/>
    <n v="9.25"/>
    <n v="100"/>
    <n v="90.75"/>
    <n v="0.90749999999999997"/>
    <x v="4"/>
  </r>
  <r>
    <n v="1791"/>
    <x v="122"/>
    <d v="1899-12-30T14:52:00"/>
    <x v="90"/>
    <x v="1"/>
    <n v="51"/>
    <x v="1"/>
    <n v="1"/>
    <n v="25"/>
    <n v="7"/>
    <n v="25"/>
    <n v="18"/>
    <n v="0.72"/>
    <x v="1"/>
  </r>
  <r>
    <n v="1971"/>
    <x v="189"/>
    <d v="1899-12-30T16:19:00"/>
    <x v="52"/>
    <x v="1"/>
    <n v="27"/>
    <x v="2"/>
    <n v="4"/>
    <n v="50"/>
    <n v="19"/>
    <n v="200"/>
    <n v="181"/>
    <n v="0.90500000000000003"/>
    <x v="4"/>
  </r>
  <r>
    <n v="1999"/>
    <x v="65"/>
    <d v="1899-12-30T13:06:00"/>
    <x v="63"/>
    <x v="1"/>
    <n v="36"/>
    <x v="2"/>
    <n v="3"/>
    <n v="50"/>
    <n v="13"/>
    <n v="150"/>
    <n v="137"/>
    <n v="0.91333333333333333"/>
    <x v="0"/>
  </r>
  <r>
    <n v="395"/>
    <x v="131"/>
    <d v="1899-12-30T15:00:00"/>
    <x v="104"/>
    <x v="0"/>
    <n v="50"/>
    <x v="2"/>
    <n v="2"/>
    <n v="500"/>
    <n v="175"/>
    <n v="1000"/>
    <n v="825"/>
    <n v="0.82499999999999996"/>
    <x v="1"/>
  </r>
  <r>
    <n v="535"/>
    <x v="493"/>
    <d v="1899-12-30T13:46:00"/>
    <x v="12"/>
    <x v="0"/>
    <n v="47"/>
    <x v="1"/>
    <n v="3"/>
    <n v="30"/>
    <n v="16.2"/>
    <n v="90"/>
    <n v="73.8"/>
    <n v="0.82"/>
    <x v="1"/>
  </r>
  <r>
    <n v="580"/>
    <x v="4"/>
    <d v="1899-12-30T14:44:00"/>
    <x v="74"/>
    <x v="1"/>
    <n v="31"/>
    <x v="0"/>
    <n v="3"/>
    <n v="500"/>
    <n v="200"/>
    <n v="1500"/>
    <n v="1300"/>
    <n v="0.8666666666666667"/>
    <x v="4"/>
  </r>
  <r>
    <n v="712"/>
    <x v="535"/>
    <d v="1899-12-30T14:15:00"/>
    <x v="145"/>
    <x v="1"/>
    <n v="57"/>
    <x v="1"/>
    <n v="2"/>
    <n v="25"/>
    <n v="11.5"/>
    <n v="50"/>
    <n v="38.5"/>
    <n v="0.77"/>
    <x v="2"/>
  </r>
  <r>
    <n v="868"/>
    <x v="330"/>
    <d v="1899-12-30T13:39:00"/>
    <x v="140"/>
    <x v="1"/>
    <n v="25"/>
    <x v="2"/>
    <n v="1"/>
    <n v="300"/>
    <n v="111"/>
    <n v="300"/>
    <n v="189"/>
    <n v="0.63"/>
    <x v="3"/>
  </r>
  <r>
    <n v="1395"/>
    <x v="428"/>
    <d v="1899-12-30T14:18:00"/>
    <x v="147"/>
    <x v="0"/>
    <n v="50"/>
    <x v="2"/>
    <n v="2"/>
    <n v="500"/>
    <n v="130"/>
    <n v="1000"/>
    <n v="870"/>
    <n v="0.87"/>
    <x v="1"/>
  </r>
  <r>
    <n v="1535"/>
    <x v="518"/>
    <d v="1899-12-30T15:31:00"/>
    <x v="1"/>
    <x v="0"/>
    <n v="47"/>
    <x v="1"/>
    <n v="3"/>
    <n v="30"/>
    <n v="9.9"/>
    <n v="90"/>
    <n v="80.099999999999994"/>
    <n v="0.8899999999999999"/>
    <x v="1"/>
  </r>
  <r>
    <n v="1580"/>
    <x v="483"/>
    <d v="1899-12-30T15:47:00"/>
    <x v="101"/>
    <x v="1"/>
    <n v="31"/>
    <x v="0"/>
    <n v="3"/>
    <n v="500"/>
    <n v="250"/>
    <n v="1500"/>
    <n v="1250"/>
    <n v="0.83333333333333337"/>
    <x v="4"/>
  </r>
  <r>
    <n v="1712"/>
    <x v="477"/>
    <d v="1899-12-30T16:37:00"/>
    <x v="146"/>
    <x v="1"/>
    <n v="57"/>
    <x v="1"/>
    <n v="2"/>
    <n v="25"/>
    <n v="8.75"/>
    <n v="50"/>
    <n v="41.25"/>
    <n v="0.82499999999999996"/>
    <x v="2"/>
  </r>
  <r>
    <n v="1868"/>
    <x v="514"/>
    <d v="1899-12-30T16:23:00"/>
    <x v="66"/>
    <x v="1"/>
    <n v="25"/>
    <x v="2"/>
    <n v="1"/>
    <n v="300"/>
    <n v="138"/>
    <n v="300"/>
    <n v="162"/>
    <n v="0.54"/>
    <x v="3"/>
  </r>
  <r>
    <n v="531"/>
    <x v="201"/>
    <d v="1899-12-30T12:30:00"/>
    <x v="101"/>
    <x v="0"/>
    <n v="31"/>
    <x v="2"/>
    <n v="1"/>
    <n v="500"/>
    <n v="275"/>
    <n v="500"/>
    <n v="225"/>
    <n v="0.45"/>
    <x v="4"/>
  </r>
  <r>
    <n v="550"/>
    <x v="574"/>
    <d v="1899-12-30T16:58:00"/>
    <x v="46"/>
    <x v="0"/>
    <n v="40"/>
    <x v="0"/>
    <n v="3"/>
    <n v="300"/>
    <n v="90"/>
    <n v="900"/>
    <n v="810"/>
    <n v="0.9"/>
    <x v="0"/>
  </r>
  <r>
    <n v="1531"/>
    <x v="210"/>
    <d v="1899-12-30T13:19:00"/>
    <x v="93"/>
    <x v="0"/>
    <n v="31"/>
    <x v="2"/>
    <n v="1"/>
    <n v="500"/>
    <n v="250"/>
    <n v="500"/>
    <n v="250"/>
    <n v="0.5"/>
    <x v="4"/>
  </r>
  <r>
    <n v="1550"/>
    <x v="172"/>
    <d v="1899-12-30T13:11:00"/>
    <x v="152"/>
    <x v="0"/>
    <n v="40"/>
    <x v="0"/>
    <n v="3"/>
    <n v="300"/>
    <n v="147"/>
    <n v="900"/>
    <n v="753"/>
    <n v="0.83666666666666667"/>
    <x v="0"/>
  </r>
  <r>
    <n v="392"/>
    <x v="161"/>
    <d v="1899-12-30T13:11:00"/>
    <x v="29"/>
    <x v="0"/>
    <n v="27"/>
    <x v="0"/>
    <n v="2"/>
    <n v="300"/>
    <n v="78"/>
    <n v="600"/>
    <n v="522"/>
    <n v="0.87"/>
    <x v="4"/>
  </r>
  <r>
    <n v="453"/>
    <x v="203"/>
    <d v="1899-12-30T14:45:00"/>
    <x v="52"/>
    <x v="1"/>
    <n v="26"/>
    <x v="0"/>
    <n v="2"/>
    <n v="500"/>
    <n v="265"/>
    <n v="1000"/>
    <n v="735"/>
    <n v="0.73499999999999999"/>
    <x v="4"/>
  </r>
  <r>
    <n v="540"/>
    <x v="546"/>
    <d v="1899-12-30T16:17:00"/>
    <x v="154"/>
    <x v="1"/>
    <n v="46"/>
    <x v="2"/>
    <n v="3"/>
    <n v="300"/>
    <n v="87"/>
    <n v="900"/>
    <n v="813"/>
    <n v="0.90333333333333332"/>
    <x v="1"/>
  </r>
  <r>
    <n v="625"/>
    <x v="25"/>
    <d v="1899-12-30T13:36:00"/>
    <x v="22"/>
    <x v="0"/>
    <n v="31"/>
    <x v="0"/>
    <n v="1"/>
    <n v="300"/>
    <n v="123"/>
    <n v="300"/>
    <n v="177"/>
    <n v="0.59"/>
    <x v="4"/>
  </r>
  <r>
    <n v="1392"/>
    <x v="189"/>
    <d v="1899-12-30T12:28:00"/>
    <x v="118"/>
    <x v="0"/>
    <n v="27"/>
    <x v="0"/>
    <n v="2"/>
    <n v="300"/>
    <n v="90"/>
    <n v="600"/>
    <n v="510"/>
    <n v="0.85"/>
    <x v="4"/>
  </r>
  <r>
    <n v="1453"/>
    <x v="441"/>
    <d v="1899-12-30T13:24:00"/>
    <x v="130"/>
    <x v="1"/>
    <n v="26"/>
    <x v="0"/>
    <n v="2"/>
    <n v="500"/>
    <n v="205"/>
    <n v="1000"/>
    <n v="795"/>
    <n v="0.79500000000000004"/>
    <x v="4"/>
  </r>
  <r>
    <n v="1540"/>
    <x v="466"/>
    <d v="1899-12-30T16:51:00"/>
    <x v="37"/>
    <x v="1"/>
    <n v="46"/>
    <x v="2"/>
    <n v="3"/>
    <n v="300"/>
    <n v="147"/>
    <n v="900"/>
    <n v="753"/>
    <n v="0.83666666666666667"/>
    <x v="1"/>
  </r>
  <r>
    <n v="1625"/>
    <x v="574"/>
    <d v="1899-12-30T16:36:00"/>
    <x v="1"/>
    <x v="0"/>
    <n v="31"/>
    <x v="0"/>
    <n v="1"/>
    <n v="300"/>
    <n v="147"/>
    <n v="300"/>
    <n v="153"/>
    <n v="0.51"/>
    <x v="4"/>
  </r>
  <r>
    <n v="244"/>
    <x v="308"/>
    <d v="1899-12-30T13:57:00"/>
    <x v="32"/>
    <x v="0"/>
    <n v="28"/>
    <x v="1"/>
    <n v="2"/>
    <n v="50"/>
    <n v="20.5"/>
    <n v="100"/>
    <n v="79.5"/>
    <n v="0.79500000000000004"/>
    <x v="4"/>
  </r>
  <r>
    <n v="355"/>
    <x v="44"/>
    <d v="1899-12-30T13:42:00"/>
    <x v="131"/>
    <x v="1"/>
    <n v="55"/>
    <x v="2"/>
    <n v="1"/>
    <n v="500"/>
    <n v="260"/>
    <n v="500"/>
    <n v="240"/>
    <n v="0.48"/>
    <x v="1"/>
  </r>
  <r>
    <n v="468"/>
    <x v="644"/>
    <d v="1899-12-30T14:32:00"/>
    <x v="67"/>
    <x v="0"/>
    <n v="40"/>
    <x v="2"/>
    <n v="1"/>
    <n v="25"/>
    <n v="12.25"/>
    <n v="25"/>
    <n v="12.75"/>
    <n v="0.51"/>
    <x v="0"/>
  </r>
  <r>
    <n v="700"/>
    <x v="616"/>
    <d v="1899-12-30T15:07:00"/>
    <x v="63"/>
    <x v="0"/>
    <n v="36"/>
    <x v="2"/>
    <n v="4"/>
    <n v="500"/>
    <n v="250"/>
    <n v="2000"/>
    <n v="1750"/>
    <n v="0.875"/>
    <x v="0"/>
  </r>
  <r>
    <n v="752"/>
    <x v="447"/>
    <d v="1899-12-30T16:06:00"/>
    <x v="154"/>
    <x v="0"/>
    <n v="29"/>
    <x v="0"/>
    <n v="2"/>
    <n v="50"/>
    <n v="13"/>
    <n v="100"/>
    <n v="87"/>
    <n v="0.87"/>
    <x v="4"/>
  </r>
  <r>
    <n v="828"/>
    <x v="625"/>
    <d v="1899-12-30T15:54:00"/>
    <x v="104"/>
    <x v="1"/>
    <n v="33"/>
    <x v="2"/>
    <n v="4"/>
    <n v="300"/>
    <n v="132"/>
    <n v="1200"/>
    <n v="1068"/>
    <n v="0.89"/>
    <x v="4"/>
  </r>
  <r>
    <n v="1244"/>
    <x v="136"/>
    <d v="1899-12-30T16:47:00"/>
    <x v="151"/>
    <x v="0"/>
    <n v="28"/>
    <x v="1"/>
    <n v="2"/>
    <n v="50"/>
    <n v="19.5"/>
    <n v="100"/>
    <n v="80.5"/>
    <n v="0.80500000000000005"/>
    <x v="4"/>
  </r>
  <r>
    <n v="1355"/>
    <x v="359"/>
    <d v="1899-12-30T13:19:00"/>
    <x v="122"/>
    <x v="1"/>
    <n v="55"/>
    <x v="2"/>
    <n v="1"/>
    <n v="500"/>
    <n v="155"/>
    <n v="500"/>
    <n v="345"/>
    <n v="0.69"/>
    <x v="1"/>
  </r>
  <r>
    <n v="1468"/>
    <x v="407"/>
    <d v="1899-12-30T13:14:00"/>
    <x v="152"/>
    <x v="0"/>
    <n v="40"/>
    <x v="2"/>
    <n v="1"/>
    <n v="25"/>
    <n v="9.75"/>
    <n v="25"/>
    <n v="15.25"/>
    <n v="0.61"/>
    <x v="0"/>
  </r>
  <r>
    <n v="1700"/>
    <x v="574"/>
    <d v="1899-12-30T16:10:00"/>
    <x v="90"/>
    <x v="0"/>
    <n v="36"/>
    <x v="2"/>
    <n v="4"/>
    <n v="500"/>
    <n v="210"/>
    <n v="2000"/>
    <n v="1790"/>
    <n v="0.89500000000000002"/>
    <x v="0"/>
  </r>
  <r>
    <n v="1752"/>
    <x v="629"/>
    <d v="1899-12-30T13:01:00"/>
    <x v="154"/>
    <x v="0"/>
    <n v="29"/>
    <x v="0"/>
    <n v="2"/>
    <n v="50"/>
    <n v="14.5"/>
    <n v="100"/>
    <n v="85.5"/>
    <n v="0.85499999999999998"/>
    <x v="4"/>
  </r>
  <r>
    <n v="1828"/>
    <x v="203"/>
    <d v="1899-12-30T14:14:00"/>
    <x v="123"/>
    <x v="1"/>
    <n v="33"/>
    <x v="2"/>
    <n v="4"/>
    <n v="300"/>
    <n v="165"/>
    <n v="1200"/>
    <n v="1035"/>
    <n v="0.86250000000000004"/>
    <x v="4"/>
  </r>
  <r>
    <n v="80"/>
    <x v="246"/>
    <d v="1899-12-30T16:51:00"/>
    <x v="18"/>
    <x v="1"/>
    <n v="64"/>
    <x v="0"/>
    <n v="2"/>
    <n v="30"/>
    <n v="12.3"/>
    <n v="60"/>
    <n v="47.7"/>
    <n v="0.79500000000000004"/>
    <x v="2"/>
  </r>
  <r>
    <n v="214"/>
    <x v="0"/>
    <d v="1899-12-30T16:31:00"/>
    <x v="132"/>
    <x v="0"/>
    <n v="20"/>
    <x v="1"/>
    <n v="2"/>
    <n v="30"/>
    <n v="8.1"/>
    <n v="60"/>
    <n v="51.9"/>
    <n v="0.86499999999999999"/>
    <x v="3"/>
  </r>
  <r>
    <n v="361"/>
    <x v="189"/>
    <d v="1899-12-30T16:37:00"/>
    <x v="116"/>
    <x v="1"/>
    <n v="34"/>
    <x v="2"/>
    <n v="4"/>
    <n v="300"/>
    <n v="81"/>
    <n v="1200"/>
    <n v="1119"/>
    <n v="0.9325"/>
    <x v="4"/>
  </r>
  <r>
    <n v="526"/>
    <x v="632"/>
    <d v="1899-12-30T12:47:00"/>
    <x v="62"/>
    <x v="0"/>
    <n v="33"/>
    <x v="0"/>
    <n v="2"/>
    <n v="50"/>
    <n v="19.5"/>
    <n v="100"/>
    <n v="80.5"/>
    <n v="0.80500000000000005"/>
    <x v="4"/>
  </r>
  <r>
    <n v="1080"/>
    <x v="121"/>
    <d v="1899-12-30T13:31:00"/>
    <x v="118"/>
    <x v="1"/>
    <n v="64"/>
    <x v="0"/>
    <n v="2"/>
    <n v="30"/>
    <n v="13.2"/>
    <n v="60"/>
    <n v="46.8"/>
    <n v="0.77999999999999992"/>
    <x v="2"/>
  </r>
  <r>
    <n v="1214"/>
    <x v="562"/>
    <d v="1899-12-30T14:24:00"/>
    <x v="17"/>
    <x v="0"/>
    <n v="20"/>
    <x v="1"/>
    <n v="2"/>
    <n v="30"/>
    <n v="11.1"/>
    <n v="60"/>
    <n v="48.9"/>
    <n v="0.81499999999999995"/>
    <x v="3"/>
  </r>
  <r>
    <n v="1361"/>
    <x v="535"/>
    <d v="1899-12-30T16:00:00"/>
    <x v="27"/>
    <x v="1"/>
    <n v="34"/>
    <x v="2"/>
    <n v="4"/>
    <n v="300"/>
    <n v="153"/>
    <n v="1200"/>
    <n v="1047"/>
    <n v="0.87250000000000005"/>
    <x v="4"/>
  </r>
  <r>
    <n v="1526"/>
    <x v="190"/>
    <d v="1899-12-30T15:06:00"/>
    <x v="150"/>
    <x v="0"/>
    <n v="33"/>
    <x v="0"/>
    <n v="2"/>
    <n v="50"/>
    <n v="26.5"/>
    <n v="100"/>
    <n v="73.5"/>
    <n v="0.73499999999999999"/>
    <x v="4"/>
  </r>
  <r>
    <n v="265"/>
    <x v="625"/>
    <d v="1899-12-30T12:12:00"/>
    <x v="46"/>
    <x v="0"/>
    <n v="55"/>
    <x v="0"/>
    <n v="3"/>
    <n v="300"/>
    <n v="132"/>
    <n v="900"/>
    <n v="768"/>
    <n v="0.85333333333333339"/>
    <x v="1"/>
  </r>
  <r>
    <n v="586"/>
    <x v="453"/>
    <d v="1899-12-30T14:57:00"/>
    <x v="150"/>
    <x v="0"/>
    <n v="50"/>
    <x v="2"/>
    <n v="1"/>
    <n v="50"/>
    <n v="21.5"/>
    <n v="50"/>
    <n v="28.5"/>
    <n v="0.56999999999999995"/>
    <x v="1"/>
  </r>
  <r>
    <n v="1265"/>
    <x v="0"/>
    <d v="1899-12-30T14:35:00"/>
    <x v="67"/>
    <x v="0"/>
    <n v="55"/>
    <x v="0"/>
    <n v="3"/>
    <n v="300"/>
    <n v="111"/>
    <n v="900"/>
    <n v="789"/>
    <n v="0.87666666666666671"/>
    <x v="1"/>
  </r>
  <r>
    <n v="1586"/>
    <x v="204"/>
    <d v="1899-12-30T16:25:00"/>
    <x v="12"/>
    <x v="0"/>
    <n v="50"/>
    <x v="2"/>
    <n v="1"/>
    <n v="50"/>
    <n v="14"/>
    <n v="50"/>
    <n v="36"/>
    <n v="0.72"/>
    <x v="1"/>
  </r>
  <r>
    <n v="336"/>
    <x v="580"/>
    <d v="1899-12-30T13:05:00"/>
    <x v="26"/>
    <x v="1"/>
    <n v="52"/>
    <x v="1"/>
    <n v="3"/>
    <n v="50"/>
    <n v="25"/>
    <n v="150"/>
    <n v="125"/>
    <n v="0.83333333333333337"/>
    <x v="1"/>
  </r>
  <r>
    <n v="571"/>
    <x v="150"/>
    <d v="1899-12-30T12:51:00"/>
    <x v="90"/>
    <x v="1"/>
    <n v="41"/>
    <x v="2"/>
    <n v="1"/>
    <n v="50"/>
    <n v="16"/>
    <n v="50"/>
    <n v="34"/>
    <n v="0.68"/>
    <x v="0"/>
  </r>
  <r>
    <n v="1336"/>
    <x v="44"/>
    <d v="1899-12-30T13:27:00"/>
    <x v="119"/>
    <x v="1"/>
    <n v="52"/>
    <x v="1"/>
    <n v="3"/>
    <n v="50"/>
    <n v="21.5"/>
    <n v="150"/>
    <n v="128.5"/>
    <n v="0.85666666666666669"/>
    <x v="1"/>
  </r>
  <r>
    <n v="1571"/>
    <x v="152"/>
    <d v="1899-12-30T14:55:00"/>
    <x v="101"/>
    <x v="1"/>
    <n v="41"/>
    <x v="2"/>
    <n v="1"/>
    <n v="50"/>
    <n v="25"/>
    <n v="50"/>
    <n v="25"/>
    <n v="0.5"/>
    <x v="0"/>
  </r>
  <r>
    <n v="9"/>
    <x v="609"/>
    <d v="1899-12-30T13:12:00"/>
    <x v="3"/>
    <x v="0"/>
    <n v="63"/>
    <x v="2"/>
    <n v="2"/>
    <n v="300"/>
    <n v="78"/>
    <n v="600"/>
    <n v="522"/>
    <n v="0.87"/>
    <x v="2"/>
  </r>
  <r>
    <n v="552"/>
    <x v="141"/>
    <d v="1899-12-30T13:32:00"/>
    <x v="3"/>
    <x v="1"/>
    <n v="49"/>
    <x v="2"/>
    <n v="3"/>
    <n v="25"/>
    <n v="9.75"/>
    <n v="75"/>
    <n v="65.25"/>
    <n v="0.87"/>
    <x v="1"/>
  </r>
  <r>
    <n v="771"/>
    <x v="280"/>
    <d v="1899-12-30T12:23:00"/>
    <x v="118"/>
    <x v="0"/>
    <n v="24"/>
    <x v="2"/>
    <n v="2"/>
    <n v="25"/>
    <n v="11.75"/>
    <n v="50"/>
    <n v="38.25"/>
    <n v="0.76500000000000001"/>
    <x v="3"/>
  </r>
  <r>
    <n v="1009"/>
    <x v="557"/>
    <d v="1899-12-30T14:18:00"/>
    <x v="42"/>
    <x v="0"/>
    <n v="63"/>
    <x v="2"/>
    <n v="2"/>
    <n v="300"/>
    <n v="78"/>
    <n v="600"/>
    <n v="522"/>
    <n v="0.87"/>
    <x v="2"/>
  </r>
  <r>
    <n v="1552"/>
    <x v="190"/>
    <d v="1899-12-30T12:11:00"/>
    <x v="57"/>
    <x v="1"/>
    <n v="49"/>
    <x v="2"/>
    <n v="3"/>
    <n v="25"/>
    <n v="13"/>
    <n v="75"/>
    <n v="62"/>
    <n v="0.82666666666666666"/>
    <x v="1"/>
  </r>
  <r>
    <n v="1771"/>
    <x v="338"/>
    <d v="1899-12-30T13:41:00"/>
    <x v="145"/>
    <x v="0"/>
    <n v="24"/>
    <x v="2"/>
    <n v="2"/>
    <n v="25"/>
    <n v="10.75"/>
    <n v="50"/>
    <n v="39.25"/>
    <n v="0.78500000000000003"/>
    <x v="3"/>
  </r>
  <r>
    <n v="496"/>
    <x v="2"/>
    <d v="1899-12-30T13:07:00"/>
    <x v="147"/>
    <x v="0"/>
    <n v="23"/>
    <x v="0"/>
    <n v="2"/>
    <n v="300"/>
    <n v="141"/>
    <n v="600"/>
    <n v="459"/>
    <n v="0.76500000000000001"/>
    <x v="3"/>
  </r>
  <r>
    <n v="701"/>
    <x v="345"/>
    <d v="1899-12-30T16:33:00"/>
    <x v="108"/>
    <x v="1"/>
    <n v="52"/>
    <x v="1"/>
    <n v="2"/>
    <n v="30"/>
    <n v="14.1"/>
    <n v="60"/>
    <n v="45.9"/>
    <n v="0.76500000000000001"/>
    <x v="1"/>
  </r>
  <r>
    <n v="1496"/>
    <x v="137"/>
    <d v="1899-12-30T15:05:00"/>
    <x v="140"/>
    <x v="0"/>
    <n v="23"/>
    <x v="0"/>
    <n v="2"/>
    <n v="300"/>
    <n v="120"/>
    <n v="600"/>
    <n v="480"/>
    <n v="0.8"/>
    <x v="3"/>
  </r>
  <r>
    <n v="1701"/>
    <x v="412"/>
    <d v="1899-12-30T15:09:00"/>
    <x v="48"/>
    <x v="1"/>
    <n v="52"/>
    <x v="1"/>
    <n v="2"/>
    <n v="30"/>
    <n v="15.9"/>
    <n v="60"/>
    <n v="44.1"/>
    <n v="0.73499999999999999"/>
    <x v="1"/>
  </r>
  <r>
    <n v="139"/>
    <x v="372"/>
    <d v="1899-12-30T14:03:00"/>
    <x v="130"/>
    <x v="0"/>
    <n v="36"/>
    <x v="1"/>
    <n v="4"/>
    <n v="500"/>
    <n v="230"/>
    <n v="2000"/>
    <n v="1770"/>
    <n v="0.88500000000000001"/>
    <x v="0"/>
  </r>
  <r>
    <n v="151"/>
    <x v="466"/>
    <d v="1899-12-30T15:49:00"/>
    <x v="145"/>
    <x v="0"/>
    <n v="29"/>
    <x v="0"/>
    <n v="1"/>
    <n v="50"/>
    <n v="18"/>
    <n v="50"/>
    <n v="32"/>
    <n v="0.64"/>
    <x v="4"/>
  </r>
  <r>
    <n v="1139"/>
    <x v="450"/>
    <d v="1899-12-30T14:23:00"/>
    <x v="90"/>
    <x v="0"/>
    <n v="36"/>
    <x v="1"/>
    <n v="4"/>
    <n v="500"/>
    <n v="230"/>
    <n v="2000"/>
    <n v="1770"/>
    <n v="0.88500000000000001"/>
    <x v="0"/>
  </r>
  <r>
    <n v="1151"/>
    <x v="2"/>
    <d v="1899-12-30T14:48:00"/>
    <x v="123"/>
    <x v="0"/>
    <n v="29"/>
    <x v="0"/>
    <n v="1"/>
    <n v="50"/>
    <n v="26"/>
    <n v="50"/>
    <n v="24"/>
    <n v="0.48"/>
    <x v="4"/>
  </r>
  <r>
    <n v="83"/>
    <x v="502"/>
    <d v="1899-12-30T15:57:00"/>
    <x v="93"/>
    <x v="0"/>
    <n v="54"/>
    <x v="2"/>
    <n v="2"/>
    <n v="50"/>
    <n v="16.5"/>
    <n v="100"/>
    <n v="83.5"/>
    <n v="0.83499999999999996"/>
    <x v="1"/>
  </r>
  <r>
    <n v="153"/>
    <x v="236"/>
    <d v="1899-12-30T15:52:00"/>
    <x v="48"/>
    <x v="0"/>
    <n v="63"/>
    <x v="2"/>
    <n v="2"/>
    <n v="500"/>
    <n v="195"/>
    <n v="1000"/>
    <n v="805"/>
    <n v="0.80500000000000005"/>
    <x v="2"/>
  </r>
  <r>
    <n v="451"/>
    <x v="303"/>
    <d v="1899-12-30T15:38:00"/>
    <x v="119"/>
    <x v="1"/>
    <n v="45"/>
    <x v="2"/>
    <n v="1"/>
    <n v="30"/>
    <n v="13.5"/>
    <n v="30"/>
    <n v="16.5"/>
    <n v="0.55000000000000004"/>
    <x v="0"/>
  </r>
  <r>
    <n v="1083"/>
    <x v="172"/>
    <d v="1899-12-30T15:46:00"/>
    <x v="123"/>
    <x v="0"/>
    <n v="54"/>
    <x v="2"/>
    <n v="2"/>
    <n v="50"/>
    <n v="17.5"/>
    <n v="100"/>
    <n v="82.5"/>
    <n v="0.82499999999999996"/>
    <x v="1"/>
  </r>
  <r>
    <n v="1153"/>
    <x v="620"/>
    <d v="1899-12-30T12:30:00"/>
    <x v="147"/>
    <x v="0"/>
    <n v="63"/>
    <x v="2"/>
    <n v="2"/>
    <n v="500"/>
    <n v="265"/>
    <n v="1000"/>
    <n v="735"/>
    <n v="0.73499999999999999"/>
    <x v="2"/>
  </r>
  <r>
    <n v="1451"/>
    <x v="44"/>
    <d v="1899-12-30T12:10:00"/>
    <x v="30"/>
    <x v="1"/>
    <n v="45"/>
    <x v="2"/>
    <n v="1"/>
    <n v="30"/>
    <n v="13.2"/>
    <n v="30"/>
    <n v="16.8"/>
    <n v="0.56000000000000005"/>
    <x v="0"/>
  </r>
  <r>
    <n v="99"/>
    <x v="236"/>
    <d v="1899-12-30T15:12:00"/>
    <x v="41"/>
    <x v="1"/>
    <n v="50"/>
    <x v="2"/>
    <n v="4"/>
    <n v="300"/>
    <n v="132"/>
    <n v="1200"/>
    <n v="1068"/>
    <n v="0.89"/>
    <x v="1"/>
  </r>
  <r>
    <n v="783"/>
    <x v="494"/>
    <d v="1899-12-30T15:37:00"/>
    <x v="147"/>
    <x v="1"/>
    <n v="56"/>
    <x v="0"/>
    <n v="1"/>
    <n v="300"/>
    <n v="150"/>
    <n v="300"/>
    <n v="150"/>
    <n v="0.5"/>
    <x v="2"/>
  </r>
  <r>
    <n v="1099"/>
    <x v="631"/>
    <d v="1899-12-30T12:41:00"/>
    <x v="93"/>
    <x v="1"/>
    <n v="50"/>
    <x v="2"/>
    <n v="4"/>
    <n v="300"/>
    <n v="162"/>
    <n v="1200"/>
    <n v="1038"/>
    <n v="0.86499999999999999"/>
    <x v="1"/>
  </r>
  <r>
    <n v="1783"/>
    <x v="385"/>
    <d v="1899-12-30T16:37:00"/>
    <x v="1"/>
    <x v="1"/>
    <n v="56"/>
    <x v="0"/>
    <n v="1"/>
    <n v="300"/>
    <n v="135"/>
    <n v="300"/>
    <n v="165"/>
    <n v="0.55000000000000004"/>
    <x v="2"/>
  </r>
  <r>
    <n v="409"/>
    <x v="596"/>
    <d v="1899-12-30T12:30:00"/>
    <x v="57"/>
    <x v="1"/>
    <n v="21"/>
    <x v="2"/>
    <n v="3"/>
    <n v="300"/>
    <n v="87"/>
    <n v="900"/>
    <n v="813"/>
    <n v="0.90333333333333332"/>
    <x v="3"/>
  </r>
  <r>
    <n v="525"/>
    <x v="156"/>
    <d v="1899-12-30T14:15:00"/>
    <x v="20"/>
    <x v="1"/>
    <n v="47"/>
    <x v="1"/>
    <n v="2"/>
    <n v="25"/>
    <n v="7"/>
    <n v="50"/>
    <n v="43"/>
    <n v="0.86"/>
    <x v="1"/>
  </r>
  <r>
    <n v="939"/>
    <x v="175"/>
    <d v="1899-12-30T15:28:00"/>
    <x v="56"/>
    <x v="1"/>
    <n v="46"/>
    <x v="2"/>
    <n v="1"/>
    <n v="300"/>
    <n v="81"/>
    <n v="300"/>
    <n v="219"/>
    <n v="0.73"/>
    <x v="1"/>
  </r>
  <r>
    <n v="994"/>
    <x v="631"/>
    <d v="1899-12-30T16:38:00"/>
    <x v="152"/>
    <x v="1"/>
    <n v="51"/>
    <x v="1"/>
    <n v="2"/>
    <n v="500"/>
    <n v="125"/>
    <n v="1000"/>
    <n v="875"/>
    <n v="0.875"/>
    <x v="1"/>
  </r>
  <r>
    <n v="1409"/>
    <x v="315"/>
    <d v="1899-12-30T12:15:00"/>
    <x v="13"/>
    <x v="1"/>
    <n v="21"/>
    <x v="2"/>
    <n v="3"/>
    <n v="300"/>
    <n v="138"/>
    <n v="900"/>
    <n v="762"/>
    <n v="0.84666666666666668"/>
    <x v="3"/>
  </r>
  <r>
    <n v="1525"/>
    <x v="645"/>
    <d v="1899-12-30T13:35:00"/>
    <x v="83"/>
    <x v="1"/>
    <n v="47"/>
    <x v="1"/>
    <n v="2"/>
    <n v="25"/>
    <n v="12"/>
    <n v="50"/>
    <n v="38"/>
    <n v="0.76"/>
    <x v="1"/>
  </r>
  <r>
    <n v="1939"/>
    <x v="6"/>
    <d v="1899-12-30T13:30:00"/>
    <x v="119"/>
    <x v="1"/>
    <n v="46"/>
    <x v="2"/>
    <n v="1"/>
    <n v="300"/>
    <n v="135"/>
    <n v="300"/>
    <n v="165"/>
    <n v="0.55000000000000004"/>
    <x v="1"/>
  </r>
  <r>
    <n v="1994"/>
    <x v="519"/>
    <d v="1899-12-30T13:27:00"/>
    <x v="67"/>
    <x v="1"/>
    <n v="51"/>
    <x v="1"/>
    <n v="2"/>
    <n v="500"/>
    <n v="250"/>
    <n v="1000"/>
    <n v="750"/>
    <n v="0.75"/>
    <x v="1"/>
  </r>
  <r>
    <n v="96"/>
    <x v="315"/>
    <d v="1899-12-30T14:10:00"/>
    <x v="48"/>
    <x v="1"/>
    <n v="44"/>
    <x v="0"/>
    <n v="2"/>
    <n v="300"/>
    <n v="84"/>
    <n v="600"/>
    <n v="516"/>
    <n v="0.86"/>
    <x v="0"/>
  </r>
  <r>
    <n v="609"/>
    <x v="236"/>
    <d v="1899-12-30T13:02:00"/>
    <x v="12"/>
    <x v="1"/>
    <n v="47"/>
    <x v="0"/>
    <n v="2"/>
    <n v="50"/>
    <n v="13"/>
    <n v="100"/>
    <n v="87"/>
    <n v="0.87"/>
    <x v="1"/>
  </r>
  <r>
    <n v="982"/>
    <x v="179"/>
    <d v="1899-12-30T14:08:00"/>
    <x v="17"/>
    <x v="1"/>
    <n v="46"/>
    <x v="1"/>
    <n v="3"/>
    <n v="30"/>
    <n v="15.6"/>
    <n v="90"/>
    <n v="74.400000000000006"/>
    <n v="0.82666666666666677"/>
    <x v="1"/>
  </r>
  <r>
    <n v="1096"/>
    <x v="131"/>
    <d v="1899-12-30T14:49:00"/>
    <x v="18"/>
    <x v="1"/>
    <n v="44"/>
    <x v="0"/>
    <n v="2"/>
    <n v="300"/>
    <n v="138"/>
    <n v="600"/>
    <n v="462"/>
    <n v="0.77"/>
    <x v="0"/>
  </r>
  <r>
    <n v="1609"/>
    <x v="373"/>
    <d v="1899-12-30T13:58:00"/>
    <x v="81"/>
    <x v="1"/>
    <n v="47"/>
    <x v="0"/>
    <n v="2"/>
    <n v="50"/>
    <n v="22.5"/>
    <n v="100"/>
    <n v="77.5"/>
    <n v="0.77500000000000002"/>
    <x v="1"/>
  </r>
  <r>
    <n v="1982"/>
    <x v="290"/>
    <d v="1899-12-30T12:46:00"/>
    <x v="140"/>
    <x v="1"/>
    <n v="46"/>
    <x v="1"/>
    <n v="3"/>
    <n v="30"/>
    <n v="16.5"/>
    <n v="90"/>
    <n v="73.5"/>
    <n v="0.81666666666666665"/>
    <x v="1"/>
  </r>
  <r>
    <n v="209"/>
    <x v="137"/>
    <d v="1899-12-30T12:22:00"/>
    <x v="63"/>
    <x v="1"/>
    <n v="30"/>
    <x v="2"/>
    <n v="4"/>
    <n v="50"/>
    <n v="14"/>
    <n v="200"/>
    <n v="186"/>
    <n v="0.93"/>
    <x v="4"/>
  </r>
  <r>
    <n v="435"/>
    <x v="638"/>
    <d v="1899-12-30T13:41:00"/>
    <x v="130"/>
    <x v="1"/>
    <n v="30"/>
    <x v="1"/>
    <n v="3"/>
    <n v="300"/>
    <n v="108"/>
    <n v="900"/>
    <n v="792"/>
    <n v="0.88"/>
    <x v="4"/>
  </r>
  <r>
    <n v="777"/>
    <x v="619"/>
    <d v="1899-12-30T15:07:00"/>
    <x v="7"/>
    <x v="0"/>
    <n v="48"/>
    <x v="2"/>
    <n v="3"/>
    <n v="50"/>
    <n v="17"/>
    <n v="150"/>
    <n v="133"/>
    <n v="0.88666666666666671"/>
    <x v="1"/>
  </r>
  <r>
    <n v="854"/>
    <x v="165"/>
    <d v="1899-12-30T15:42:00"/>
    <x v="150"/>
    <x v="0"/>
    <n v="29"/>
    <x v="0"/>
    <n v="1"/>
    <n v="50"/>
    <n v="22"/>
    <n v="50"/>
    <n v="28"/>
    <n v="0.56000000000000005"/>
    <x v="4"/>
  </r>
  <r>
    <n v="890"/>
    <x v="434"/>
    <d v="1899-12-30T14:44:00"/>
    <x v="104"/>
    <x v="0"/>
    <n v="34"/>
    <x v="2"/>
    <n v="2"/>
    <n v="25"/>
    <n v="13.5"/>
    <n v="50"/>
    <n v="36.5"/>
    <n v="0.73"/>
    <x v="4"/>
  </r>
  <r>
    <n v="1209"/>
    <x v="514"/>
    <d v="1899-12-30T12:37:00"/>
    <x v="57"/>
    <x v="1"/>
    <n v="30"/>
    <x v="2"/>
    <n v="4"/>
    <n v="50"/>
    <n v="23"/>
    <n v="200"/>
    <n v="177"/>
    <n v="0.88500000000000001"/>
    <x v="4"/>
  </r>
  <r>
    <n v="1435"/>
    <x v="27"/>
    <d v="1899-12-30T13:31:00"/>
    <x v="63"/>
    <x v="1"/>
    <n v="30"/>
    <x v="1"/>
    <n v="3"/>
    <n v="300"/>
    <n v="114"/>
    <n v="900"/>
    <n v="786"/>
    <n v="0.87333333333333329"/>
    <x v="4"/>
  </r>
  <r>
    <n v="1777"/>
    <x v="223"/>
    <d v="1899-12-30T12:06:00"/>
    <x v="119"/>
    <x v="0"/>
    <n v="48"/>
    <x v="2"/>
    <n v="3"/>
    <n v="50"/>
    <n v="19.5"/>
    <n v="150"/>
    <n v="130.5"/>
    <n v="0.87"/>
    <x v="1"/>
  </r>
  <r>
    <n v="1854"/>
    <x v="477"/>
    <d v="1899-12-30T16:53:00"/>
    <x v="136"/>
    <x v="0"/>
    <n v="29"/>
    <x v="0"/>
    <n v="1"/>
    <n v="50"/>
    <n v="22.5"/>
    <n v="50"/>
    <n v="27.5"/>
    <n v="0.55000000000000004"/>
    <x v="4"/>
  </r>
  <r>
    <n v="1890"/>
    <x v="400"/>
    <d v="1899-12-30T14:20:00"/>
    <x v="71"/>
    <x v="0"/>
    <n v="34"/>
    <x v="2"/>
    <n v="2"/>
    <n v="25"/>
    <n v="6.25"/>
    <n v="50"/>
    <n v="43.75"/>
    <n v="0.875"/>
    <x v="4"/>
  </r>
  <r>
    <n v="865"/>
    <x v="596"/>
    <d v="1899-12-30T14:49:00"/>
    <x v="66"/>
    <x v="1"/>
    <n v="42"/>
    <x v="0"/>
    <n v="1"/>
    <n v="300"/>
    <n v="108"/>
    <n v="300"/>
    <n v="192"/>
    <n v="0.64"/>
    <x v="0"/>
  </r>
  <r>
    <n v="1865"/>
    <x v="520"/>
    <d v="1899-12-30T14:52:00"/>
    <x v="122"/>
    <x v="1"/>
    <n v="42"/>
    <x v="0"/>
    <n v="1"/>
    <n v="300"/>
    <n v="156"/>
    <n v="300"/>
    <n v="144"/>
    <n v="0.48"/>
    <x v="0"/>
  </r>
  <r>
    <n v="662"/>
    <x v="614"/>
    <d v="1899-12-30T12:40:00"/>
    <x v="151"/>
    <x v="0"/>
    <n v="48"/>
    <x v="1"/>
    <n v="2"/>
    <n v="500"/>
    <n v="145"/>
    <n v="1000"/>
    <n v="855"/>
    <n v="0.85499999999999998"/>
    <x v="1"/>
  </r>
  <r>
    <n v="1662"/>
    <x v="453"/>
    <d v="1899-12-30T12:38:00"/>
    <x v="83"/>
    <x v="0"/>
    <n v="48"/>
    <x v="1"/>
    <n v="2"/>
    <n v="500"/>
    <n v="240"/>
    <n v="1000"/>
    <n v="760"/>
    <n v="0.76"/>
    <x v="1"/>
  </r>
  <r>
    <n v="309"/>
    <x v="466"/>
    <d v="1899-12-30T15:39:00"/>
    <x v="66"/>
    <x v="1"/>
    <n v="26"/>
    <x v="1"/>
    <n v="1"/>
    <n v="25"/>
    <n v="9"/>
    <n v="25"/>
    <n v="16"/>
    <n v="0.64"/>
    <x v="4"/>
  </r>
  <r>
    <n v="544"/>
    <x v="415"/>
    <d v="1899-12-30T13:46:00"/>
    <x v="109"/>
    <x v="1"/>
    <n v="27"/>
    <x v="2"/>
    <n v="1"/>
    <n v="25"/>
    <n v="10.25"/>
    <n v="25"/>
    <n v="14.75"/>
    <n v="0.59"/>
    <x v="4"/>
  </r>
  <r>
    <n v="602"/>
    <x v="289"/>
    <d v="1899-12-30T16:46:00"/>
    <x v="56"/>
    <x v="1"/>
    <n v="20"/>
    <x v="2"/>
    <n v="1"/>
    <n v="300"/>
    <n v="96"/>
    <n v="300"/>
    <n v="204"/>
    <n v="0.68"/>
    <x v="3"/>
  </r>
  <r>
    <n v="615"/>
    <x v="6"/>
    <d v="1899-12-30T15:06:00"/>
    <x v="11"/>
    <x v="1"/>
    <n v="61"/>
    <x v="0"/>
    <n v="4"/>
    <n v="25"/>
    <n v="10.5"/>
    <n v="100"/>
    <n v="89.5"/>
    <n v="0.89500000000000002"/>
    <x v="2"/>
  </r>
  <r>
    <n v="678"/>
    <x v="37"/>
    <d v="1899-12-30T15:55:00"/>
    <x v="118"/>
    <x v="1"/>
    <n v="60"/>
    <x v="2"/>
    <n v="3"/>
    <n v="300"/>
    <n v="144"/>
    <n v="900"/>
    <n v="756"/>
    <n v="0.84"/>
    <x v="2"/>
  </r>
  <r>
    <n v="781"/>
    <x v="106"/>
    <d v="1899-12-30T16:52:00"/>
    <x v="83"/>
    <x v="0"/>
    <n v="35"/>
    <x v="1"/>
    <n v="1"/>
    <n v="500"/>
    <n v="225"/>
    <n v="500"/>
    <n v="275"/>
    <n v="0.55000000000000004"/>
    <x v="4"/>
  </r>
  <r>
    <n v="1309"/>
    <x v="172"/>
    <d v="1899-12-30T16:50:00"/>
    <x v="108"/>
    <x v="1"/>
    <n v="26"/>
    <x v="1"/>
    <n v="1"/>
    <n v="25"/>
    <n v="9.5"/>
    <n v="25"/>
    <n v="15.5"/>
    <n v="0.62"/>
    <x v="4"/>
  </r>
  <r>
    <n v="1544"/>
    <x v="147"/>
    <d v="1899-12-30T15:58:00"/>
    <x v="118"/>
    <x v="1"/>
    <n v="27"/>
    <x v="2"/>
    <n v="1"/>
    <n v="25"/>
    <n v="11.25"/>
    <n v="25"/>
    <n v="13.75"/>
    <n v="0.55000000000000004"/>
    <x v="4"/>
  </r>
  <r>
    <n v="1602"/>
    <x v="131"/>
    <d v="1899-12-30T15:17:00"/>
    <x v="67"/>
    <x v="1"/>
    <n v="20"/>
    <x v="2"/>
    <n v="1"/>
    <n v="300"/>
    <n v="126"/>
    <n v="300"/>
    <n v="174"/>
    <n v="0.57999999999999996"/>
    <x v="3"/>
  </r>
  <r>
    <n v="1615"/>
    <x v="37"/>
    <d v="1899-12-30T13:43:00"/>
    <x v="18"/>
    <x v="1"/>
    <n v="61"/>
    <x v="0"/>
    <n v="4"/>
    <n v="25"/>
    <n v="13.5"/>
    <n v="100"/>
    <n v="86.5"/>
    <n v="0.86499999999999999"/>
    <x v="2"/>
  </r>
  <r>
    <n v="1678"/>
    <x v="30"/>
    <d v="1899-12-30T13:44:00"/>
    <x v="123"/>
    <x v="1"/>
    <n v="60"/>
    <x v="2"/>
    <n v="3"/>
    <n v="300"/>
    <n v="102"/>
    <n v="900"/>
    <n v="798"/>
    <n v="0.88666666666666671"/>
    <x v="2"/>
  </r>
  <r>
    <n v="1781"/>
    <x v="94"/>
    <d v="1899-12-30T12:22:00"/>
    <x v="57"/>
    <x v="0"/>
    <n v="35"/>
    <x v="1"/>
    <n v="1"/>
    <n v="500"/>
    <n v="225"/>
    <n v="500"/>
    <n v="275"/>
    <n v="0.55000000000000004"/>
    <x v="4"/>
  </r>
  <r>
    <n v="34"/>
    <x v="301"/>
    <d v="1899-12-30T13:26:00"/>
    <x v="90"/>
    <x v="1"/>
    <n v="51"/>
    <x v="0"/>
    <n v="3"/>
    <n v="50"/>
    <n v="17"/>
    <n v="150"/>
    <n v="133"/>
    <n v="0.88666666666666671"/>
    <x v="1"/>
  </r>
  <r>
    <n v="916"/>
    <x v="491"/>
    <d v="1899-12-30T12:56:00"/>
    <x v="22"/>
    <x v="1"/>
    <n v="32"/>
    <x v="2"/>
    <n v="1"/>
    <n v="50"/>
    <n v="26"/>
    <n v="50"/>
    <n v="24"/>
    <n v="0.48"/>
    <x v="4"/>
  </r>
  <r>
    <n v="1034"/>
    <x v="50"/>
    <d v="1899-12-30T14:48:00"/>
    <x v="1"/>
    <x v="1"/>
    <n v="51"/>
    <x v="0"/>
    <n v="3"/>
    <n v="50"/>
    <n v="24.5"/>
    <n v="150"/>
    <n v="125.5"/>
    <n v="0.83666666666666667"/>
    <x v="1"/>
  </r>
  <r>
    <n v="1916"/>
    <x v="152"/>
    <d v="1899-12-30T12:40:00"/>
    <x v="13"/>
    <x v="1"/>
    <n v="32"/>
    <x v="2"/>
    <n v="1"/>
    <n v="50"/>
    <n v="16.5"/>
    <n v="50"/>
    <n v="33.5"/>
    <n v="0.67"/>
    <x v="4"/>
  </r>
  <r>
    <n v="757"/>
    <x v="340"/>
    <d v="1899-12-30T12:10:00"/>
    <x v="18"/>
    <x v="1"/>
    <n v="43"/>
    <x v="2"/>
    <n v="4"/>
    <n v="300"/>
    <n v="105"/>
    <n v="1200"/>
    <n v="1095"/>
    <n v="0.91249999999999998"/>
    <x v="0"/>
  </r>
  <r>
    <n v="1757"/>
    <x v="347"/>
    <d v="1899-12-30T16:42:00"/>
    <x v="17"/>
    <x v="1"/>
    <n v="43"/>
    <x v="2"/>
    <n v="4"/>
    <n v="300"/>
    <n v="132"/>
    <n v="1200"/>
    <n v="1068"/>
    <n v="0.89"/>
    <x v="0"/>
  </r>
  <r>
    <n v="25"/>
    <x v="519"/>
    <d v="1899-12-30T14:32:00"/>
    <x v="63"/>
    <x v="1"/>
    <n v="64"/>
    <x v="1"/>
    <n v="1"/>
    <n v="50"/>
    <n v="19"/>
    <n v="50"/>
    <n v="31"/>
    <n v="0.62"/>
    <x v="2"/>
  </r>
  <r>
    <n v="82"/>
    <x v="220"/>
    <d v="1899-12-30T12:55:00"/>
    <x v="3"/>
    <x v="1"/>
    <n v="32"/>
    <x v="1"/>
    <n v="4"/>
    <n v="50"/>
    <n v="15"/>
    <n v="200"/>
    <n v="185"/>
    <n v="0.92500000000000004"/>
    <x v="4"/>
  </r>
  <r>
    <n v="472"/>
    <x v="229"/>
    <d v="1899-12-30T15:23:00"/>
    <x v="109"/>
    <x v="1"/>
    <n v="38"/>
    <x v="1"/>
    <n v="3"/>
    <n v="300"/>
    <n v="162"/>
    <n v="900"/>
    <n v="738"/>
    <n v="0.82"/>
    <x v="0"/>
  </r>
  <r>
    <n v="842"/>
    <x v="578"/>
    <d v="1899-12-30T14:13:00"/>
    <x v="41"/>
    <x v="1"/>
    <n v="47"/>
    <x v="0"/>
    <n v="2"/>
    <n v="300"/>
    <n v="105"/>
    <n v="600"/>
    <n v="495"/>
    <n v="0.82499999999999996"/>
    <x v="1"/>
  </r>
  <r>
    <n v="879"/>
    <x v="50"/>
    <d v="1899-12-30T16:51:00"/>
    <x v="17"/>
    <x v="0"/>
    <n v="23"/>
    <x v="0"/>
    <n v="1"/>
    <n v="30"/>
    <n v="15.3"/>
    <n v="30"/>
    <n v="14.7"/>
    <n v="0.49"/>
    <x v="3"/>
  </r>
  <r>
    <n v="991"/>
    <x v="308"/>
    <d v="1899-12-30T14:28:00"/>
    <x v="140"/>
    <x v="1"/>
    <n v="34"/>
    <x v="0"/>
    <n v="2"/>
    <n v="50"/>
    <n v="19.5"/>
    <n v="100"/>
    <n v="80.5"/>
    <n v="0.80500000000000005"/>
    <x v="4"/>
  </r>
  <r>
    <n v="1025"/>
    <x v="65"/>
    <d v="1899-12-30T16:41:00"/>
    <x v="139"/>
    <x v="1"/>
    <n v="64"/>
    <x v="1"/>
    <n v="1"/>
    <n v="50"/>
    <n v="16.5"/>
    <n v="50"/>
    <n v="33.5"/>
    <n v="0.67"/>
    <x v="2"/>
  </r>
  <r>
    <n v="1082"/>
    <x v="630"/>
    <d v="1899-12-30T15:56:00"/>
    <x v="91"/>
    <x v="1"/>
    <n v="32"/>
    <x v="1"/>
    <n v="4"/>
    <n v="50"/>
    <n v="27.5"/>
    <n v="200"/>
    <n v="172.5"/>
    <n v="0.86250000000000004"/>
    <x v="4"/>
  </r>
  <r>
    <n v="1472"/>
    <x v="518"/>
    <d v="1899-12-30T15:22:00"/>
    <x v="119"/>
    <x v="1"/>
    <n v="38"/>
    <x v="1"/>
    <n v="3"/>
    <n v="300"/>
    <n v="150"/>
    <n v="900"/>
    <n v="750"/>
    <n v="0.83333333333333337"/>
    <x v="0"/>
  </r>
  <r>
    <n v="1842"/>
    <x v="76"/>
    <d v="1899-12-30T14:03:00"/>
    <x v="150"/>
    <x v="1"/>
    <n v="47"/>
    <x v="0"/>
    <n v="2"/>
    <n v="300"/>
    <n v="75"/>
    <n v="600"/>
    <n v="525"/>
    <n v="0.875"/>
    <x v="1"/>
  </r>
  <r>
    <n v="1879"/>
    <x v="520"/>
    <d v="1899-12-30T15:27:00"/>
    <x v="8"/>
    <x v="0"/>
    <n v="23"/>
    <x v="0"/>
    <n v="1"/>
    <n v="30"/>
    <n v="16.2"/>
    <n v="30"/>
    <n v="13.8"/>
    <n v="0.46"/>
    <x v="3"/>
  </r>
  <r>
    <n v="1991"/>
    <x v="495"/>
    <d v="1899-12-30T13:11:00"/>
    <x v="131"/>
    <x v="1"/>
    <n v="34"/>
    <x v="0"/>
    <n v="2"/>
    <n v="50"/>
    <n v="14.5"/>
    <n v="100"/>
    <n v="85.5"/>
    <n v="0.85499999999999998"/>
    <x v="4"/>
  </r>
  <r>
    <n v="62"/>
    <x v="249"/>
    <d v="1899-12-30T12:54:00"/>
    <x v="17"/>
    <x v="0"/>
    <n v="18"/>
    <x v="1"/>
    <n v="2"/>
    <n v="50"/>
    <n v="26.5"/>
    <n v="100"/>
    <n v="73.5"/>
    <n v="0.73499999999999999"/>
    <x v="3"/>
  </r>
  <r>
    <n v="386"/>
    <x v="624"/>
    <d v="1899-12-30T13:20:00"/>
    <x v="29"/>
    <x v="1"/>
    <n v="54"/>
    <x v="2"/>
    <n v="2"/>
    <n v="300"/>
    <n v="153"/>
    <n v="600"/>
    <n v="447"/>
    <n v="0.745"/>
    <x v="1"/>
  </r>
  <r>
    <n v="1062"/>
    <x v="610"/>
    <d v="1899-12-30T16:05:00"/>
    <x v="69"/>
    <x v="0"/>
    <n v="18"/>
    <x v="1"/>
    <n v="2"/>
    <n v="50"/>
    <n v="21.5"/>
    <n v="100"/>
    <n v="78.5"/>
    <n v="0.78500000000000003"/>
    <x v="3"/>
  </r>
  <r>
    <n v="1386"/>
    <x v="449"/>
    <d v="1899-12-30T14:06:00"/>
    <x v="140"/>
    <x v="1"/>
    <n v="54"/>
    <x v="2"/>
    <n v="2"/>
    <n v="300"/>
    <n v="81"/>
    <n v="600"/>
    <n v="519"/>
    <n v="0.86499999999999999"/>
    <x v="1"/>
  </r>
  <r>
    <n v="429"/>
    <x v="392"/>
    <d v="1899-12-30T14:29:00"/>
    <x v="46"/>
    <x v="0"/>
    <n v="64"/>
    <x v="2"/>
    <n v="2"/>
    <n v="25"/>
    <n v="6.75"/>
    <n v="50"/>
    <n v="43.25"/>
    <n v="0.86499999999999999"/>
    <x v="2"/>
  </r>
  <r>
    <n v="664"/>
    <x v="137"/>
    <d v="1899-12-30T16:52:00"/>
    <x v="136"/>
    <x v="1"/>
    <n v="44"/>
    <x v="0"/>
    <n v="4"/>
    <n v="500"/>
    <n v="170"/>
    <n v="2000"/>
    <n v="1830"/>
    <n v="0.91500000000000004"/>
    <x v="0"/>
  </r>
  <r>
    <n v="989"/>
    <x v="6"/>
    <d v="1899-12-30T13:30:00"/>
    <x v="85"/>
    <x v="1"/>
    <n v="44"/>
    <x v="2"/>
    <n v="1"/>
    <n v="25"/>
    <n v="8.25"/>
    <n v="25"/>
    <n v="16.75"/>
    <n v="0.67"/>
    <x v="0"/>
  </r>
  <r>
    <n v="1429"/>
    <x v="315"/>
    <d v="1899-12-30T13:14:00"/>
    <x v="13"/>
    <x v="0"/>
    <n v="64"/>
    <x v="2"/>
    <n v="2"/>
    <n v="25"/>
    <n v="12"/>
    <n v="50"/>
    <n v="38"/>
    <n v="0.76"/>
    <x v="2"/>
  </r>
  <r>
    <n v="1664"/>
    <x v="289"/>
    <d v="1899-12-30T16:44:00"/>
    <x v="123"/>
    <x v="1"/>
    <n v="44"/>
    <x v="0"/>
    <n v="4"/>
    <n v="500"/>
    <n v="245"/>
    <n v="2000"/>
    <n v="1755"/>
    <n v="0.87749999999999995"/>
    <x v="0"/>
  </r>
  <r>
    <n v="1989"/>
    <x v="646"/>
    <d v="1899-12-30T16:21:00"/>
    <x v="136"/>
    <x v="1"/>
    <n v="44"/>
    <x v="2"/>
    <n v="1"/>
    <n v="25"/>
    <n v="13.25"/>
    <n v="25"/>
    <n v="11.75"/>
    <n v="0.47"/>
    <x v="0"/>
  </r>
  <r>
    <n v="233"/>
    <x v="137"/>
    <d v="1899-12-30T13:09:00"/>
    <x v="81"/>
    <x v="1"/>
    <n v="51"/>
    <x v="1"/>
    <n v="2"/>
    <n v="300"/>
    <n v="132"/>
    <n v="600"/>
    <n v="468"/>
    <n v="0.78"/>
    <x v="1"/>
  </r>
  <r>
    <n v="520"/>
    <x v="515"/>
    <d v="1899-12-30T12:42:00"/>
    <x v="154"/>
    <x v="1"/>
    <n v="49"/>
    <x v="2"/>
    <n v="4"/>
    <n v="25"/>
    <n v="13"/>
    <n v="100"/>
    <n v="87"/>
    <n v="0.87"/>
    <x v="1"/>
  </r>
  <r>
    <n v="805"/>
    <x v="137"/>
    <d v="1899-12-30T13:55:00"/>
    <x v="12"/>
    <x v="1"/>
    <n v="30"/>
    <x v="1"/>
    <n v="3"/>
    <n v="500"/>
    <n v="155"/>
    <n v="1500"/>
    <n v="1345"/>
    <n v="0.89666666666666661"/>
    <x v="4"/>
  </r>
  <r>
    <n v="908"/>
    <x v="77"/>
    <d v="1899-12-30T14:47:00"/>
    <x v="141"/>
    <x v="0"/>
    <n v="46"/>
    <x v="1"/>
    <n v="4"/>
    <n v="300"/>
    <n v="81"/>
    <n v="1200"/>
    <n v="1119"/>
    <n v="0.9325"/>
    <x v="1"/>
  </r>
  <r>
    <n v="1233"/>
    <x v="319"/>
    <d v="1899-12-30T16:20:00"/>
    <x v="154"/>
    <x v="1"/>
    <n v="51"/>
    <x v="1"/>
    <n v="2"/>
    <n v="300"/>
    <n v="117"/>
    <n v="600"/>
    <n v="483"/>
    <n v="0.80500000000000005"/>
    <x v="1"/>
  </r>
  <r>
    <n v="1520"/>
    <x v="534"/>
    <d v="1899-12-30T15:28:00"/>
    <x v="42"/>
    <x v="1"/>
    <n v="49"/>
    <x v="2"/>
    <n v="4"/>
    <n v="25"/>
    <n v="10.5"/>
    <n v="100"/>
    <n v="89.5"/>
    <n v="0.89500000000000002"/>
    <x v="1"/>
  </r>
  <r>
    <n v="1805"/>
    <x v="641"/>
    <d v="1899-12-30T13:35:00"/>
    <x v="154"/>
    <x v="1"/>
    <n v="30"/>
    <x v="1"/>
    <n v="3"/>
    <n v="500"/>
    <n v="225"/>
    <n v="1500"/>
    <n v="1275"/>
    <n v="0.85"/>
    <x v="4"/>
  </r>
  <r>
    <n v="1908"/>
    <x v="596"/>
    <d v="1899-12-30T12:34:00"/>
    <x v="108"/>
    <x v="0"/>
    <n v="46"/>
    <x v="1"/>
    <n v="4"/>
    <n v="300"/>
    <n v="87"/>
    <n v="1200"/>
    <n v="1113"/>
    <n v="0.92749999999999999"/>
    <x v="1"/>
  </r>
  <r>
    <n v="857"/>
    <x v="493"/>
    <d v="1899-12-30T12:09:00"/>
    <x v="48"/>
    <x v="0"/>
    <n v="60"/>
    <x v="2"/>
    <n v="2"/>
    <n v="25"/>
    <n v="12"/>
    <n v="50"/>
    <n v="38"/>
    <n v="0.76"/>
    <x v="2"/>
  </r>
  <r>
    <n v="1857"/>
    <x v="119"/>
    <d v="1899-12-30T12:15:00"/>
    <x v="136"/>
    <x v="0"/>
    <n v="60"/>
    <x v="2"/>
    <n v="2"/>
    <n v="25"/>
    <n v="7.5"/>
    <n v="50"/>
    <n v="42.5"/>
    <n v="0.85"/>
    <x v="2"/>
  </r>
  <r>
    <n v="211"/>
    <x v="189"/>
    <d v="1899-12-30T14:02:00"/>
    <x v="7"/>
    <x v="0"/>
    <n v="42"/>
    <x v="1"/>
    <n v="3"/>
    <n v="500"/>
    <n v="235"/>
    <n v="1500"/>
    <n v="1265"/>
    <n v="0.84333333333333338"/>
    <x v="0"/>
  </r>
  <r>
    <n v="650"/>
    <x v="517"/>
    <d v="1899-12-30T12:41:00"/>
    <x v="20"/>
    <x v="0"/>
    <n v="55"/>
    <x v="2"/>
    <n v="1"/>
    <n v="30"/>
    <n v="15"/>
    <n v="30"/>
    <n v="15"/>
    <n v="0.5"/>
    <x v="1"/>
  </r>
  <r>
    <n v="1211"/>
    <x v="315"/>
    <d v="1899-12-30T14:59:00"/>
    <x v="18"/>
    <x v="0"/>
    <n v="42"/>
    <x v="1"/>
    <n v="3"/>
    <n v="500"/>
    <n v="235"/>
    <n v="1500"/>
    <n v="1265"/>
    <n v="0.84333333333333338"/>
    <x v="0"/>
  </r>
  <r>
    <n v="1650"/>
    <x v="44"/>
    <d v="1899-12-30T16:24:00"/>
    <x v="27"/>
    <x v="0"/>
    <n v="55"/>
    <x v="2"/>
    <n v="1"/>
    <n v="30"/>
    <n v="10.8"/>
    <n v="30"/>
    <n v="19.2"/>
    <n v="0.6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4C1D8-7C24-4353-AD5C-3FBE61CD5230}"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I7:J22" firstHeaderRow="1"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axis="axisRow"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axis="axisRow" showAll="0">
      <items count="7">
        <item x="3"/>
        <item x="4"/>
        <item x="0"/>
        <item x="1"/>
        <item x="2"/>
        <item x="5"/>
        <item t="default"/>
      </items>
    </pivotField>
    <pivotField showAll="0" defaultSubtotal="0"/>
    <pivotField showAll="0" defaultSubtotal="0">
      <items count="5">
        <item x="0"/>
        <item x="1"/>
        <item x="2"/>
        <item x="3"/>
        <item x="4"/>
      </items>
    </pivotField>
  </pivotFields>
  <rowFields count="2">
    <field x="4"/>
    <field x="13"/>
  </rowFields>
  <rowItems count="15">
    <i>
      <x/>
    </i>
    <i r="1">
      <x/>
    </i>
    <i r="1">
      <x v="1"/>
    </i>
    <i r="1">
      <x v="2"/>
    </i>
    <i r="1">
      <x v="3"/>
    </i>
    <i r="1">
      <x v="4"/>
    </i>
    <i r="1">
      <x v="5"/>
    </i>
    <i>
      <x v="1"/>
    </i>
    <i r="1">
      <x/>
    </i>
    <i r="1">
      <x v="1"/>
    </i>
    <i r="1">
      <x v="2"/>
    </i>
    <i r="1">
      <x v="3"/>
    </i>
    <i r="1">
      <x v="4"/>
    </i>
    <i r="1">
      <x v="5"/>
    </i>
    <i t="grand">
      <x/>
    </i>
  </rowItems>
  <colItems count="1">
    <i/>
  </colItems>
  <dataFields count="1">
    <dataField name="Sum of total_sale" fld="10"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136FA-DB03-4347-B906-4DAC272919EE}" name="Monthly sales and profit tren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22:C49" firstHeaderRow="0"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dataField="1" showAll="0"/>
    <pivotField showAll="0"/>
    <pivotField showAll="0">
      <items count="7">
        <item x="3"/>
        <item x="4"/>
        <item x="0"/>
        <item x="1"/>
        <item x="2"/>
        <item x="5"/>
        <item t="default"/>
      </items>
    </pivotField>
    <pivotField axis="axisRow" showAll="0" sortType="ascending">
      <items count="15">
        <item x="1"/>
        <item x="2"/>
        <item x="3"/>
        <item x="4"/>
        <item x="5"/>
        <item x="6"/>
        <item x="7"/>
        <item x="8"/>
        <item x="9"/>
        <item x="10"/>
        <item x="11"/>
        <item x="12"/>
        <item x="0"/>
        <item x="13"/>
        <item t="default"/>
      </items>
    </pivotField>
    <pivotField axis="axisRow" showAll="0">
      <items count="6">
        <item x="0"/>
        <item x="1"/>
        <item x="2"/>
        <item x="3"/>
        <item x="4"/>
        <item t="default"/>
      </items>
    </pivotField>
  </pivotFields>
  <rowFields count="2">
    <field x="15"/>
    <field x="14"/>
  </rowFields>
  <rowItems count="27">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total_sale" fld="10" baseField="0" baseItem="0"/>
    <dataField name="Sum of Profit" fld="11"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5B8E83-4ACE-454D-9F03-7FDEA9FB26B3}"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B9" firstHeaderRow="1" firstDataRow="1" firstDataCol="1"/>
  <pivotFields count="16">
    <pivotField dataField="1"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3">
    <i>
      <x/>
    </i>
    <i i="1">
      <x v="1"/>
    </i>
    <i i="2">
      <x v="2"/>
    </i>
  </rowItems>
  <colItems count="1">
    <i/>
  </colItems>
  <dataFields count="3">
    <dataField name="Sum of total_sale" fld="10" baseField="0" baseItem="0"/>
    <dataField name="Sum of Profit" fld="11" baseField="0" baseItem="0"/>
    <dataField name="Count of transactions_id" fld="0" subtotal="count" baseField="0" baseItem="1"/>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F6967-5C25-4813-9C48-58CA0B57263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M15:N24" firstHeaderRow="1" firstDataRow="1" firstDataCol="1"/>
  <pivotFields count="16">
    <pivotField dataField="1"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axis="axisRow" showAll="0">
      <items count="3">
        <item x="1"/>
        <item sd="0" x="0"/>
        <item t="default"/>
      </items>
    </pivotField>
    <pivotField showAll="0"/>
    <pivotField showAll="0">
      <items count="4">
        <item x="1"/>
        <item x="0"/>
        <item x="2"/>
        <item t="default"/>
      </items>
    </pivotField>
    <pivotField showAll="0"/>
    <pivotField showAll="0"/>
    <pivotField showAll="0"/>
    <pivotField showAll="0"/>
    <pivotField showAll="0"/>
    <pivotField showAll="0"/>
    <pivotField axis="axisRow" showAll="0">
      <items count="7">
        <item x="3"/>
        <item x="4"/>
        <item x="0"/>
        <item x="1"/>
        <item x="2"/>
        <item x="5"/>
        <item t="default"/>
      </items>
    </pivotField>
    <pivotField showAll="0" defaultSubtotal="0"/>
    <pivotField showAll="0" defaultSubtotal="0">
      <items count="5">
        <item x="0"/>
        <item x="1"/>
        <item x="2"/>
        <item x="3"/>
        <item x="4"/>
      </items>
    </pivotField>
  </pivotFields>
  <rowFields count="2">
    <field x="4"/>
    <field x="13"/>
  </rowFields>
  <rowItems count="9">
    <i>
      <x/>
    </i>
    <i r="1">
      <x/>
    </i>
    <i r="1">
      <x v="1"/>
    </i>
    <i r="1">
      <x v="2"/>
    </i>
    <i r="1">
      <x v="3"/>
    </i>
    <i r="1">
      <x v="4"/>
    </i>
    <i r="1">
      <x v="5"/>
    </i>
    <i>
      <x v="1"/>
    </i>
    <i t="grand">
      <x/>
    </i>
  </rowItems>
  <colItems count="1">
    <i/>
  </colItems>
  <dataFields count="1">
    <dataField name="Count of transactions_id" fld="0" subtotal="count" baseField="4"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BE33C3-F8E3-4408-9ACC-F31900CAE3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7:L41" firstHeaderRow="0"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axis="axisRow" showAll="0">
      <items count="4">
        <item x="1"/>
        <item x="0"/>
        <item x="2"/>
        <item t="default"/>
      </items>
    </pivotField>
    <pivotField showAll="0"/>
    <pivotField showAll="0"/>
    <pivotField showAll="0"/>
    <pivotField dataField="1" showAll="0"/>
    <pivotField dataField="1" showAll="0"/>
    <pivotField showAll="0"/>
    <pivotField showAll="0"/>
    <pivotField showAll="0" defaultSubtotal="0"/>
    <pivotField showAll="0" defaultSubtotal="0">
      <items count="5">
        <item x="0"/>
        <item x="1"/>
        <item x="2"/>
        <item x="3"/>
        <item x="4"/>
      </items>
    </pivotField>
  </pivotFields>
  <rowFields count="1">
    <field x="6"/>
  </rowFields>
  <rowItems count="4">
    <i>
      <x/>
    </i>
    <i>
      <x v="1"/>
    </i>
    <i>
      <x v="2"/>
    </i>
    <i t="grand">
      <x/>
    </i>
  </rowItems>
  <colFields count="1">
    <field x="-2"/>
  </colFields>
  <colItems count="2">
    <i>
      <x/>
    </i>
    <i i="1">
      <x v="1"/>
    </i>
  </colItems>
  <dataFields count="2">
    <dataField name="Sum of total_sale" fld="10" baseField="0" baseItem="0"/>
    <dataField name="Sum of Profit" fld="1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22A7AF-0F6B-4C82-8BDE-ED5EBB8B10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9:T185" firstHeaderRow="0"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axis="axisRow" showAll="0" sortType="descending">
      <items count="156">
        <item x="15"/>
        <item x="95"/>
        <item x="151"/>
        <item x="32"/>
        <item x="13"/>
        <item x="139"/>
        <item x="74"/>
        <item x="101"/>
        <item x="83"/>
        <item x="122"/>
        <item x="145"/>
        <item x="136"/>
        <item x="125"/>
        <item x="140"/>
        <item x="91"/>
        <item x="116"/>
        <item x="130"/>
        <item x="43"/>
        <item x="37"/>
        <item x="31"/>
        <item x="0"/>
        <item x="88"/>
        <item x="96"/>
        <item x="19"/>
        <item x="10"/>
        <item x="100"/>
        <item x="80"/>
        <item x="21"/>
        <item x="127"/>
        <item x="99"/>
        <item x="149"/>
        <item x="102"/>
        <item x="39"/>
        <item x="64"/>
        <item x="94"/>
        <item x="25"/>
        <item x="135"/>
        <item x="68"/>
        <item x="138"/>
        <item x="110"/>
        <item x="45"/>
        <item x="87"/>
        <item x="14"/>
        <item x="77"/>
        <item x="78"/>
        <item x="134"/>
        <item x="142"/>
        <item x="128"/>
        <item x="113"/>
        <item x="76"/>
        <item x="6"/>
        <item x="35"/>
        <item x="82"/>
        <item x="33"/>
        <item x="121"/>
        <item x="54"/>
        <item x="34"/>
        <item x="16"/>
        <item x="106"/>
        <item x="53"/>
        <item x="129"/>
        <item x="153"/>
        <item x="107"/>
        <item x="24"/>
        <item x="23"/>
        <item x="72"/>
        <item x="143"/>
        <item x="98"/>
        <item x="61"/>
        <item x="103"/>
        <item x="47"/>
        <item x="40"/>
        <item x="44"/>
        <item x="28"/>
        <item x="86"/>
        <item x="84"/>
        <item x="75"/>
        <item x="65"/>
        <item x="55"/>
        <item x="126"/>
        <item x="73"/>
        <item x="120"/>
        <item x="60"/>
        <item x="144"/>
        <item x="137"/>
        <item x="115"/>
        <item x="70"/>
        <item x="114"/>
        <item x="49"/>
        <item x="133"/>
        <item x="89"/>
        <item x="51"/>
        <item x="97"/>
        <item x="105"/>
        <item x="50"/>
        <item x="117"/>
        <item x="92"/>
        <item x="58"/>
        <item x="4"/>
        <item x="5"/>
        <item x="2"/>
        <item x="17"/>
        <item x="71"/>
        <item x="1"/>
        <item x="132"/>
        <item x="7"/>
        <item x="57"/>
        <item x="93"/>
        <item x="38"/>
        <item x="11"/>
        <item x="12"/>
        <item x="9"/>
        <item x="111"/>
        <item x="63"/>
        <item x="48"/>
        <item x="112"/>
        <item x="141"/>
        <item x="62"/>
        <item x="8"/>
        <item x="26"/>
        <item x="22"/>
        <item x="69"/>
        <item x="79"/>
        <item x="118"/>
        <item x="41"/>
        <item x="36"/>
        <item x="152"/>
        <item x="119"/>
        <item x="56"/>
        <item x="104"/>
        <item x="29"/>
        <item x="66"/>
        <item x="154"/>
        <item x="59"/>
        <item x="46"/>
        <item x="81"/>
        <item x="18"/>
        <item x="148"/>
        <item x="150"/>
        <item x="3"/>
        <item x="67"/>
        <item x="90"/>
        <item x="42"/>
        <item x="27"/>
        <item x="124"/>
        <item x="52"/>
        <item x="147"/>
        <item x="146"/>
        <item x="108"/>
        <item x="30"/>
        <item x="109"/>
        <item x="131"/>
        <item x="85"/>
        <item x="20"/>
        <item x="123"/>
        <item t="default"/>
      </items>
      <autoSortScope>
        <pivotArea dataOnly="0" outline="0" fieldPosition="0">
          <references count="1">
            <reference field="4294967294" count="1" selected="0">
              <x v="1"/>
            </reference>
          </references>
        </pivotArea>
      </autoSortScope>
    </pivotField>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dataField="1" showAll="0"/>
    <pivotField showAll="0"/>
    <pivotField showAll="0"/>
    <pivotField showAll="0" defaultSubtotal="0"/>
    <pivotField showAll="0" defaultSubtotal="0">
      <items count="5">
        <item x="0"/>
        <item x="1"/>
        <item x="2"/>
        <item x="3"/>
        <item x="4"/>
      </items>
    </pivotField>
  </pivotFields>
  <rowFields count="1">
    <field x="3"/>
  </rowFields>
  <rowItems count="156">
    <i>
      <x v="78"/>
    </i>
    <i>
      <x/>
    </i>
    <i>
      <x v="100"/>
    </i>
    <i>
      <x v="67"/>
    </i>
    <i>
      <x v="89"/>
    </i>
    <i>
      <x v="141"/>
    </i>
    <i>
      <x v="105"/>
    </i>
    <i>
      <x v="124"/>
    </i>
    <i>
      <x v="106"/>
    </i>
    <i>
      <x v="138"/>
    </i>
    <i>
      <x v="129"/>
    </i>
    <i>
      <x v="14"/>
    </i>
    <i>
      <x v="113"/>
    </i>
    <i>
      <x v="119"/>
    </i>
    <i>
      <x v="146"/>
    </i>
    <i>
      <x v="103"/>
    </i>
    <i>
      <x v="136"/>
    </i>
    <i>
      <x v="128"/>
    </i>
    <i>
      <x v="114"/>
    </i>
    <i>
      <x v="117"/>
    </i>
    <i>
      <x v="145"/>
    </i>
    <i>
      <x v="154"/>
    </i>
    <i>
      <x v="16"/>
    </i>
    <i>
      <x v="77"/>
    </i>
    <i>
      <x v="140"/>
    </i>
    <i>
      <x v="137"/>
    </i>
    <i>
      <x v="13"/>
    </i>
    <i>
      <x v="15"/>
    </i>
    <i>
      <x v="134"/>
    </i>
    <i>
      <x v="107"/>
    </i>
    <i>
      <x v="120"/>
    </i>
    <i>
      <x v="11"/>
    </i>
    <i>
      <x v="153"/>
    </i>
    <i>
      <x v="35"/>
    </i>
    <i>
      <x v="139"/>
    </i>
    <i>
      <x v="81"/>
    </i>
    <i>
      <x v="7"/>
    </i>
    <i>
      <x v="115"/>
    </i>
    <i>
      <x v="135"/>
    </i>
    <i>
      <x v="86"/>
    </i>
    <i>
      <x v="79"/>
    </i>
    <i>
      <x v="6"/>
    </i>
    <i>
      <x v="149"/>
    </i>
    <i>
      <x v="10"/>
    </i>
    <i>
      <x v="112"/>
    </i>
    <i>
      <x v="8"/>
    </i>
    <i>
      <x v="125"/>
    </i>
    <i>
      <x v="3"/>
    </i>
    <i>
      <x v="118"/>
    </i>
    <i>
      <x v="132"/>
    </i>
    <i>
      <x v="101"/>
    </i>
    <i>
      <x v="116"/>
    </i>
    <i>
      <x v="48"/>
    </i>
    <i>
      <x v="110"/>
    </i>
    <i>
      <x v="123"/>
    </i>
    <i>
      <x v="148"/>
    </i>
    <i>
      <x v="19"/>
    </i>
    <i>
      <x v="12"/>
    </i>
    <i>
      <x v="108"/>
    </i>
    <i>
      <x v="17"/>
    </i>
    <i>
      <x v="98"/>
    </i>
    <i>
      <x v="63"/>
    </i>
    <i>
      <x v="43"/>
    </i>
    <i>
      <x v="51"/>
    </i>
    <i>
      <x v="126"/>
    </i>
    <i>
      <x v="130"/>
    </i>
    <i>
      <x v="18"/>
    </i>
    <i>
      <x v="22"/>
    </i>
    <i>
      <x v="76"/>
    </i>
    <i>
      <x v="147"/>
    </i>
    <i>
      <x v="42"/>
    </i>
    <i>
      <x v="46"/>
    </i>
    <i>
      <x v="9"/>
    </i>
    <i>
      <x v="39"/>
    </i>
    <i>
      <x v="54"/>
    </i>
    <i>
      <x v="36"/>
    </i>
    <i>
      <x v="50"/>
    </i>
    <i>
      <x v="143"/>
    </i>
    <i>
      <x v="91"/>
    </i>
    <i>
      <x v="150"/>
    </i>
    <i>
      <x v="20"/>
    </i>
    <i>
      <x v="151"/>
    </i>
    <i>
      <x v="65"/>
    </i>
    <i>
      <x v="96"/>
    </i>
    <i>
      <x v="4"/>
    </i>
    <i>
      <x v="83"/>
    </i>
    <i>
      <x v="104"/>
    </i>
    <i>
      <x v="69"/>
    </i>
    <i>
      <x v="127"/>
    </i>
    <i>
      <x v="70"/>
    </i>
    <i>
      <x v="47"/>
    </i>
    <i>
      <x v="45"/>
    </i>
    <i>
      <x v="92"/>
    </i>
    <i>
      <x v="152"/>
    </i>
    <i>
      <x v="99"/>
    </i>
    <i>
      <x v="72"/>
    </i>
    <i>
      <x v="2"/>
    </i>
    <i>
      <x v="68"/>
    </i>
    <i>
      <x v="34"/>
    </i>
    <i>
      <x v="95"/>
    </i>
    <i>
      <x v="40"/>
    </i>
    <i>
      <x v="102"/>
    </i>
    <i>
      <x v="85"/>
    </i>
    <i>
      <x v="24"/>
    </i>
    <i>
      <x v="26"/>
    </i>
    <i>
      <x v="58"/>
    </i>
    <i>
      <x v="144"/>
    </i>
    <i>
      <x v="142"/>
    </i>
    <i>
      <x v="66"/>
    </i>
    <i>
      <x v="109"/>
    </i>
    <i>
      <x v="56"/>
    </i>
    <i>
      <x v="97"/>
    </i>
    <i>
      <x v="75"/>
    </i>
    <i>
      <x v="44"/>
    </i>
    <i>
      <x v="87"/>
    </i>
    <i>
      <x v="38"/>
    </i>
    <i>
      <x v="41"/>
    </i>
    <i>
      <x v="25"/>
    </i>
    <i>
      <x v="1"/>
    </i>
    <i>
      <x v="31"/>
    </i>
    <i>
      <x v="30"/>
    </i>
    <i>
      <x v="5"/>
    </i>
    <i>
      <x v="90"/>
    </i>
    <i>
      <x v="53"/>
    </i>
    <i>
      <x v="52"/>
    </i>
    <i>
      <x v="74"/>
    </i>
    <i>
      <x v="133"/>
    </i>
    <i>
      <x v="93"/>
    </i>
    <i>
      <x v="88"/>
    </i>
    <i>
      <x v="84"/>
    </i>
    <i>
      <x v="60"/>
    </i>
    <i>
      <x v="37"/>
    </i>
    <i>
      <x v="94"/>
    </i>
    <i>
      <x v="73"/>
    </i>
    <i>
      <x v="29"/>
    </i>
    <i>
      <x v="121"/>
    </i>
    <i>
      <x v="82"/>
    </i>
    <i>
      <x v="33"/>
    </i>
    <i>
      <x v="62"/>
    </i>
    <i>
      <x v="28"/>
    </i>
    <i>
      <x v="131"/>
    </i>
    <i>
      <x v="122"/>
    </i>
    <i>
      <x v="23"/>
    </i>
    <i>
      <x v="111"/>
    </i>
    <i>
      <x v="59"/>
    </i>
    <i>
      <x v="61"/>
    </i>
    <i>
      <x v="49"/>
    </i>
    <i>
      <x v="64"/>
    </i>
    <i>
      <x v="55"/>
    </i>
    <i>
      <x v="32"/>
    </i>
    <i>
      <x v="71"/>
    </i>
    <i>
      <x v="80"/>
    </i>
    <i>
      <x v="21"/>
    </i>
    <i>
      <x v="57"/>
    </i>
    <i>
      <x v="27"/>
    </i>
    <i t="grand">
      <x/>
    </i>
  </rowItems>
  <colFields count="1">
    <field x="-2"/>
  </colFields>
  <colItems count="2">
    <i>
      <x/>
    </i>
    <i i="1">
      <x v="1"/>
    </i>
  </colItems>
  <dataFields count="2">
    <dataField name="Sum of total_sale" fld="10"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82A1A3-B56D-486A-BD3E-7E1A787769C9}" name="sales and profit performanc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8:D62" firstHeaderRow="0"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axis="axisRow" showAll="0" sortType="ascending">
      <items count="4">
        <item x="1"/>
        <item x="0"/>
        <item x="2"/>
        <item t="default"/>
      </items>
      <autoSortScope>
        <pivotArea dataOnly="0" outline="0" fieldPosition="0">
          <references count="1">
            <reference field="4294967294" count="1" selected="0">
              <x v="2"/>
            </reference>
          </references>
        </pivotArea>
      </autoSortScope>
    </pivotField>
    <pivotField dataField="1" showAll="0"/>
    <pivotField showAll="0"/>
    <pivotField showAll="0"/>
    <pivotField dataField="1" showAll="0"/>
    <pivotField dataField="1" showAll="0"/>
    <pivotField showAll="0"/>
    <pivotField showAll="0"/>
    <pivotField showAll="0" defaultSubtotal="0"/>
    <pivotField showAll="0" defaultSubtotal="0">
      <items count="5">
        <item x="0"/>
        <item x="1"/>
        <item x="2"/>
        <item x="3"/>
        <item x="4"/>
      </items>
    </pivotField>
  </pivotFields>
  <rowFields count="1">
    <field x="6"/>
  </rowFields>
  <rowItems count="4">
    <i>
      <x/>
    </i>
    <i>
      <x v="2"/>
    </i>
    <i>
      <x v="1"/>
    </i>
    <i t="grand">
      <x/>
    </i>
  </rowItems>
  <colFields count="1">
    <field x="-2"/>
  </colFields>
  <colItems count="3">
    <i>
      <x/>
    </i>
    <i i="1">
      <x v="1"/>
    </i>
    <i i="2">
      <x v="2"/>
    </i>
  </colItems>
  <dataFields count="3">
    <dataField name="Sum of total_sale" fld="10" baseField="0" baseItem="0"/>
    <dataField name="Sum of quantiy" fld="7" baseField="0" baseItem="0"/>
    <dataField name="Sum of Profit" fld="11" baseField="0" baseItem="0"/>
  </dataFields>
  <chartFormats count="3">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355FF5-7ECC-4F6A-9658-98FC3A38E1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W34:X37" firstHeaderRow="1"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axis="axisRow"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showAll="0"/>
    <pivotField showAll="0" defaultSubtotal="0"/>
    <pivotField showAll="0" defaultSubtotal="0">
      <items count="5">
        <item x="0"/>
        <item x="1"/>
        <item x="2"/>
        <item x="3"/>
        <item x="4"/>
      </items>
    </pivotField>
  </pivotFields>
  <rowFields count="1">
    <field x="4"/>
  </rowFields>
  <rowItems count="3">
    <i>
      <x/>
    </i>
    <i>
      <x v="1"/>
    </i>
    <i t="grand">
      <x/>
    </i>
  </rowItems>
  <colItems count="1">
    <i/>
  </colItems>
  <dataFields count="1">
    <dataField name="Sum of total_sal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EA53A5-0532-4B09-8A9B-33F0540E94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W19:W20" firstHeaderRow="1" firstDataRow="1" firstDataCol="0"/>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5">
        <item x="0"/>
        <item x="1"/>
        <item x="2"/>
        <item x="3"/>
        <item x="4"/>
      </items>
    </pivotField>
  </pivotFields>
  <rowItems count="1">
    <i/>
  </rowItems>
  <colItems count="1">
    <i/>
  </colItems>
  <dataFields count="1">
    <dataField name="Average of total_sale" fld="1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BE2273-A5DF-4D86-A628-38FB6CEC14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U4" firstHeaderRow="0" firstDataRow="1" firstDataCol="0"/>
  <pivotFields count="16">
    <pivotField dataField="1"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showAll="0">
      <items count="4">
        <item x="1"/>
        <item x="0"/>
        <item x="2"/>
        <item t="default"/>
      </items>
    </pivotField>
    <pivotField dataField="1" showAll="0"/>
    <pivotField showAll="0"/>
    <pivotField showAll="0"/>
    <pivotField dataField="1" showAll="0"/>
    <pivotField dataField="1" showAll="0"/>
    <pivotField showAll="0"/>
    <pivotField showAll="0"/>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Count of transactions_id" fld="0" subtotal="count" baseField="0" baseItem="0"/>
    <dataField name="Sum of quantiy" fld="7" baseField="0" baseItem="1" numFmtId="3"/>
    <dataField name="Sum of Profit" fld="11" baseField="0" baseItem="0"/>
    <dataField name="Sum of total_sale" fld="10" baseField="0" baseItem="0"/>
  </dataFields>
  <formats count="2">
    <format dxfId="13">
      <pivotArea outline="0" collapsedLevelsAreSubtotals="1" fieldPosition="0">
        <references count="1">
          <reference field="4294967294" count="1" selected="0">
            <x v="1"/>
          </reference>
        </references>
      </pivotArea>
    </format>
    <format dxfId="1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53F318-B189-4240-89DB-45D6C9F618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W9:Y16" firstHeaderRow="0" firstDataRow="1" firstDataCol="1"/>
  <pivotFields count="16">
    <pivotField dataField="1"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axis="axisRow" showAll="0">
      <items count="7">
        <item x="3"/>
        <item x="4"/>
        <item x="0"/>
        <item x="1"/>
        <item x="2"/>
        <item x="5"/>
        <item t="default"/>
      </items>
    </pivotField>
    <pivotField showAll="0" defaultSubtotal="0"/>
    <pivotField showAll="0" defaultSubtotal="0">
      <items count="5">
        <item x="0"/>
        <item x="1"/>
        <item x="2"/>
        <item x="3"/>
        <item x="4"/>
      </items>
    </pivotField>
  </pivotFields>
  <rowFields count="1">
    <field x="13"/>
  </rowFields>
  <rowItems count="7">
    <i>
      <x/>
    </i>
    <i>
      <x v="1"/>
    </i>
    <i>
      <x v="2"/>
    </i>
    <i>
      <x v="3"/>
    </i>
    <i>
      <x v="4"/>
    </i>
    <i>
      <x v="5"/>
    </i>
    <i t="grand">
      <x/>
    </i>
  </rowItems>
  <colFields count="1">
    <field x="-2"/>
  </colFields>
  <colItems count="2">
    <i>
      <x/>
    </i>
    <i i="1">
      <x v="1"/>
    </i>
  </colItems>
  <dataFields count="2">
    <dataField name="Sum of total_sale" fld="10" baseField="0" baseItem="0"/>
    <dataField name="Count of transactions_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A37847-2353-4BC6-9653-0949D76B87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40:U44" firstHeaderRow="0"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axis="axisRow" showAll="0">
      <items count="4">
        <item x="1"/>
        <item x="0"/>
        <item x="2"/>
        <item t="default"/>
      </items>
    </pivotField>
    <pivotField dataField="1" showAll="0"/>
    <pivotField showAll="0"/>
    <pivotField showAll="0"/>
    <pivotField dataField="1" showAll="0"/>
    <pivotField dataField="1" showAll="0"/>
    <pivotField showAll="0"/>
    <pivotField showAll="0"/>
    <pivotField showAll="0" defaultSubtotal="0"/>
    <pivotField showAll="0" defaultSubtotal="0">
      <items count="5">
        <item x="0"/>
        <item x="1"/>
        <item x="2"/>
        <item x="3"/>
        <item x="4"/>
      </items>
    </pivotField>
  </pivotFields>
  <rowFields count="1">
    <field x="6"/>
  </rowFields>
  <rowItems count="4">
    <i>
      <x/>
    </i>
    <i>
      <x v="1"/>
    </i>
    <i>
      <x v="2"/>
    </i>
    <i t="grand">
      <x/>
    </i>
  </rowItems>
  <colFields count="1">
    <field x="-2"/>
  </colFields>
  <colItems count="3">
    <i>
      <x/>
    </i>
    <i i="1">
      <x v="1"/>
    </i>
    <i i="2">
      <x v="2"/>
    </i>
  </colItems>
  <dataFields count="3">
    <dataField name="Sum of total_sale" fld="10" baseField="0" baseItem="0"/>
    <dataField name="Sum of quantiy" fld="7" baseField="0" baseItem="0"/>
    <dataField name="Sum of Profit" fld="11"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2"/>
          </reference>
        </references>
      </pivotArea>
    </chartFormat>
    <chartFormat chart="1"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758654-80AF-4AA0-B5AE-3B73448FF2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9:T36" firstHeaderRow="0"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5">
        <item sd="0" x="0"/>
        <item x="1"/>
        <item x="2"/>
        <item sd="0" x="3"/>
        <item sd="0" x="4"/>
      </items>
    </pivotField>
  </pivotFields>
  <rowFields count="2">
    <field x="15"/>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total_sale" fld="10" baseField="0" baseItem="0"/>
    <dataField name="Sum of Profit" fld="11"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B7CDE0-9A7F-4EB9-8B9C-697CB58F59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4" firstHeaderRow="0" firstDataRow="1" firstDataCol="0"/>
  <pivotFields count="16">
    <pivotField dataField="1"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showAl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Count of transactions_id" fld="0" subtotal="count" baseField="0" baseItem="1"/>
    <dataField name="Average of total_sale" fld="1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D3E1437-D9AC-4B49-B930-9993997B960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W22:X29" firstHeaderRow="1"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pivotField showAll="0"/>
    <pivotField showAll="0"/>
    <pivotField showAll="0"/>
    <pivotField showAll="0"/>
    <pivotField showAll="0"/>
    <pivotField dataField="1" showAll="0"/>
    <pivotField showAll="0"/>
    <pivotField showAll="0"/>
    <pivotField axis="axisRow" showAll="0">
      <items count="7">
        <item x="3"/>
        <item x="4"/>
        <item x="0"/>
        <item x="1"/>
        <item x="2"/>
        <item x="5"/>
        <item t="default"/>
      </items>
    </pivotField>
    <pivotField showAll="0" defaultSubtotal="0"/>
    <pivotField showAll="0" defaultSubtotal="0">
      <items count="5">
        <item x="0"/>
        <item x="1"/>
        <item x="2"/>
        <item x="3"/>
        <item x="4"/>
      </items>
    </pivotField>
  </pivotFields>
  <rowFields count="1">
    <field x="13"/>
  </rowFields>
  <rowItems count="7">
    <i>
      <x/>
    </i>
    <i>
      <x v="1"/>
    </i>
    <i>
      <x v="2"/>
    </i>
    <i>
      <x v="3"/>
    </i>
    <i>
      <x v="4"/>
    </i>
    <i>
      <x v="5"/>
    </i>
    <i t="grand">
      <x/>
    </i>
  </rowItems>
  <colItems count="1">
    <i/>
  </colItems>
  <dataFields count="1">
    <dataField name="Sum of total_sal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1C5308-C23D-4E9F-8F32-B429CBF092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W40:Y44" firstHeaderRow="0" firstDataRow="1" firstDataCol="1"/>
  <pivotFields count="16">
    <pivotField showAll="0"/>
    <pivotField numFmtId="14" showAll="0">
      <items count="648">
        <item x="115"/>
        <item x="84"/>
        <item x="553"/>
        <item x="191"/>
        <item x="99"/>
        <item x="3"/>
        <item x="73"/>
        <item x="85"/>
        <item x="174"/>
        <item x="153"/>
        <item x="124"/>
        <item x="193"/>
        <item x="117"/>
        <item x="198"/>
        <item x="12"/>
        <item x="536"/>
        <item x="213"/>
        <item x="93"/>
        <item x="513"/>
        <item x="164"/>
        <item x="563"/>
        <item x="49"/>
        <item x="108"/>
        <item x="205"/>
        <item x="19"/>
        <item x="526"/>
        <item x="577"/>
        <item x="125"/>
        <item x="127"/>
        <item x="68"/>
        <item x="506"/>
        <item x="500"/>
        <item x="33"/>
        <item x="528"/>
        <item x="173"/>
        <item x="41"/>
        <item x="40"/>
        <item x="69"/>
        <item x="211"/>
        <item x="581"/>
        <item x="522"/>
        <item x="120"/>
        <item x="538"/>
        <item x="126"/>
        <item x="197"/>
        <item x="160"/>
        <item x="554"/>
        <item x="169"/>
        <item x="42"/>
        <item x="24"/>
        <item x="196"/>
        <item x="118"/>
        <item x="43"/>
        <item x="17"/>
        <item x="186"/>
        <item x="63"/>
        <item x="22"/>
        <item x="100"/>
        <item x="39"/>
        <item x="47"/>
        <item x="573"/>
        <item x="88"/>
        <item x="569"/>
        <item x="143"/>
        <item x="11"/>
        <item x="552"/>
        <item x="48"/>
        <item x="530"/>
        <item x="533"/>
        <item x="565"/>
        <item x="21"/>
        <item x="60"/>
        <item x="162"/>
        <item x="144"/>
        <item x="154"/>
        <item x="556"/>
        <item x="18"/>
        <item x="58"/>
        <item x="36"/>
        <item x="95"/>
        <item x="53"/>
        <item x="560"/>
        <item x="8"/>
        <item x="595"/>
        <item x="158"/>
        <item x="38"/>
        <item x="26"/>
        <item x="80"/>
        <item x="23"/>
        <item x="32"/>
        <item x="498"/>
        <item x="192"/>
        <item x="82"/>
        <item x="113"/>
        <item x="163"/>
        <item x="7"/>
        <item x="200"/>
        <item x="555"/>
        <item x="545"/>
        <item x="185"/>
        <item x="584"/>
        <item x="130"/>
        <item x="92"/>
        <item x="543"/>
        <item x="10"/>
        <item x="145"/>
        <item x="207"/>
        <item x="566"/>
        <item x="66"/>
        <item x="166"/>
        <item x="606"/>
        <item x="541"/>
        <item x="157"/>
        <item x="79"/>
        <item x="105"/>
        <item x="9"/>
        <item x="215"/>
        <item x="587"/>
        <item x="139"/>
        <item x="29"/>
        <item x="89"/>
        <item x="83"/>
        <item x="602"/>
        <item x="129"/>
        <item x="564"/>
        <item x="589"/>
        <item x="527"/>
        <item x="184"/>
        <item x="176"/>
        <item x="81"/>
        <item x="55"/>
        <item x="45"/>
        <item x="46"/>
        <item x="104"/>
        <item x="199"/>
        <item x="579"/>
        <item x="221"/>
        <item x="142"/>
        <item x="542"/>
        <item x="148"/>
        <item x="103"/>
        <item x="194"/>
        <item x="170"/>
        <item x="54"/>
        <item x="209"/>
        <item x="202"/>
        <item x="61"/>
        <item x="218"/>
        <item x="114"/>
        <item x="529"/>
        <item x="182"/>
        <item x="586"/>
        <item x="531"/>
        <item x="1"/>
        <item x="188"/>
        <item x="52"/>
        <item x="206"/>
        <item x="558"/>
        <item x="180"/>
        <item x="16"/>
        <item x="78"/>
        <item x="217"/>
        <item x="507"/>
        <item x="178"/>
        <item x="187"/>
        <item x="511"/>
        <item x="146"/>
        <item x="195"/>
        <item x="57"/>
        <item x="67"/>
        <item x="111"/>
        <item x="132"/>
        <item x="91"/>
        <item x="604"/>
        <item x="62"/>
        <item x="110"/>
        <item x="159"/>
        <item x="216"/>
        <item x="74"/>
        <item x="212"/>
        <item x="128"/>
        <item x="96"/>
        <item x="155"/>
        <item x="13"/>
        <item x="208"/>
        <item x="503"/>
        <item x="5"/>
        <item x="171"/>
        <item x="28"/>
        <item x="509"/>
        <item x="90"/>
        <item x="109"/>
        <item x="551"/>
        <item x="101"/>
        <item x="532"/>
        <item x="72"/>
        <item x="616"/>
        <item x="35"/>
        <item x="137"/>
        <item x="622"/>
        <item x="156"/>
        <item x="646"/>
        <item x="138"/>
        <item x="220"/>
        <item x="219"/>
        <item x="619"/>
        <item x="167"/>
        <item x="189"/>
        <item x="177"/>
        <item x="71"/>
        <item x="97"/>
        <item x="30"/>
        <item x="70"/>
        <item x="615"/>
        <item x="112"/>
        <item x="599"/>
        <item x="133"/>
        <item x="210"/>
        <item x="44"/>
        <item x="620"/>
        <item x="190"/>
        <item x="570"/>
        <item x="588"/>
        <item x="31"/>
        <item x="51"/>
        <item x="172"/>
        <item x="165"/>
        <item x="627"/>
        <item x="56"/>
        <item x="76"/>
        <item x="626"/>
        <item x="122"/>
        <item x="628"/>
        <item x="201"/>
        <item x="214"/>
        <item x="98"/>
        <item x="181"/>
        <item x="102"/>
        <item x="94"/>
        <item x="203"/>
        <item x="633"/>
        <item x="515"/>
        <item x="640"/>
        <item x="516"/>
        <item x="106"/>
        <item x="150"/>
        <item x="149"/>
        <item x="630"/>
        <item x="624"/>
        <item x="183"/>
        <item x="598"/>
        <item x="64"/>
        <item x="27"/>
        <item x="141"/>
        <item x="77"/>
        <item x="6"/>
        <item x="134"/>
        <item x="116"/>
        <item x="544"/>
        <item x="204"/>
        <item x="0"/>
        <item x="643"/>
        <item x="175"/>
        <item x="152"/>
        <item x="119"/>
        <item x="179"/>
        <item x="494"/>
        <item x="65"/>
        <item x="50"/>
        <item x="4"/>
        <item x="86"/>
        <item x="37"/>
        <item x="520"/>
        <item x="632"/>
        <item x="519"/>
        <item x="534"/>
        <item x="34"/>
        <item x="15"/>
        <item x="625"/>
        <item x="540"/>
        <item x="613"/>
        <item x="502"/>
        <item x="578"/>
        <item x="504"/>
        <item x="59"/>
        <item x="131"/>
        <item x="609"/>
        <item x="614"/>
        <item x="495"/>
        <item x="644"/>
        <item x="514"/>
        <item x="107"/>
        <item x="121"/>
        <item x="642"/>
        <item x="135"/>
        <item x="136"/>
        <item x="2"/>
        <item x="645"/>
        <item x="576"/>
        <item x="151"/>
        <item x="147"/>
        <item x="75"/>
        <item x="14"/>
        <item x="639"/>
        <item x="610"/>
        <item x="161"/>
        <item x="546"/>
        <item x="539"/>
        <item x="631"/>
        <item x="25"/>
        <item x="87"/>
        <item x="168"/>
        <item x="618"/>
        <item x="140"/>
        <item x="20"/>
        <item x="123"/>
        <item x="224"/>
        <item x="426"/>
        <item x="525"/>
        <item x="561"/>
        <item x="521"/>
        <item x="252"/>
        <item x="394"/>
        <item x="396"/>
        <item x="309"/>
        <item x="333"/>
        <item x="481"/>
        <item x="227"/>
        <item x="341"/>
        <item x="571"/>
        <item x="550"/>
        <item x="245"/>
        <item x="419"/>
        <item x="548"/>
        <item x="248"/>
        <item x="459"/>
        <item x="257"/>
        <item x="547"/>
        <item x="305"/>
        <item x="254"/>
        <item x="505"/>
        <item x="317"/>
        <item x="312"/>
        <item x="435"/>
        <item x="458"/>
        <item x="384"/>
        <item x="443"/>
        <item x="568"/>
        <item x="399"/>
        <item x="398"/>
        <item x="585"/>
        <item x="431"/>
        <item x="403"/>
        <item x="567"/>
        <item x="316"/>
        <item x="314"/>
        <item x="243"/>
        <item x="430"/>
        <item x="406"/>
        <item x="421"/>
        <item x="230"/>
        <item x="334"/>
        <item x="318"/>
        <item x="362"/>
        <item x="432"/>
        <item x="263"/>
        <item x="460"/>
        <item x="256"/>
        <item x="261"/>
        <item x="575"/>
        <item x="411"/>
        <item x="225"/>
        <item x="282"/>
        <item x="353"/>
        <item x="358"/>
        <item x="590"/>
        <item x="464"/>
        <item x="463"/>
        <item x="488"/>
        <item x="455"/>
        <item x="311"/>
        <item x="438"/>
        <item x="465"/>
        <item x="378"/>
        <item x="273"/>
        <item x="478"/>
        <item x="388"/>
        <item x="484"/>
        <item x="583"/>
        <item x="489"/>
        <item x="361"/>
        <item x="354"/>
        <item x="351"/>
        <item x="499"/>
        <item x="404"/>
        <item x="469"/>
        <item x="462"/>
        <item x="321"/>
        <item x="387"/>
        <item x="231"/>
        <item x="600"/>
        <item x="284"/>
        <item x="363"/>
        <item x="291"/>
        <item x="367"/>
        <item x="320"/>
        <item x="559"/>
        <item x="346"/>
        <item x="476"/>
        <item x="451"/>
        <item x="329"/>
        <item x="376"/>
        <item x="281"/>
        <item x="250"/>
        <item x="382"/>
        <item x="371"/>
        <item x="296"/>
        <item x="377"/>
        <item x="490"/>
        <item x="241"/>
        <item x="242"/>
        <item x="420"/>
        <item x="389"/>
        <item x="283"/>
        <item x="445"/>
        <item x="390"/>
        <item x="433"/>
        <item x="422"/>
        <item x="401"/>
        <item x="512"/>
        <item x="352"/>
        <item x="418"/>
        <item x="601"/>
        <item x="492"/>
        <item x="471"/>
        <item x="266"/>
        <item x="607"/>
        <item x="468"/>
        <item x="397"/>
        <item x="417"/>
        <item x="523"/>
        <item x="423"/>
        <item x="437"/>
        <item x="259"/>
        <item x="268"/>
        <item x="343"/>
        <item x="414"/>
        <item x="472"/>
        <item x="391"/>
        <item x="235"/>
        <item x="302"/>
        <item x="461"/>
        <item x="424"/>
        <item x="262"/>
        <item x="474"/>
        <item x="379"/>
        <item x="228"/>
        <item x="440"/>
        <item x="369"/>
        <item x="365"/>
        <item x="456"/>
        <item x="269"/>
        <item x="286"/>
        <item x="304"/>
        <item x="473"/>
        <item x="454"/>
        <item x="275"/>
        <item x="240"/>
        <item x="271"/>
        <item x="258"/>
        <item x="444"/>
        <item x="501"/>
        <item x="592"/>
        <item x="232"/>
        <item x="335"/>
        <item x="349"/>
        <item x="409"/>
        <item x="497"/>
        <item x="381"/>
        <item x="265"/>
        <item x="510"/>
        <item x="294"/>
        <item x="295"/>
        <item x="366"/>
        <item x="605"/>
        <item x="292"/>
        <item x="237"/>
        <item x="386"/>
        <item x="287"/>
        <item x="479"/>
        <item x="356"/>
        <item x="467"/>
        <item x="342"/>
        <item x="251"/>
        <item x="307"/>
        <item x="328"/>
        <item x="298"/>
        <item x="299"/>
        <item x="452"/>
        <item x="344"/>
        <item x="238"/>
        <item x="368"/>
        <item x="597"/>
        <item x="439"/>
        <item x="405"/>
        <item x="244"/>
        <item x="446"/>
        <item x="402"/>
        <item x="572"/>
        <item x="357"/>
        <item x="524"/>
        <item x="255"/>
        <item x="427"/>
        <item x="278"/>
        <item x="332"/>
        <item x="310"/>
        <item x="413"/>
        <item x="306"/>
        <item x="325"/>
        <item x="313"/>
        <item x="480"/>
        <item x="360"/>
        <item x="322"/>
        <item x="429"/>
        <item x="279"/>
        <item x="233"/>
        <item x="634"/>
        <item x="274"/>
        <item x="457"/>
        <item x="385"/>
        <item x="277"/>
        <item x="608"/>
        <item x="392"/>
        <item x="290"/>
        <item x="428"/>
        <item x="239"/>
        <item x="535"/>
        <item x="338"/>
        <item x="308"/>
        <item x="372"/>
        <item x="249"/>
        <item x="359"/>
        <item x="339"/>
        <item x="591"/>
        <item x="447"/>
        <item x="483"/>
        <item x="557"/>
        <item x="408"/>
        <item x="301"/>
        <item x="623"/>
        <item x="436"/>
        <item x="574"/>
        <item x="348"/>
        <item x="347"/>
        <item x="448"/>
        <item x="319"/>
        <item x="582"/>
        <item x="375"/>
        <item x="637"/>
        <item x="373"/>
        <item x="340"/>
        <item x="355"/>
        <item x="517"/>
        <item x="303"/>
        <item x="641"/>
        <item x="496"/>
        <item x="466"/>
        <item x="412"/>
        <item x="441"/>
        <item x="331"/>
        <item x="285"/>
        <item x="487"/>
        <item x="400"/>
        <item x="425"/>
        <item x="611"/>
        <item x="629"/>
        <item x="246"/>
        <item x="508"/>
        <item x="635"/>
        <item x="603"/>
        <item x="222"/>
        <item x="374"/>
        <item x="594"/>
        <item x="272"/>
        <item x="229"/>
        <item x="415"/>
        <item x="380"/>
        <item x="297"/>
        <item x="636"/>
        <item x="580"/>
        <item x="327"/>
        <item x="350"/>
        <item x="293"/>
        <item x="407"/>
        <item x="364"/>
        <item x="270"/>
        <item x="537"/>
        <item x="395"/>
        <item x="300"/>
        <item x="410"/>
        <item x="223"/>
        <item x="416"/>
        <item x="323"/>
        <item x="562"/>
        <item x="236"/>
        <item x="493"/>
        <item x="549"/>
        <item x="315"/>
        <item x="621"/>
        <item x="470"/>
        <item x="477"/>
        <item x="324"/>
        <item x="370"/>
        <item x="617"/>
        <item x="345"/>
        <item x="226"/>
        <item x="247"/>
        <item x="336"/>
        <item x="383"/>
        <item x="330"/>
        <item x="491"/>
        <item x="486"/>
        <item x="260"/>
        <item x="442"/>
        <item x="475"/>
        <item x="276"/>
        <item x="337"/>
        <item x="289"/>
        <item x="288"/>
        <item x="393"/>
        <item x="638"/>
        <item x="264"/>
        <item x="596"/>
        <item x="518"/>
        <item x="449"/>
        <item x="453"/>
        <item x="450"/>
        <item x="234"/>
        <item x="593"/>
        <item x="280"/>
        <item x="434"/>
        <item x="253"/>
        <item x="482"/>
        <item x="326"/>
        <item x="612"/>
        <item x="267"/>
        <item x="485"/>
        <item t="default"/>
      </items>
    </pivotField>
    <pivotField numFmtId="164" showAll="0"/>
    <pivotField showAll="0"/>
    <pivotField showAll="0">
      <items count="3">
        <item x="1"/>
        <item x="0"/>
        <item t="default"/>
      </items>
    </pivotField>
    <pivotField showAll="0"/>
    <pivotField axis="axisRow" showAll="0">
      <items count="4">
        <item x="1"/>
        <item x="0"/>
        <item x="2"/>
        <item t="default"/>
      </items>
    </pivotField>
    <pivotField showAll="0"/>
    <pivotField showAll="0"/>
    <pivotField showAll="0"/>
    <pivotField dataField="1" showAll="0"/>
    <pivotField dataField="1" showAll="0"/>
    <pivotField showAll="0"/>
    <pivotField showAll="0"/>
    <pivotField showAll="0" defaultSubtotal="0"/>
    <pivotField showAll="0" defaultSubtotal="0">
      <items count="5">
        <item x="0"/>
        <item x="1"/>
        <item x="2"/>
        <item x="3"/>
        <item x="4"/>
      </items>
    </pivotField>
  </pivotFields>
  <rowFields count="1">
    <field x="6"/>
  </rowFields>
  <rowItems count="4">
    <i>
      <x/>
    </i>
    <i>
      <x v="1"/>
    </i>
    <i>
      <x v="2"/>
    </i>
    <i t="grand">
      <x/>
    </i>
  </rowItems>
  <colFields count="1">
    <field x="-2"/>
  </colFields>
  <colItems count="2">
    <i>
      <x/>
    </i>
    <i i="1">
      <x v="1"/>
    </i>
  </colItems>
  <dataFields count="2">
    <dataField name="Sum of total_sale" fld="10"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A44A277-48B4-4A83-B641-4BA3F64AA41C}" autoFormatId="16" applyNumberFormats="0" applyBorderFormats="0" applyFontFormats="0" applyPatternFormats="0" applyAlignmentFormats="0" applyWidthHeightFormats="0">
  <queryTableRefresh nextId="15">
    <queryTableFields count="14">
      <queryTableField id="1" name="transactions_id" tableColumnId="1"/>
      <queryTableField id="2" name="sale_date" tableColumnId="2"/>
      <queryTableField id="3" name="sale_time" tableColumnId="3"/>
      <queryTableField id="4" name="customer_id" tableColumnId="4"/>
      <queryTableField id="5" name="gender" tableColumnId="5"/>
      <queryTableField id="6" name="age" tableColumnId="6"/>
      <queryTableField id="7" name="category" tableColumnId="7"/>
      <queryTableField id="8" name="quantiy" tableColumnId="8"/>
      <queryTableField id="9" name="price_per_unit" tableColumnId="9"/>
      <queryTableField id="10" name="cogs" tableColumnId="10"/>
      <queryTableField id="11" name="total_sale" tableColumnId="11"/>
      <queryTableField id="12" name="Profit" tableColumnId="12"/>
      <queryTableField id="13" name="Profit_margin" tableColumnId="13"/>
      <queryTableField id="14" name="Age_group"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33BCD-2A8F-4A36-A89C-E08ABECBFBDA}" sourceName="gender">
  <pivotTables>
    <pivotTable tabId="9" name="PivotTable1"/>
    <pivotTable tabId="3" name="Monthly sales and profit trend"/>
    <pivotTable tabId="3" name="PivotTable1"/>
    <pivotTable tabId="3" name="PivotTable11"/>
    <pivotTable tabId="3" name="PivotTable12"/>
    <pivotTable tabId="3" name="PivotTable3"/>
    <pivotTable tabId="3" name="PivotTable4"/>
    <pivotTable tabId="3" name="sales and profit performance by category"/>
    <pivotTable tabId="9" name="PivotTable2"/>
    <pivotTable tabId="9" name="PivotTable3"/>
    <pivotTable tabId="9" name="PivotTable4"/>
    <pivotTable tabId="9" name="PivotTable5"/>
    <pivotTable tabId="9" name="PivotTable6"/>
    <pivotTable tabId="9" name="PivotTable7"/>
  </pivotTables>
  <data>
    <tabular pivotCacheId="211567981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4AFCF2-98A8-4C54-BAA1-F4728B154ED4}" sourceName="category">
  <pivotTables>
    <pivotTable tabId="9" name="PivotTable1"/>
    <pivotTable tabId="3" name="Monthly sales and profit trend"/>
    <pivotTable tabId="3" name="PivotTable1"/>
    <pivotTable tabId="3" name="PivotTable11"/>
    <pivotTable tabId="3" name="PivotTable12"/>
    <pivotTable tabId="3" name="PivotTable3"/>
    <pivotTable tabId="3" name="PivotTable4"/>
    <pivotTable tabId="3" name="sales and profit performance by category"/>
    <pivotTable tabId="9" name="PivotTable2"/>
    <pivotTable tabId="9" name="PivotTable3"/>
    <pivotTable tabId="9" name="PivotTable4"/>
    <pivotTable tabId="9" name="PivotTable5"/>
    <pivotTable tabId="9" name="PivotTable6"/>
    <pivotTable tabId="9" name="PivotTable7"/>
  </pivotTables>
  <data>
    <tabular pivotCacheId="211567981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7BFC365-9076-46C2-8CA7-7DB7B9997CFC}" cache="Slicer_gender" caption="Gender" style="SlicerStyleDark1" rowHeight="241300"/>
  <slicer name="category" xr10:uid="{3CA26DE6-BD3A-4BB9-A744-2544F4964F8B}" cache="Slicer_category" caption="Category"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2AAEF0-0CD3-403A-95D2-D32AD228A8A9}" name="Retail_Sales_cleaned" displayName="Retail_Sales_cleaned" ref="A1:N1998" tableType="queryTable" totalsRowShown="0">
  <autoFilter ref="A1:N1998" xr:uid="{0FDAE8AA-B2FB-4421-A2C4-00126ED33139}"/>
  <tableColumns count="14">
    <tableColumn id="1" xr3:uid="{FD42D92C-8DBD-462F-BB2E-C2C8A03CE7B2}" uniqueName="1" name="transactions_id" queryTableFieldId="1"/>
    <tableColumn id="2" xr3:uid="{8B5C92B4-CB7D-4C33-945C-CC41B8153EEF}" uniqueName="2" name="sale_date" queryTableFieldId="2" dataDxfId="25"/>
    <tableColumn id="3" xr3:uid="{C12B73CF-C332-488F-BB9D-AE3D1BB116D2}" uniqueName="3" name="sale_time" queryTableFieldId="3" dataDxfId="24"/>
    <tableColumn id="4" xr3:uid="{FF14E6C6-7FEA-488D-A29F-3B6383C46501}" uniqueName="4" name="customer_id" queryTableFieldId="4" dataDxfId="23"/>
    <tableColumn id="5" xr3:uid="{769265AE-19D5-40D4-9903-56B73E57D8BF}" uniqueName="5" name="gender" queryTableFieldId="5" dataDxfId="22"/>
    <tableColumn id="6" xr3:uid="{83E70FEE-73A9-4E22-BE00-095005AECCBB}" uniqueName="6" name="age" queryTableFieldId="6"/>
    <tableColumn id="7" xr3:uid="{566A2B7D-62AE-431C-94A2-BB16F0CDD985}" uniqueName="7" name="category" queryTableFieldId="7" dataDxfId="21"/>
    <tableColumn id="8" xr3:uid="{D711CE79-B6DE-486C-A658-677D38C1DE79}" uniqueName="8" name="quantiy" queryTableFieldId="8"/>
    <tableColumn id="9" xr3:uid="{3364D62C-A310-436B-B3C5-49581D466B4C}" uniqueName="9" name="price_per_unit" queryTableFieldId="9"/>
    <tableColumn id="10" xr3:uid="{940EC9D1-2467-4FE9-807F-86EB2A448966}" uniqueName="10" name="cogs" queryTableFieldId="10"/>
    <tableColumn id="11" xr3:uid="{E8CAE00C-BF78-4B9D-865A-61C619EF2E43}" uniqueName="11" name="total_sale" queryTableFieldId="11"/>
    <tableColumn id="12" xr3:uid="{986A3DE2-9967-46CE-80ED-336C8D1A39F5}" uniqueName="12" name="Profit" queryTableFieldId="12"/>
    <tableColumn id="13" xr3:uid="{9B2A70DF-CECB-4E9B-BC95-63B99644AAB1}" uniqueName="13" name="Profit_margin" queryTableFieldId="13"/>
    <tableColumn id="14" xr3:uid="{CC3E68B1-CB2B-418D-8990-C8C94C10382A}" uniqueName="14" name="Age_group" queryTableFieldId="14" dataDxfId="2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AFF4E-7AE0-4A26-91F6-55C10D1031A3}" name="Table8" displayName="Table8" ref="D40:F43" totalsRowShown="0">
  <autoFilter ref="D40:F43" xr:uid="{ADBAFF4E-7AE0-4A26-91F6-55C10D1031A3}"/>
  <tableColumns count="3">
    <tableColumn id="1" xr3:uid="{2EF4B2D6-A3AC-4578-A00D-8B1D300FC3E8}" name="Highest Sales" dataDxfId="19"/>
    <tableColumn id="2" xr3:uid="{DC4631E6-D8CF-4380-B94F-D59666079809}" name="Dec-22" dataDxfId="18"/>
    <tableColumn id="3" xr3:uid="{D7CACDD9-6857-4101-8DAB-5C545A284EF0}" name="72,88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10B3D9-570E-4D58-B614-2C43A73F3007}" name="Table9" displayName="Table9" ref="D46:F50" totalsRowShown="0">
  <autoFilter ref="D46:F50" xr:uid="{3A10B3D9-570E-4D58-B614-2C43A73F3007}"/>
  <tableColumns count="3">
    <tableColumn id="1" xr3:uid="{492304F1-0CC3-4D1E-8B64-3201A3F27FE2}" name="Performance Indicator" dataDxfId="17"/>
    <tableColumn id="2" xr3:uid="{D25E48A6-6A7B-48B9-B869-8395AE4F4C65}" name="Period" dataDxfId="16"/>
    <tableColumn id="3" xr3:uid="{90AB58C6-8A2F-4999-9809-3CE5E3C6848F}" name="Valu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AD9855-F96D-43E7-9B24-D178CFFF7258}" name="Table77" displayName="Table77" ref="P7:R9" totalsRowShown="0">
  <autoFilter ref="P7:R9" xr:uid="{4FAD9855-F96D-43E7-9B24-D178CFFF7258}"/>
  <tableColumns count="3">
    <tableColumn id="2" xr3:uid="{44D5FC70-6C8A-4544-9970-86CA1907C25C}" name="Highest-Performing Group" dataDxfId="15"/>
    <tableColumn id="3" xr3:uid="{F9143274-9DFB-4854-AA30-20404D8AA8B0}" name="Sales" dataDxfId="14"/>
    <tableColumn id="4" xr3:uid="{E3EDFC6F-565F-4EAA-9B39-F7A79DC90368}" name="Transac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3.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microsoft.com/office/2007/relationships/slicer" Target="../slicers/slicer1.xml"/><Relationship Id="rId5" Type="http://schemas.openxmlformats.org/officeDocument/2006/relationships/pivotTable" Target="../pivotTables/pivotTable12.xml"/><Relationship Id="rId10" Type="http://schemas.openxmlformats.org/officeDocument/2006/relationships/drawing" Target="../drawings/drawing3.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C25FC-1B69-412E-BBF5-5C53E3B5F2F0}">
  <dimension ref="A1:L13"/>
  <sheetViews>
    <sheetView workbookViewId="0">
      <selection activeCell="N5" sqref="N5"/>
    </sheetView>
  </sheetViews>
  <sheetFormatPr defaultRowHeight="14.5"/>
  <cols>
    <col min="2" max="2" width="8.7265625" customWidth="1"/>
    <col min="3" max="3" width="35.1796875" customWidth="1"/>
  </cols>
  <sheetData>
    <row r="1" spans="1:12" s="55" customFormat="1" ht="17.5">
      <c r="A1" s="55" t="s">
        <v>0</v>
      </c>
    </row>
    <row r="4" spans="1:12" ht="17" customHeight="1">
      <c r="A4" s="3"/>
      <c r="B4" s="3"/>
      <c r="C4" s="3"/>
      <c r="D4" s="3"/>
      <c r="E4" s="3"/>
      <c r="F4" s="3"/>
    </row>
    <row r="5" spans="1:12" ht="15" customHeight="1">
      <c r="B5" s="2"/>
      <c r="C5" s="2"/>
    </row>
    <row r="6" spans="1:12" ht="14.5" customHeight="1">
      <c r="B6" s="2"/>
      <c r="C6" s="2"/>
    </row>
    <row r="7" spans="1:12" ht="17" customHeight="1">
      <c r="B7" s="2"/>
      <c r="C7" s="2"/>
    </row>
    <row r="8" spans="1:12" ht="15.5" customHeight="1">
      <c r="B8" s="2"/>
      <c r="C8" s="2"/>
      <c r="K8" s="2"/>
      <c r="L8" s="2"/>
    </row>
    <row r="9" spans="1:12" ht="17" customHeight="1">
      <c r="B9" s="2"/>
      <c r="C9" s="2"/>
      <c r="K9" s="2"/>
      <c r="L9" s="2"/>
    </row>
    <row r="10" spans="1:12" ht="15.5" customHeight="1">
      <c r="B10" s="2"/>
      <c r="C10" s="2"/>
      <c r="K10" s="2"/>
      <c r="L10" s="2"/>
    </row>
    <row r="11" spans="1:12">
      <c r="K11" s="2"/>
      <c r="L11" s="2"/>
    </row>
    <row r="12" spans="1:12">
      <c r="K12" s="2"/>
      <c r="L12" s="2"/>
    </row>
    <row r="13" spans="1:12">
      <c r="C13" s="2"/>
      <c r="K13" s="2"/>
      <c r="L13" s="2"/>
    </row>
  </sheetData>
  <mergeCells count="1">
    <mergeCell ref="A1:XFD1"/>
  </mergeCells>
  <pageMargins left="0.7" right="0.7" top="0.75" bottom="0.75" header="0.3" footer="0.3"/>
  <pageSetup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8F3C0-6603-4AF4-983C-0F43AC6E7964}">
  <dimension ref="A1:N1998"/>
  <sheetViews>
    <sheetView zoomScale="90" zoomScaleNormal="90" workbookViewId="0">
      <selection activeCell="E10" sqref="E10"/>
    </sheetView>
  </sheetViews>
  <sheetFormatPr defaultRowHeight="14.5"/>
  <cols>
    <col min="1" max="1" width="16.08984375" bestFit="1" customWidth="1"/>
    <col min="2" max="2" width="15.81640625" customWidth="1"/>
    <col min="3" max="3" width="17.6328125" customWidth="1"/>
    <col min="4" max="4" width="19.54296875" customWidth="1"/>
    <col min="5" max="5" width="12.7265625" customWidth="1"/>
    <col min="6" max="6" width="12.08984375" customWidth="1"/>
    <col min="7" max="7" width="15.08984375" customWidth="1"/>
    <col min="8" max="8" width="9.453125" bestFit="1" customWidth="1"/>
    <col min="9" max="9" width="15.453125" bestFit="1" customWidth="1"/>
    <col min="10" max="10" width="6.7265625" bestFit="1" customWidth="1"/>
    <col min="11" max="11" width="11.36328125" bestFit="1" customWidth="1"/>
    <col min="12" max="12" width="7.81640625" bestFit="1" customWidth="1"/>
    <col min="13" max="13" width="14.6328125" bestFit="1" customWidth="1"/>
    <col min="14" max="14" width="12.08984375" bestFit="1" customWidth="1"/>
  </cols>
  <sheetData>
    <row r="1" spans="1:14">
      <c r="A1" t="s">
        <v>1</v>
      </c>
      <c r="B1" t="s">
        <v>2</v>
      </c>
      <c r="C1" t="s">
        <v>3</v>
      </c>
      <c r="D1" t="s">
        <v>4</v>
      </c>
      <c r="E1" t="s">
        <v>5</v>
      </c>
      <c r="F1" t="s">
        <v>6</v>
      </c>
      <c r="G1" t="s">
        <v>7</v>
      </c>
      <c r="H1" t="s">
        <v>8</v>
      </c>
      <c r="I1" t="s">
        <v>9</v>
      </c>
      <c r="J1" t="s">
        <v>10</v>
      </c>
      <c r="K1" t="s">
        <v>11</v>
      </c>
      <c r="L1" t="s">
        <v>12</v>
      </c>
      <c r="M1" t="s">
        <v>13</v>
      </c>
      <c r="N1" t="s">
        <v>14</v>
      </c>
    </row>
    <row r="2" spans="1:14">
      <c r="A2">
        <v>180</v>
      </c>
      <c r="B2" s="4">
        <v>44870</v>
      </c>
      <c r="C2" s="5">
        <v>0.44930555555555557</v>
      </c>
      <c r="D2" t="s">
        <v>15</v>
      </c>
      <c r="E2" t="s">
        <v>16</v>
      </c>
      <c r="F2">
        <v>41</v>
      </c>
      <c r="G2" t="s">
        <v>17</v>
      </c>
      <c r="H2">
        <v>3</v>
      </c>
      <c r="I2">
        <v>300</v>
      </c>
      <c r="J2">
        <v>129</v>
      </c>
      <c r="K2">
        <v>900</v>
      </c>
      <c r="L2">
        <v>771</v>
      </c>
      <c r="M2">
        <v>0.85666666666666669</v>
      </c>
      <c r="N2" t="s">
        <v>18</v>
      </c>
    </row>
    <row r="3" spans="1:14">
      <c r="A3">
        <v>522</v>
      </c>
      <c r="B3" s="4">
        <v>44751</v>
      </c>
      <c r="C3" s="5">
        <v>0.45833333333333331</v>
      </c>
      <c r="D3" t="s">
        <v>19</v>
      </c>
      <c r="E3" t="s">
        <v>16</v>
      </c>
      <c r="F3">
        <v>46</v>
      </c>
      <c r="G3" t="s">
        <v>20</v>
      </c>
      <c r="H3">
        <v>3</v>
      </c>
      <c r="I3">
        <v>500</v>
      </c>
      <c r="J3">
        <v>145</v>
      </c>
      <c r="K3">
        <v>1500</v>
      </c>
      <c r="L3">
        <v>1355</v>
      </c>
      <c r="M3">
        <v>0.90333333333333332</v>
      </c>
      <c r="N3" t="s">
        <v>21</v>
      </c>
    </row>
    <row r="4" spans="1:14">
      <c r="A4">
        <v>559</v>
      </c>
      <c r="B4" s="4">
        <v>44907</v>
      </c>
      <c r="C4" s="5">
        <v>0.45</v>
      </c>
      <c r="D4" t="s">
        <v>22</v>
      </c>
      <c r="E4" t="s">
        <v>23</v>
      </c>
      <c r="F4">
        <v>40</v>
      </c>
      <c r="G4" t="s">
        <v>17</v>
      </c>
      <c r="H4">
        <v>4</v>
      </c>
      <c r="I4">
        <v>300</v>
      </c>
      <c r="J4">
        <v>84</v>
      </c>
      <c r="K4">
        <v>1200</v>
      </c>
      <c r="L4">
        <v>1116</v>
      </c>
      <c r="M4">
        <v>0.93</v>
      </c>
      <c r="N4" t="s">
        <v>18</v>
      </c>
    </row>
    <row r="5" spans="1:14">
      <c r="A5">
        <v>1180</v>
      </c>
      <c r="B5" s="4">
        <v>44567</v>
      </c>
      <c r="C5" s="5">
        <v>0.37013888888888891</v>
      </c>
      <c r="D5" t="s">
        <v>24</v>
      </c>
      <c r="E5" t="s">
        <v>16</v>
      </c>
      <c r="F5">
        <v>41</v>
      </c>
      <c r="G5" t="s">
        <v>17</v>
      </c>
      <c r="H5">
        <v>3</v>
      </c>
      <c r="I5">
        <v>300</v>
      </c>
      <c r="J5">
        <v>129</v>
      </c>
      <c r="K5">
        <v>900</v>
      </c>
      <c r="L5">
        <v>771</v>
      </c>
      <c r="M5">
        <v>0.85666666666666669</v>
      </c>
      <c r="N5" t="s">
        <v>18</v>
      </c>
    </row>
    <row r="6" spans="1:14">
      <c r="A6">
        <v>1522</v>
      </c>
      <c r="B6" s="4">
        <v>44879</v>
      </c>
      <c r="C6" s="5">
        <v>0.3576388888888889</v>
      </c>
      <c r="D6" t="s">
        <v>25</v>
      </c>
      <c r="E6" t="s">
        <v>16</v>
      </c>
      <c r="F6">
        <v>46</v>
      </c>
      <c r="G6" t="s">
        <v>20</v>
      </c>
      <c r="H6">
        <v>3</v>
      </c>
      <c r="I6">
        <v>500</v>
      </c>
      <c r="J6">
        <v>235</v>
      </c>
      <c r="K6">
        <v>1500</v>
      </c>
      <c r="L6">
        <v>1265</v>
      </c>
      <c r="M6">
        <v>0.84333333333333338</v>
      </c>
      <c r="N6" t="s">
        <v>21</v>
      </c>
    </row>
    <row r="7" spans="1:14">
      <c r="A7">
        <v>1559</v>
      </c>
      <c r="B7" s="4">
        <v>44793</v>
      </c>
      <c r="C7" s="5">
        <v>0.31944444444444442</v>
      </c>
      <c r="D7" t="s">
        <v>26</v>
      </c>
      <c r="E7" t="s">
        <v>23</v>
      </c>
      <c r="F7">
        <v>40</v>
      </c>
      <c r="G7" t="s">
        <v>17</v>
      </c>
      <c r="H7">
        <v>4</v>
      </c>
      <c r="I7">
        <v>300</v>
      </c>
      <c r="J7">
        <v>144</v>
      </c>
      <c r="K7">
        <v>1200</v>
      </c>
      <c r="L7">
        <v>1056</v>
      </c>
      <c r="M7">
        <v>0.88</v>
      </c>
      <c r="N7" t="s">
        <v>18</v>
      </c>
    </row>
    <row r="8" spans="1:14">
      <c r="A8">
        <v>163</v>
      </c>
      <c r="B8" s="4">
        <v>44865</v>
      </c>
      <c r="C8" s="5">
        <v>0.40138888888888891</v>
      </c>
      <c r="D8" t="s">
        <v>27</v>
      </c>
      <c r="E8" t="s">
        <v>23</v>
      </c>
      <c r="F8">
        <v>64</v>
      </c>
      <c r="G8" t="s">
        <v>17</v>
      </c>
      <c r="H8">
        <v>3</v>
      </c>
      <c r="I8">
        <v>50</v>
      </c>
      <c r="J8">
        <v>23</v>
      </c>
      <c r="K8">
        <v>150</v>
      </c>
      <c r="L8">
        <v>127</v>
      </c>
      <c r="M8">
        <v>0.84666666666666668</v>
      </c>
      <c r="N8" t="s">
        <v>28</v>
      </c>
    </row>
    <row r="9" spans="1:14">
      <c r="A9">
        <v>303</v>
      </c>
      <c r="B9" s="4">
        <v>44673</v>
      </c>
      <c r="C9" s="5">
        <v>0.46458333333333335</v>
      </c>
      <c r="D9" t="s">
        <v>29</v>
      </c>
      <c r="E9" t="s">
        <v>16</v>
      </c>
      <c r="F9">
        <v>19</v>
      </c>
      <c r="G9" t="s">
        <v>30</v>
      </c>
      <c r="H9">
        <v>3</v>
      </c>
      <c r="I9">
        <v>30</v>
      </c>
      <c r="J9">
        <v>14.7</v>
      </c>
      <c r="K9">
        <v>90</v>
      </c>
      <c r="L9">
        <v>75.3</v>
      </c>
      <c r="M9">
        <v>0.83666666666666667</v>
      </c>
      <c r="N9" t="s">
        <v>31</v>
      </c>
    </row>
    <row r="10" spans="1:14">
      <c r="A10">
        <v>421</v>
      </c>
      <c r="B10" s="4">
        <v>44659</v>
      </c>
      <c r="C10" s="5">
        <v>0.36319444444444443</v>
      </c>
      <c r="D10" t="s">
        <v>32</v>
      </c>
      <c r="E10" t="s">
        <v>23</v>
      </c>
      <c r="F10">
        <v>37</v>
      </c>
      <c r="G10" t="s">
        <v>17</v>
      </c>
      <c r="H10">
        <v>3</v>
      </c>
      <c r="I10">
        <v>500</v>
      </c>
      <c r="J10">
        <v>235</v>
      </c>
      <c r="K10">
        <v>1500</v>
      </c>
      <c r="L10">
        <v>1265</v>
      </c>
      <c r="M10">
        <v>0.84333333333333338</v>
      </c>
      <c r="N10" t="s">
        <v>18</v>
      </c>
    </row>
    <row r="11" spans="1:14">
      <c r="A11">
        <v>979</v>
      </c>
      <c r="B11" s="4">
        <v>44699</v>
      </c>
      <c r="C11" s="5">
        <v>0.42916666666666664</v>
      </c>
      <c r="D11" t="s">
        <v>33</v>
      </c>
      <c r="E11" t="s">
        <v>23</v>
      </c>
      <c r="F11">
        <v>19</v>
      </c>
      <c r="G11" t="s">
        <v>20</v>
      </c>
      <c r="H11">
        <v>1</v>
      </c>
      <c r="I11">
        <v>25</v>
      </c>
      <c r="J11">
        <v>10.5</v>
      </c>
      <c r="K11">
        <v>25</v>
      </c>
      <c r="L11">
        <v>14.5</v>
      </c>
      <c r="M11">
        <v>0.57999999999999996</v>
      </c>
      <c r="N11" t="s">
        <v>31</v>
      </c>
    </row>
    <row r="12" spans="1:14">
      <c r="A12">
        <v>1163</v>
      </c>
      <c r="B12" s="4">
        <v>44685</v>
      </c>
      <c r="C12" s="5">
        <v>0.45277777777777778</v>
      </c>
      <c r="D12" t="s">
        <v>34</v>
      </c>
      <c r="E12" t="s">
        <v>23</v>
      </c>
      <c r="F12">
        <v>64</v>
      </c>
      <c r="G12" t="s">
        <v>17</v>
      </c>
      <c r="H12">
        <v>3</v>
      </c>
      <c r="I12">
        <v>50</v>
      </c>
      <c r="J12">
        <v>27</v>
      </c>
      <c r="K12">
        <v>150</v>
      </c>
      <c r="L12">
        <v>123</v>
      </c>
      <c r="M12">
        <v>0.82</v>
      </c>
      <c r="N12" t="s">
        <v>28</v>
      </c>
    </row>
    <row r="13" spans="1:14">
      <c r="A13">
        <v>1303</v>
      </c>
      <c r="B13" s="4">
        <v>44639</v>
      </c>
      <c r="C13" s="5">
        <v>0.37430555555555556</v>
      </c>
      <c r="D13" t="s">
        <v>35</v>
      </c>
      <c r="E13" t="s">
        <v>16</v>
      </c>
      <c r="F13">
        <v>19</v>
      </c>
      <c r="G13" t="s">
        <v>30</v>
      </c>
      <c r="H13">
        <v>3</v>
      </c>
      <c r="I13">
        <v>30</v>
      </c>
      <c r="J13">
        <v>15</v>
      </c>
      <c r="K13">
        <v>90</v>
      </c>
      <c r="L13">
        <v>75</v>
      </c>
      <c r="M13">
        <v>0.83333333333333337</v>
      </c>
      <c r="N13" t="s">
        <v>31</v>
      </c>
    </row>
    <row r="14" spans="1:14">
      <c r="A14">
        <v>1421</v>
      </c>
      <c r="B14" s="4">
        <v>44578</v>
      </c>
      <c r="C14" s="5">
        <v>0.29652777777777778</v>
      </c>
      <c r="D14" t="s">
        <v>36</v>
      </c>
      <c r="E14" t="s">
        <v>23</v>
      </c>
      <c r="F14">
        <v>37</v>
      </c>
      <c r="G14" t="s">
        <v>17</v>
      </c>
      <c r="H14">
        <v>3</v>
      </c>
      <c r="I14">
        <v>500</v>
      </c>
      <c r="J14">
        <v>185</v>
      </c>
      <c r="K14">
        <v>1500</v>
      </c>
      <c r="L14">
        <v>1315</v>
      </c>
      <c r="M14">
        <v>0.87666666666666671</v>
      </c>
      <c r="N14" t="s">
        <v>18</v>
      </c>
    </row>
    <row r="15" spans="1:14">
      <c r="A15">
        <v>1979</v>
      </c>
      <c r="B15" s="4">
        <v>44790</v>
      </c>
      <c r="C15" s="5">
        <v>0.48194444444444445</v>
      </c>
      <c r="D15" t="s">
        <v>37</v>
      </c>
      <c r="E15" t="s">
        <v>23</v>
      </c>
      <c r="F15">
        <v>19</v>
      </c>
      <c r="G15" t="s">
        <v>20</v>
      </c>
      <c r="H15">
        <v>1</v>
      </c>
      <c r="I15">
        <v>25</v>
      </c>
      <c r="J15">
        <v>7.75</v>
      </c>
      <c r="K15">
        <v>25</v>
      </c>
      <c r="L15">
        <v>17.25</v>
      </c>
      <c r="M15">
        <v>0.69</v>
      </c>
      <c r="N15" t="s">
        <v>31</v>
      </c>
    </row>
    <row r="16" spans="1:14">
      <c r="A16">
        <v>610</v>
      </c>
      <c r="B16" s="4">
        <v>44913</v>
      </c>
      <c r="C16" s="5">
        <v>0.28888888888888886</v>
      </c>
      <c r="D16" t="s">
        <v>38</v>
      </c>
      <c r="E16" t="s">
        <v>23</v>
      </c>
      <c r="F16">
        <v>26</v>
      </c>
      <c r="G16" t="s">
        <v>20</v>
      </c>
      <c r="H16">
        <v>2</v>
      </c>
      <c r="I16">
        <v>300</v>
      </c>
      <c r="J16">
        <v>93</v>
      </c>
      <c r="K16">
        <v>600</v>
      </c>
      <c r="L16">
        <v>507</v>
      </c>
      <c r="M16">
        <v>0.84499999999999997</v>
      </c>
      <c r="N16" t="s">
        <v>39</v>
      </c>
    </row>
    <row r="17" spans="1:14">
      <c r="A17">
        <v>1610</v>
      </c>
      <c r="B17" s="4">
        <v>44888</v>
      </c>
      <c r="C17" s="5">
        <v>0.42916666666666664</v>
      </c>
      <c r="D17" t="s">
        <v>40</v>
      </c>
      <c r="E17" t="s">
        <v>23</v>
      </c>
      <c r="F17">
        <v>26</v>
      </c>
      <c r="G17" t="s">
        <v>20</v>
      </c>
      <c r="H17">
        <v>2</v>
      </c>
      <c r="I17">
        <v>300</v>
      </c>
      <c r="J17">
        <v>102</v>
      </c>
      <c r="K17">
        <v>600</v>
      </c>
      <c r="L17">
        <v>498</v>
      </c>
      <c r="M17">
        <v>0.83</v>
      </c>
      <c r="N17" t="s">
        <v>39</v>
      </c>
    </row>
    <row r="18" spans="1:14">
      <c r="A18">
        <v>32</v>
      </c>
      <c r="B18" s="4">
        <v>44758</v>
      </c>
      <c r="C18" s="5">
        <v>0.38263888888888886</v>
      </c>
      <c r="D18" t="s">
        <v>41</v>
      </c>
      <c r="E18" t="s">
        <v>16</v>
      </c>
      <c r="F18">
        <v>30</v>
      </c>
      <c r="G18" t="s">
        <v>20</v>
      </c>
      <c r="H18">
        <v>3</v>
      </c>
      <c r="I18">
        <v>30</v>
      </c>
      <c r="J18">
        <v>8.4</v>
      </c>
      <c r="K18">
        <v>90</v>
      </c>
      <c r="L18">
        <v>81.599999999999994</v>
      </c>
      <c r="M18">
        <v>0.90666666666666662</v>
      </c>
      <c r="N18" t="s">
        <v>39</v>
      </c>
    </row>
    <row r="19" spans="1:14">
      <c r="A19">
        <v>231</v>
      </c>
      <c r="B19" s="4">
        <v>44751</v>
      </c>
      <c r="C19" s="5">
        <v>0.29305555555555557</v>
      </c>
      <c r="D19" t="s">
        <v>42</v>
      </c>
      <c r="E19" t="s">
        <v>23</v>
      </c>
      <c r="F19">
        <v>23</v>
      </c>
      <c r="G19" t="s">
        <v>17</v>
      </c>
      <c r="H19">
        <v>3</v>
      </c>
      <c r="I19">
        <v>50</v>
      </c>
      <c r="J19">
        <v>26.5</v>
      </c>
      <c r="K19">
        <v>150</v>
      </c>
      <c r="L19">
        <v>123.5</v>
      </c>
      <c r="M19">
        <v>0.82333333333333336</v>
      </c>
      <c r="N19" t="s">
        <v>31</v>
      </c>
    </row>
    <row r="20" spans="1:14">
      <c r="A20">
        <v>683</v>
      </c>
      <c r="B20" s="4">
        <v>44626</v>
      </c>
      <c r="C20" s="5">
        <v>0.43194444444444446</v>
      </c>
      <c r="D20" t="s">
        <v>43</v>
      </c>
      <c r="E20" t="s">
        <v>16</v>
      </c>
      <c r="F20">
        <v>38</v>
      </c>
      <c r="G20" t="s">
        <v>20</v>
      </c>
      <c r="H20">
        <v>2</v>
      </c>
      <c r="I20">
        <v>500</v>
      </c>
      <c r="J20">
        <v>175</v>
      </c>
      <c r="K20">
        <v>1000</v>
      </c>
      <c r="L20">
        <v>825</v>
      </c>
      <c r="M20">
        <v>0.82499999999999996</v>
      </c>
      <c r="N20" t="s">
        <v>18</v>
      </c>
    </row>
    <row r="21" spans="1:14">
      <c r="A21">
        <v>1032</v>
      </c>
      <c r="B21" s="4">
        <v>44652</v>
      </c>
      <c r="C21" s="5">
        <v>0.34375</v>
      </c>
      <c r="D21" t="s">
        <v>40</v>
      </c>
      <c r="E21" t="s">
        <v>16</v>
      </c>
      <c r="F21">
        <v>30</v>
      </c>
      <c r="G21" t="s">
        <v>20</v>
      </c>
      <c r="H21">
        <v>3</v>
      </c>
      <c r="I21">
        <v>30</v>
      </c>
      <c r="J21">
        <v>10.5</v>
      </c>
      <c r="K21">
        <v>90</v>
      </c>
      <c r="L21">
        <v>79.5</v>
      </c>
      <c r="M21">
        <v>0.8833333333333333</v>
      </c>
      <c r="N21" t="s">
        <v>39</v>
      </c>
    </row>
    <row r="22" spans="1:14">
      <c r="A22">
        <v>1231</v>
      </c>
      <c r="B22" s="4">
        <v>44590</v>
      </c>
      <c r="C22" s="5">
        <v>0.2951388888888889</v>
      </c>
      <c r="D22" t="s">
        <v>44</v>
      </c>
      <c r="E22" t="s">
        <v>23</v>
      </c>
      <c r="F22">
        <v>23</v>
      </c>
      <c r="G22" t="s">
        <v>17</v>
      </c>
      <c r="H22">
        <v>3</v>
      </c>
      <c r="I22">
        <v>50</v>
      </c>
      <c r="J22">
        <v>23</v>
      </c>
      <c r="K22">
        <v>150</v>
      </c>
      <c r="L22">
        <v>127</v>
      </c>
      <c r="M22">
        <v>0.84666666666666668</v>
      </c>
      <c r="N22" t="s">
        <v>31</v>
      </c>
    </row>
    <row r="23" spans="1:14">
      <c r="A23">
        <v>1683</v>
      </c>
      <c r="B23" s="4">
        <v>44685</v>
      </c>
      <c r="C23" s="5">
        <v>0.30486111111111114</v>
      </c>
      <c r="D23" t="s">
        <v>45</v>
      </c>
      <c r="E23" t="s">
        <v>16</v>
      </c>
      <c r="F23">
        <v>38</v>
      </c>
      <c r="G23" t="s">
        <v>20</v>
      </c>
      <c r="H23">
        <v>2</v>
      </c>
      <c r="I23">
        <v>500</v>
      </c>
      <c r="J23">
        <v>220</v>
      </c>
      <c r="K23">
        <v>1000</v>
      </c>
      <c r="L23">
        <v>780</v>
      </c>
      <c r="M23">
        <v>0.78</v>
      </c>
      <c r="N23" t="s">
        <v>18</v>
      </c>
    </row>
    <row r="24" spans="1:14">
      <c r="A24">
        <v>367</v>
      </c>
      <c r="B24" s="4">
        <v>44925</v>
      </c>
      <c r="C24" s="5">
        <v>0.29375000000000001</v>
      </c>
      <c r="D24" t="s">
        <v>46</v>
      </c>
      <c r="E24" t="s">
        <v>23</v>
      </c>
      <c r="F24">
        <v>57</v>
      </c>
      <c r="G24" t="s">
        <v>30</v>
      </c>
      <c r="H24">
        <v>1</v>
      </c>
      <c r="I24">
        <v>50</v>
      </c>
      <c r="J24">
        <v>18</v>
      </c>
      <c r="K24">
        <v>50</v>
      </c>
      <c r="L24">
        <v>32</v>
      </c>
      <c r="M24">
        <v>0.64</v>
      </c>
      <c r="N24" t="s">
        <v>28</v>
      </c>
    </row>
    <row r="25" spans="1:14">
      <c r="A25">
        <v>391</v>
      </c>
      <c r="B25" s="4">
        <v>44645</v>
      </c>
      <c r="C25" s="5">
        <v>0.31736111111111109</v>
      </c>
      <c r="D25" t="s">
        <v>47</v>
      </c>
      <c r="E25" t="s">
        <v>16</v>
      </c>
      <c r="F25">
        <v>19</v>
      </c>
      <c r="G25" t="s">
        <v>20</v>
      </c>
      <c r="H25">
        <v>2</v>
      </c>
      <c r="I25">
        <v>25</v>
      </c>
      <c r="J25">
        <v>6.25</v>
      </c>
      <c r="K25">
        <v>50</v>
      </c>
      <c r="L25">
        <v>43.75</v>
      </c>
      <c r="M25">
        <v>0.875</v>
      </c>
      <c r="N25" t="s">
        <v>31</v>
      </c>
    </row>
    <row r="26" spans="1:14">
      <c r="A26">
        <v>432</v>
      </c>
      <c r="B26" s="4">
        <v>44630</v>
      </c>
      <c r="C26" s="5">
        <v>0.47986111111111113</v>
      </c>
      <c r="D26" t="s">
        <v>48</v>
      </c>
      <c r="E26" t="s">
        <v>23</v>
      </c>
      <c r="G26" t="s">
        <v>30</v>
      </c>
      <c r="H26">
        <v>2</v>
      </c>
      <c r="I26">
        <v>500</v>
      </c>
      <c r="J26">
        <v>190</v>
      </c>
      <c r="K26">
        <v>1000</v>
      </c>
      <c r="L26">
        <v>810</v>
      </c>
      <c r="M26">
        <v>0.81</v>
      </c>
      <c r="N26" t="s">
        <v>49</v>
      </c>
    </row>
    <row r="27" spans="1:14">
      <c r="A27">
        <v>1367</v>
      </c>
      <c r="B27" s="4">
        <v>44666</v>
      </c>
      <c r="C27" s="5">
        <v>0.48472222222222222</v>
      </c>
      <c r="D27" t="s">
        <v>50</v>
      </c>
      <c r="E27" t="s">
        <v>23</v>
      </c>
      <c r="G27" t="s">
        <v>30</v>
      </c>
      <c r="H27">
        <v>1</v>
      </c>
      <c r="I27">
        <v>50</v>
      </c>
      <c r="J27">
        <v>15.5</v>
      </c>
      <c r="K27">
        <v>50</v>
      </c>
      <c r="L27">
        <v>34.5</v>
      </c>
      <c r="M27">
        <v>0.69</v>
      </c>
      <c r="N27" t="s">
        <v>49</v>
      </c>
    </row>
    <row r="28" spans="1:14">
      <c r="A28">
        <v>1391</v>
      </c>
      <c r="B28" s="4">
        <v>44621</v>
      </c>
      <c r="C28" s="5">
        <v>0.47847222222222224</v>
      </c>
      <c r="D28" t="s">
        <v>51</v>
      </c>
      <c r="E28" t="s">
        <v>16</v>
      </c>
      <c r="G28" t="s">
        <v>20</v>
      </c>
      <c r="H28">
        <v>2</v>
      </c>
      <c r="I28">
        <v>25</v>
      </c>
      <c r="J28">
        <v>9.25</v>
      </c>
      <c r="K28">
        <v>50</v>
      </c>
      <c r="L28">
        <v>40.75</v>
      </c>
      <c r="M28">
        <v>0.81499999999999995</v>
      </c>
      <c r="N28" t="s">
        <v>49</v>
      </c>
    </row>
    <row r="29" spans="1:14">
      <c r="A29">
        <v>1432</v>
      </c>
      <c r="B29" s="4">
        <v>44920</v>
      </c>
      <c r="C29" s="5">
        <v>0.26666666666666666</v>
      </c>
      <c r="D29" t="s">
        <v>52</v>
      </c>
      <c r="E29" t="s">
        <v>23</v>
      </c>
      <c r="G29" t="s">
        <v>30</v>
      </c>
      <c r="H29">
        <v>2</v>
      </c>
      <c r="I29">
        <v>500</v>
      </c>
      <c r="J29">
        <v>245</v>
      </c>
      <c r="K29">
        <v>1000</v>
      </c>
      <c r="L29">
        <v>755</v>
      </c>
      <c r="M29">
        <v>0.755</v>
      </c>
      <c r="N29" t="s">
        <v>49</v>
      </c>
    </row>
    <row r="30" spans="1:14">
      <c r="A30">
        <v>150</v>
      </c>
      <c r="B30" s="4">
        <v>44664</v>
      </c>
      <c r="C30" s="5">
        <v>0.35069444444444442</v>
      </c>
      <c r="D30" t="s">
        <v>53</v>
      </c>
      <c r="E30" t="s">
        <v>23</v>
      </c>
      <c r="G30" t="s">
        <v>30</v>
      </c>
      <c r="H30">
        <v>4</v>
      </c>
      <c r="I30">
        <v>30</v>
      </c>
      <c r="J30">
        <v>16.2</v>
      </c>
      <c r="K30">
        <v>120</v>
      </c>
      <c r="L30">
        <v>103.8</v>
      </c>
      <c r="M30">
        <v>0.86499999999999999</v>
      </c>
      <c r="N30" t="s">
        <v>49</v>
      </c>
    </row>
    <row r="31" spans="1:14">
      <c r="A31">
        <v>845</v>
      </c>
      <c r="B31" s="4">
        <v>44861</v>
      </c>
      <c r="C31" s="5">
        <v>0.42499999999999999</v>
      </c>
      <c r="D31" t="s">
        <v>54</v>
      </c>
      <c r="E31" t="s">
        <v>16</v>
      </c>
      <c r="G31" t="s">
        <v>17</v>
      </c>
      <c r="H31">
        <v>1</v>
      </c>
      <c r="I31">
        <v>500</v>
      </c>
      <c r="J31">
        <v>145</v>
      </c>
      <c r="K31">
        <v>500</v>
      </c>
      <c r="L31">
        <v>355</v>
      </c>
      <c r="M31">
        <v>0.71</v>
      </c>
      <c r="N31" t="s">
        <v>49</v>
      </c>
    </row>
    <row r="32" spans="1:14">
      <c r="A32">
        <v>1150</v>
      </c>
      <c r="B32" s="4">
        <v>44795</v>
      </c>
      <c r="C32" s="5">
        <v>0.41944444444444445</v>
      </c>
      <c r="D32" t="s">
        <v>55</v>
      </c>
      <c r="E32" t="s">
        <v>23</v>
      </c>
      <c r="G32" t="s">
        <v>30</v>
      </c>
      <c r="H32">
        <v>4</v>
      </c>
      <c r="I32">
        <v>30</v>
      </c>
      <c r="J32">
        <v>10.199999999999999</v>
      </c>
      <c r="K32">
        <v>120</v>
      </c>
      <c r="L32">
        <v>109.8</v>
      </c>
      <c r="M32">
        <v>0.91499999999999992</v>
      </c>
      <c r="N32" t="s">
        <v>49</v>
      </c>
    </row>
    <row r="33" spans="1:14">
      <c r="A33">
        <v>1845</v>
      </c>
      <c r="B33" s="4">
        <v>44705</v>
      </c>
      <c r="C33" s="5">
        <v>0.29583333333333334</v>
      </c>
      <c r="D33" t="s">
        <v>56</v>
      </c>
      <c r="E33" t="s">
        <v>16</v>
      </c>
      <c r="G33" t="s">
        <v>17</v>
      </c>
      <c r="H33">
        <v>1</v>
      </c>
      <c r="I33">
        <v>500</v>
      </c>
      <c r="J33">
        <v>185</v>
      </c>
      <c r="K33">
        <v>500</v>
      </c>
      <c r="L33">
        <v>315</v>
      </c>
      <c r="M33">
        <v>0.63</v>
      </c>
      <c r="N33" t="s">
        <v>49</v>
      </c>
    </row>
    <row r="34" spans="1:14">
      <c r="A34">
        <v>797</v>
      </c>
      <c r="B34" s="4">
        <v>44820</v>
      </c>
      <c r="C34" s="5">
        <v>0.27638888888888891</v>
      </c>
      <c r="D34" t="s">
        <v>57</v>
      </c>
      <c r="E34" t="s">
        <v>16</v>
      </c>
      <c r="G34" t="s">
        <v>17</v>
      </c>
      <c r="H34">
        <v>3</v>
      </c>
      <c r="I34">
        <v>25</v>
      </c>
      <c r="J34">
        <v>10.75</v>
      </c>
      <c r="K34">
        <v>75</v>
      </c>
      <c r="L34">
        <v>64.25</v>
      </c>
      <c r="M34">
        <v>0.85666666666666669</v>
      </c>
      <c r="N34" t="s">
        <v>49</v>
      </c>
    </row>
    <row r="35" spans="1:14">
      <c r="A35">
        <v>921</v>
      </c>
      <c r="B35" s="4">
        <v>44832</v>
      </c>
      <c r="C35" s="5">
        <v>0.39861111111111114</v>
      </c>
      <c r="D35" t="s">
        <v>58</v>
      </c>
      <c r="E35" t="s">
        <v>16</v>
      </c>
      <c r="G35" t="s">
        <v>30</v>
      </c>
      <c r="H35">
        <v>3</v>
      </c>
      <c r="I35">
        <v>25</v>
      </c>
      <c r="J35">
        <v>8</v>
      </c>
      <c r="K35">
        <v>75</v>
      </c>
      <c r="L35">
        <v>67</v>
      </c>
      <c r="M35">
        <v>0.89333333333333331</v>
      </c>
      <c r="N35" t="s">
        <v>49</v>
      </c>
    </row>
    <row r="36" spans="1:14">
      <c r="A36">
        <v>1797</v>
      </c>
      <c r="B36" s="4">
        <v>44667</v>
      </c>
      <c r="C36" s="5">
        <v>0.4909722222222222</v>
      </c>
      <c r="D36" t="s">
        <v>59</v>
      </c>
      <c r="E36" t="s">
        <v>16</v>
      </c>
      <c r="F36">
        <v>40</v>
      </c>
      <c r="G36" t="s">
        <v>17</v>
      </c>
      <c r="H36">
        <v>3</v>
      </c>
      <c r="I36">
        <v>25</v>
      </c>
      <c r="J36">
        <v>12.25</v>
      </c>
      <c r="K36">
        <v>75</v>
      </c>
      <c r="L36">
        <v>62.75</v>
      </c>
      <c r="M36">
        <v>0.83666666666666667</v>
      </c>
      <c r="N36" t="s">
        <v>18</v>
      </c>
    </row>
    <row r="37" spans="1:14">
      <c r="A37">
        <v>1921</v>
      </c>
      <c r="B37" s="4">
        <v>44600</v>
      </c>
      <c r="C37" s="5">
        <v>0.29236111111111113</v>
      </c>
      <c r="D37" t="s">
        <v>55</v>
      </c>
      <c r="E37" t="s">
        <v>16</v>
      </c>
      <c r="F37">
        <v>51</v>
      </c>
      <c r="G37" t="s">
        <v>30</v>
      </c>
      <c r="H37">
        <v>3</v>
      </c>
      <c r="I37">
        <v>25</v>
      </c>
      <c r="J37">
        <v>7.5</v>
      </c>
      <c r="K37">
        <v>75</v>
      </c>
      <c r="L37">
        <v>67.5</v>
      </c>
      <c r="M37">
        <v>0.9</v>
      </c>
      <c r="N37" t="s">
        <v>21</v>
      </c>
    </row>
    <row r="38" spans="1:14">
      <c r="A38">
        <v>291</v>
      </c>
      <c r="B38" s="4">
        <v>44887</v>
      </c>
      <c r="C38" s="5">
        <v>0.35347222222222224</v>
      </c>
      <c r="D38" t="s">
        <v>60</v>
      </c>
      <c r="E38" t="s">
        <v>16</v>
      </c>
      <c r="F38">
        <v>60</v>
      </c>
      <c r="G38" t="s">
        <v>17</v>
      </c>
      <c r="H38">
        <v>2</v>
      </c>
      <c r="I38">
        <v>300</v>
      </c>
      <c r="J38">
        <v>126</v>
      </c>
      <c r="K38">
        <v>600</v>
      </c>
      <c r="L38">
        <v>474</v>
      </c>
      <c r="M38">
        <v>0.79</v>
      </c>
      <c r="N38" t="s">
        <v>28</v>
      </c>
    </row>
    <row r="39" spans="1:14">
      <c r="A39">
        <v>907</v>
      </c>
      <c r="B39" s="4">
        <v>44806</v>
      </c>
      <c r="C39" s="5">
        <v>0.26111111111111113</v>
      </c>
      <c r="D39" t="s">
        <v>61</v>
      </c>
      <c r="E39" t="s">
        <v>23</v>
      </c>
      <c r="F39">
        <v>45</v>
      </c>
      <c r="G39" t="s">
        <v>30</v>
      </c>
      <c r="H39">
        <v>1</v>
      </c>
      <c r="I39">
        <v>25</v>
      </c>
      <c r="J39">
        <v>8.5</v>
      </c>
      <c r="K39">
        <v>25</v>
      </c>
      <c r="L39">
        <v>16.5</v>
      </c>
      <c r="M39">
        <v>0.66</v>
      </c>
      <c r="N39" t="s">
        <v>18</v>
      </c>
    </row>
    <row r="40" spans="1:14">
      <c r="A40">
        <v>1291</v>
      </c>
      <c r="B40" s="4">
        <v>44655</v>
      </c>
      <c r="C40" s="5">
        <v>0.47152777777777777</v>
      </c>
      <c r="D40" t="s">
        <v>62</v>
      </c>
      <c r="E40" t="s">
        <v>16</v>
      </c>
      <c r="F40">
        <v>60</v>
      </c>
      <c r="G40" t="s">
        <v>17</v>
      </c>
      <c r="H40">
        <v>2</v>
      </c>
      <c r="I40">
        <v>300</v>
      </c>
      <c r="J40">
        <v>153</v>
      </c>
      <c r="K40">
        <v>600</v>
      </c>
      <c r="L40">
        <v>447</v>
      </c>
      <c r="M40">
        <v>0.745</v>
      </c>
      <c r="N40" t="s">
        <v>28</v>
      </c>
    </row>
    <row r="41" spans="1:14">
      <c r="A41">
        <v>1907</v>
      </c>
      <c r="B41" s="4">
        <v>44882</v>
      </c>
      <c r="C41" s="5">
        <v>0.47291666666666665</v>
      </c>
      <c r="D41" t="s">
        <v>63</v>
      </c>
      <c r="E41" t="s">
        <v>23</v>
      </c>
      <c r="F41">
        <v>45</v>
      </c>
      <c r="G41" t="s">
        <v>30</v>
      </c>
      <c r="H41">
        <v>1</v>
      </c>
      <c r="I41">
        <v>25</v>
      </c>
      <c r="J41">
        <v>9</v>
      </c>
      <c r="K41">
        <v>25</v>
      </c>
      <c r="L41">
        <v>16</v>
      </c>
      <c r="M41">
        <v>0.64</v>
      </c>
      <c r="N41" t="s">
        <v>18</v>
      </c>
    </row>
    <row r="42" spans="1:14">
      <c r="A42">
        <v>860</v>
      </c>
      <c r="B42" s="4">
        <v>44662</v>
      </c>
      <c r="C42" s="5">
        <v>0.37361111111111112</v>
      </c>
      <c r="D42" t="s">
        <v>24</v>
      </c>
      <c r="E42" t="s">
        <v>16</v>
      </c>
      <c r="F42">
        <v>63</v>
      </c>
      <c r="G42" t="s">
        <v>17</v>
      </c>
      <c r="H42">
        <v>4</v>
      </c>
      <c r="I42">
        <v>50</v>
      </c>
      <c r="J42">
        <v>16</v>
      </c>
      <c r="K42">
        <v>200</v>
      </c>
      <c r="L42">
        <v>184</v>
      </c>
      <c r="M42">
        <v>0.92</v>
      </c>
      <c r="N42" t="s">
        <v>28</v>
      </c>
    </row>
    <row r="43" spans="1:14">
      <c r="A43">
        <v>1860</v>
      </c>
      <c r="B43" s="4">
        <v>44632</v>
      </c>
      <c r="C43" s="5">
        <v>0.47291666666666665</v>
      </c>
      <c r="D43" t="s">
        <v>64</v>
      </c>
      <c r="E43" t="s">
        <v>16</v>
      </c>
      <c r="F43">
        <v>63</v>
      </c>
      <c r="G43" t="s">
        <v>17</v>
      </c>
      <c r="H43">
        <v>4</v>
      </c>
      <c r="I43">
        <v>50</v>
      </c>
      <c r="J43">
        <v>18</v>
      </c>
      <c r="K43">
        <v>200</v>
      </c>
      <c r="L43">
        <v>182</v>
      </c>
      <c r="M43">
        <v>0.91</v>
      </c>
      <c r="N43" t="s">
        <v>28</v>
      </c>
    </row>
    <row r="44" spans="1:14">
      <c r="A44">
        <v>184</v>
      </c>
      <c r="B44" s="4">
        <v>44605</v>
      </c>
      <c r="C44" s="5">
        <v>0.28055555555555556</v>
      </c>
      <c r="D44" t="s">
        <v>65</v>
      </c>
      <c r="E44" t="s">
        <v>16</v>
      </c>
      <c r="F44">
        <v>31</v>
      </c>
      <c r="G44" t="s">
        <v>30</v>
      </c>
      <c r="H44">
        <v>4</v>
      </c>
      <c r="I44">
        <v>50</v>
      </c>
      <c r="J44">
        <v>17</v>
      </c>
      <c r="K44">
        <v>200</v>
      </c>
      <c r="L44">
        <v>183</v>
      </c>
      <c r="M44">
        <v>0.91500000000000004</v>
      </c>
      <c r="N44" t="s">
        <v>39</v>
      </c>
    </row>
    <row r="45" spans="1:14">
      <c r="A45">
        <v>734</v>
      </c>
      <c r="B45" s="4">
        <v>44632</v>
      </c>
      <c r="C45" s="5">
        <v>0.37083333333333335</v>
      </c>
      <c r="D45" t="s">
        <v>55</v>
      </c>
      <c r="E45" t="s">
        <v>23</v>
      </c>
      <c r="F45">
        <v>27</v>
      </c>
      <c r="G45" t="s">
        <v>17</v>
      </c>
      <c r="H45">
        <v>1</v>
      </c>
      <c r="I45">
        <v>30</v>
      </c>
      <c r="J45">
        <v>15.6</v>
      </c>
      <c r="K45">
        <v>30</v>
      </c>
      <c r="L45">
        <v>14.4</v>
      </c>
      <c r="M45">
        <v>0.48000000000000004</v>
      </c>
      <c r="N45" t="s">
        <v>39</v>
      </c>
    </row>
    <row r="46" spans="1:14">
      <c r="A46">
        <v>1184</v>
      </c>
      <c r="B46" s="4">
        <v>44604</v>
      </c>
      <c r="C46" s="5">
        <v>0.3527777777777778</v>
      </c>
      <c r="D46" t="s">
        <v>66</v>
      </c>
      <c r="E46" t="s">
        <v>16</v>
      </c>
      <c r="F46">
        <v>31</v>
      </c>
      <c r="G46" t="s">
        <v>30</v>
      </c>
      <c r="H46">
        <v>4</v>
      </c>
      <c r="I46">
        <v>50</v>
      </c>
      <c r="J46">
        <v>27.5</v>
      </c>
      <c r="K46">
        <v>200</v>
      </c>
      <c r="L46">
        <v>172.5</v>
      </c>
      <c r="M46">
        <v>0.86250000000000004</v>
      </c>
      <c r="N46" t="s">
        <v>39</v>
      </c>
    </row>
    <row r="47" spans="1:14">
      <c r="A47">
        <v>1734</v>
      </c>
      <c r="B47" s="4">
        <v>44620</v>
      </c>
      <c r="C47" s="5">
        <v>0.37361111111111112</v>
      </c>
      <c r="D47" t="s">
        <v>62</v>
      </c>
      <c r="E47" t="s">
        <v>23</v>
      </c>
      <c r="F47">
        <v>27</v>
      </c>
      <c r="G47" t="s">
        <v>17</v>
      </c>
      <c r="H47">
        <v>1</v>
      </c>
      <c r="I47">
        <v>30</v>
      </c>
      <c r="J47">
        <v>14.4</v>
      </c>
      <c r="K47">
        <v>30</v>
      </c>
      <c r="L47">
        <v>15.6</v>
      </c>
      <c r="M47">
        <v>0.52</v>
      </c>
      <c r="N47" t="s">
        <v>39</v>
      </c>
    </row>
    <row r="48" spans="1:14">
      <c r="A48">
        <v>225</v>
      </c>
      <c r="B48" s="4">
        <v>44625</v>
      </c>
      <c r="C48" s="5">
        <v>0.31736111111111109</v>
      </c>
      <c r="D48" t="s">
        <v>24</v>
      </c>
      <c r="E48" t="s">
        <v>23</v>
      </c>
      <c r="F48">
        <v>57</v>
      </c>
      <c r="G48" t="s">
        <v>20</v>
      </c>
      <c r="H48">
        <v>4</v>
      </c>
      <c r="I48">
        <v>25</v>
      </c>
      <c r="J48">
        <v>12.75</v>
      </c>
      <c r="K48">
        <v>100</v>
      </c>
      <c r="L48">
        <v>87.25</v>
      </c>
      <c r="M48">
        <v>0.87250000000000005</v>
      </c>
      <c r="N48" t="s">
        <v>28</v>
      </c>
    </row>
    <row r="49" spans="1:14">
      <c r="A49">
        <v>1679</v>
      </c>
      <c r="B49" s="4">
        <v>44827</v>
      </c>
      <c r="C49" s="5">
        <v>0.33888888888888891</v>
      </c>
      <c r="D49" t="s">
        <v>67</v>
      </c>
      <c r="E49" t="s">
        <v>23</v>
      </c>
      <c r="F49">
        <v>18</v>
      </c>
      <c r="G49" t="s">
        <v>20</v>
      </c>
      <c r="H49">
        <v>3</v>
      </c>
      <c r="I49">
        <v>30</v>
      </c>
      <c r="J49">
        <v>15.3</v>
      </c>
      <c r="K49">
        <v>90</v>
      </c>
      <c r="L49">
        <v>74.7</v>
      </c>
      <c r="M49">
        <v>0.83000000000000007</v>
      </c>
      <c r="N49" t="s">
        <v>31</v>
      </c>
    </row>
    <row r="50" spans="1:14">
      <c r="A50">
        <v>1746</v>
      </c>
      <c r="B50" s="4">
        <v>44725</v>
      </c>
      <c r="C50" s="5">
        <v>0.33263888888888887</v>
      </c>
      <c r="D50" t="s">
        <v>68</v>
      </c>
      <c r="E50" t="s">
        <v>23</v>
      </c>
      <c r="F50">
        <v>33</v>
      </c>
      <c r="G50" t="s">
        <v>17</v>
      </c>
      <c r="H50">
        <v>3</v>
      </c>
      <c r="I50">
        <v>30</v>
      </c>
      <c r="J50">
        <v>10.8</v>
      </c>
      <c r="K50">
        <v>90</v>
      </c>
      <c r="L50">
        <v>79.2</v>
      </c>
      <c r="M50">
        <v>0.88</v>
      </c>
      <c r="N50" t="s">
        <v>39</v>
      </c>
    </row>
    <row r="51" spans="1:14">
      <c r="A51">
        <v>3</v>
      </c>
      <c r="B51" s="4">
        <v>44726</v>
      </c>
      <c r="C51" s="5">
        <v>0.29722222222222222</v>
      </c>
      <c r="D51" t="s">
        <v>69</v>
      </c>
      <c r="E51" t="s">
        <v>16</v>
      </c>
      <c r="F51">
        <v>50</v>
      </c>
      <c r="G51" t="s">
        <v>30</v>
      </c>
      <c r="H51">
        <v>1</v>
      </c>
      <c r="I51">
        <v>30</v>
      </c>
      <c r="J51">
        <v>8.1</v>
      </c>
      <c r="K51">
        <v>30</v>
      </c>
      <c r="L51">
        <v>21.9</v>
      </c>
      <c r="M51">
        <v>0.73</v>
      </c>
      <c r="N51" t="s">
        <v>21</v>
      </c>
    </row>
    <row r="52" spans="1:14">
      <c r="A52">
        <v>464</v>
      </c>
      <c r="B52" s="4">
        <v>44626</v>
      </c>
      <c r="C52" s="5">
        <v>0.46736111111111112</v>
      </c>
      <c r="D52" t="s">
        <v>70</v>
      </c>
      <c r="E52" t="s">
        <v>16</v>
      </c>
      <c r="F52">
        <v>38</v>
      </c>
      <c r="G52" t="s">
        <v>30</v>
      </c>
      <c r="H52">
        <v>2</v>
      </c>
      <c r="I52">
        <v>300</v>
      </c>
      <c r="J52">
        <v>75</v>
      </c>
      <c r="K52">
        <v>600</v>
      </c>
      <c r="L52">
        <v>525</v>
      </c>
      <c r="M52">
        <v>0.875</v>
      </c>
      <c r="N52" t="s">
        <v>18</v>
      </c>
    </row>
    <row r="53" spans="1:14">
      <c r="A53">
        <v>484</v>
      </c>
      <c r="B53" s="4">
        <v>44633</v>
      </c>
      <c r="C53" s="5">
        <v>0.32777777777777778</v>
      </c>
      <c r="D53" t="s">
        <v>71</v>
      </c>
      <c r="E53" t="s">
        <v>23</v>
      </c>
      <c r="F53">
        <v>19</v>
      </c>
      <c r="G53" t="s">
        <v>17</v>
      </c>
      <c r="H53">
        <v>4</v>
      </c>
      <c r="I53">
        <v>300</v>
      </c>
      <c r="J53">
        <v>75</v>
      </c>
      <c r="K53">
        <v>1200</v>
      </c>
      <c r="L53">
        <v>1125</v>
      </c>
      <c r="M53">
        <v>0.9375</v>
      </c>
      <c r="N53" t="s">
        <v>31</v>
      </c>
    </row>
    <row r="54" spans="1:14">
      <c r="A54">
        <v>591</v>
      </c>
      <c r="B54" s="4">
        <v>44641</v>
      </c>
      <c r="C54" s="5">
        <v>0.35972222222222222</v>
      </c>
      <c r="D54" t="s">
        <v>56</v>
      </c>
      <c r="E54" t="s">
        <v>16</v>
      </c>
      <c r="F54">
        <v>53</v>
      </c>
      <c r="G54" t="s">
        <v>30</v>
      </c>
      <c r="H54">
        <v>4</v>
      </c>
      <c r="I54">
        <v>25</v>
      </c>
      <c r="J54">
        <v>6.5</v>
      </c>
      <c r="K54">
        <v>100</v>
      </c>
      <c r="L54">
        <v>93.5</v>
      </c>
      <c r="M54">
        <v>0.93500000000000005</v>
      </c>
      <c r="N54" t="s">
        <v>21</v>
      </c>
    </row>
    <row r="55" spans="1:14">
      <c r="A55">
        <v>1003</v>
      </c>
      <c r="B55" s="4">
        <v>44587</v>
      </c>
      <c r="C55" s="5">
        <v>0.33263888888888887</v>
      </c>
      <c r="D55" t="s">
        <v>72</v>
      </c>
      <c r="E55" t="s">
        <v>16</v>
      </c>
      <c r="F55">
        <v>50</v>
      </c>
      <c r="G55" t="s">
        <v>30</v>
      </c>
      <c r="H55">
        <v>1</v>
      </c>
      <c r="I55">
        <v>30</v>
      </c>
      <c r="J55">
        <v>15.9</v>
      </c>
      <c r="K55">
        <v>30</v>
      </c>
      <c r="L55">
        <v>14.1</v>
      </c>
      <c r="M55">
        <v>0.47</v>
      </c>
      <c r="N55" t="s">
        <v>21</v>
      </c>
    </row>
    <row r="56" spans="1:14">
      <c r="A56">
        <v>1464</v>
      </c>
      <c r="B56" s="4">
        <v>44878</v>
      </c>
      <c r="C56" s="5">
        <v>0.42083333333333334</v>
      </c>
      <c r="D56" t="s">
        <v>72</v>
      </c>
      <c r="E56" t="s">
        <v>16</v>
      </c>
      <c r="F56">
        <v>38</v>
      </c>
      <c r="G56" t="s">
        <v>30</v>
      </c>
      <c r="H56">
        <v>2</v>
      </c>
      <c r="I56">
        <v>300</v>
      </c>
      <c r="J56">
        <v>126</v>
      </c>
      <c r="K56">
        <v>600</v>
      </c>
      <c r="L56">
        <v>474</v>
      </c>
      <c r="M56">
        <v>0.79</v>
      </c>
      <c r="N56" t="s">
        <v>18</v>
      </c>
    </row>
    <row r="57" spans="1:14">
      <c r="A57">
        <v>1484</v>
      </c>
      <c r="B57" s="4">
        <v>44888</v>
      </c>
      <c r="C57" s="5">
        <v>0.39513888888888887</v>
      </c>
      <c r="D57" t="s">
        <v>73</v>
      </c>
      <c r="E57" t="s">
        <v>23</v>
      </c>
      <c r="F57">
        <v>19</v>
      </c>
      <c r="G57" t="s">
        <v>17</v>
      </c>
      <c r="H57">
        <v>4</v>
      </c>
      <c r="I57">
        <v>300</v>
      </c>
      <c r="J57">
        <v>147</v>
      </c>
      <c r="K57">
        <v>1200</v>
      </c>
      <c r="L57">
        <v>1053</v>
      </c>
      <c r="M57">
        <v>0.87749999999999995</v>
      </c>
      <c r="N57" t="s">
        <v>31</v>
      </c>
    </row>
    <row r="58" spans="1:14">
      <c r="A58">
        <v>1591</v>
      </c>
      <c r="B58" s="4">
        <v>44833</v>
      </c>
      <c r="C58" s="5">
        <v>0.45833333333333331</v>
      </c>
      <c r="D58" t="s">
        <v>74</v>
      </c>
      <c r="E58" t="s">
        <v>16</v>
      </c>
      <c r="F58">
        <v>53</v>
      </c>
      <c r="G58" t="s">
        <v>30</v>
      </c>
      <c r="H58">
        <v>4</v>
      </c>
      <c r="I58">
        <v>25</v>
      </c>
      <c r="J58">
        <v>7</v>
      </c>
      <c r="K58">
        <v>100</v>
      </c>
      <c r="L58">
        <v>93</v>
      </c>
      <c r="M58">
        <v>0.93</v>
      </c>
      <c r="N58" t="s">
        <v>21</v>
      </c>
    </row>
    <row r="59" spans="1:14">
      <c r="A59">
        <v>21</v>
      </c>
      <c r="B59" s="4">
        <v>44753</v>
      </c>
      <c r="C59" s="5">
        <v>0.31458333333333333</v>
      </c>
      <c r="D59" t="s">
        <v>36</v>
      </c>
      <c r="E59" t="s">
        <v>23</v>
      </c>
      <c r="F59">
        <v>50</v>
      </c>
      <c r="G59" t="s">
        <v>20</v>
      </c>
      <c r="H59">
        <v>1</v>
      </c>
      <c r="I59">
        <v>500</v>
      </c>
      <c r="J59">
        <v>275</v>
      </c>
      <c r="K59">
        <v>500</v>
      </c>
      <c r="L59">
        <v>225</v>
      </c>
      <c r="M59">
        <v>0.45</v>
      </c>
      <c r="N59" t="s">
        <v>21</v>
      </c>
    </row>
    <row r="60" spans="1:14">
      <c r="A60">
        <v>708</v>
      </c>
      <c r="B60" s="4">
        <v>44657</v>
      </c>
      <c r="C60" s="5">
        <v>0.35972222222222222</v>
      </c>
      <c r="D60" t="s">
        <v>74</v>
      </c>
      <c r="E60" t="s">
        <v>23</v>
      </c>
      <c r="F60">
        <v>43</v>
      </c>
      <c r="G60" t="s">
        <v>20</v>
      </c>
      <c r="H60">
        <v>3</v>
      </c>
      <c r="I60">
        <v>300</v>
      </c>
      <c r="J60">
        <v>87</v>
      </c>
      <c r="K60">
        <v>900</v>
      </c>
      <c r="L60">
        <v>813</v>
      </c>
      <c r="M60">
        <v>0.90333333333333332</v>
      </c>
      <c r="N60" t="s">
        <v>18</v>
      </c>
    </row>
    <row r="61" spans="1:14">
      <c r="A61">
        <v>713</v>
      </c>
      <c r="B61" s="4">
        <v>44667</v>
      </c>
      <c r="C61" s="5">
        <v>0.48819444444444443</v>
      </c>
      <c r="D61" t="s">
        <v>75</v>
      </c>
      <c r="E61" t="s">
        <v>16</v>
      </c>
      <c r="F61">
        <v>34</v>
      </c>
      <c r="G61" t="s">
        <v>20</v>
      </c>
      <c r="H61">
        <v>3</v>
      </c>
      <c r="I61">
        <v>25</v>
      </c>
      <c r="J61">
        <v>11.25</v>
      </c>
      <c r="K61">
        <v>75</v>
      </c>
      <c r="L61">
        <v>63.75</v>
      </c>
      <c r="M61">
        <v>0.85</v>
      </c>
      <c r="N61" t="s">
        <v>39</v>
      </c>
    </row>
    <row r="62" spans="1:14">
      <c r="A62">
        <v>768</v>
      </c>
      <c r="B62" s="4">
        <v>44739</v>
      </c>
      <c r="C62" s="5">
        <v>0.28472222222222221</v>
      </c>
      <c r="D62" t="s">
        <v>35</v>
      </c>
      <c r="E62" t="s">
        <v>23</v>
      </c>
      <c r="F62">
        <v>24</v>
      </c>
      <c r="G62" t="s">
        <v>20</v>
      </c>
      <c r="H62">
        <v>3</v>
      </c>
      <c r="I62">
        <v>25</v>
      </c>
      <c r="J62">
        <v>10.5</v>
      </c>
      <c r="K62">
        <v>75</v>
      </c>
      <c r="L62">
        <v>64.5</v>
      </c>
      <c r="M62">
        <v>0.86</v>
      </c>
      <c r="N62" t="s">
        <v>31</v>
      </c>
    </row>
    <row r="63" spans="1:14">
      <c r="A63">
        <v>1021</v>
      </c>
      <c r="B63" s="4">
        <v>44723</v>
      </c>
      <c r="C63" s="5">
        <v>0.42986111111111114</v>
      </c>
      <c r="D63" t="s">
        <v>76</v>
      </c>
      <c r="E63" t="s">
        <v>23</v>
      </c>
      <c r="F63">
        <v>50</v>
      </c>
      <c r="G63" t="s">
        <v>20</v>
      </c>
      <c r="H63">
        <v>1</v>
      </c>
      <c r="I63">
        <v>500</v>
      </c>
      <c r="J63">
        <v>155</v>
      </c>
      <c r="K63">
        <v>500</v>
      </c>
      <c r="L63">
        <v>345</v>
      </c>
      <c r="M63">
        <v>0.69</v>
      </c>
      <c r="N63" t="s">
        <v>21</v>
      </c>
    </row>
    <row r="64" spans="1:14">
      <c r="A64">
        <v>1708</v>
      </c>
      <c r="B64" s="4">
        <v>44600</v>
      </c>
      <c r="C64" s="5">
        <v>0.32430555555555557</v>
      </c>
      <c r="D64" t="s">
        <v>77</v>
      </c>
      <c r="E64" t="s">
        <v>23</v>
      </c>
      <c r="F64">
        <v>43</v>
      </c>
      <c r="G64" t="s">
        <v>20</v>
      </c>
      <c r="H64">
        <v>3</v>
      </c>
      <c r="I64">
        <v>300</v>
      </c>
      <c r="J64">
        <v>162</v>
      </c>
      <c r="K64">
        <v>900</v>
      </c>
      <c r="L64">
        <v>738</v>
      </c>
      <c r="M64">
        <v>0.82</v>
      </c>
      <c r="N64" t="s">
        <v>18</v>
      </c>
    </row>
    <row r="65" spans="1:14">
      <c r="A65">
        <v>1713</v>
      </c>
      <c r="B65" s="4">
        <v>44837</v>
      </c>
      <c r="C65" s="5">
        <v>0.4236111111111111</v>
      </c>
      <c r="D65" t="s">
        <v>78</v>
      </c>
      <c r="E65" t="s">
        <v>16</v>
      </c>
      <c r="F65">
        <v>34</v>
      </c>
      <c r="G65" t="s">
        <v>20</v>
      </c>
      <c r="H65">
        <v>3</v>
      </c>
      <c r="I65">
        <v>25</v>
      </c>
      <c r="J65">
        <v>10.75</v>
      </c>
      <c r="K65">
        <v>75</v>
      </c>
      <c r="L65">
        <v>64.25</v>
      </c>
      <c r="M65">
        <v>0.85666666666666669</v>
      </c>
      <c r="N65" t="s">
        <v>39</v>
      </c>
    </row>
    <row r="66" spans="1:14">
      <c r="A66">
        <v>1768</v>
      </c>
      <c r="B66" s="4">
        <v>44773</v>
      </c>
      <c r="C66" s="5">
        <v>0.41111111111111109</v>
      </c>
      <c r="D66" t="s">
        <v>24</v>
      </c>
      <c r="E66" t="s">
        <v>23</v>
      </c>
      <c r="F66">
        <v>24</v>
      </c>
      <c r="G66" t="s">
        <v>20</v>
      </c>
      <c r="H66">
        <v>3</v>
      </c>
      <c r="I66">
        <v>25</v>
      </c>
      <c r="J66">
        <v>8.75</v>
      </c>
      <c r="K66">
        <v>75</v>
      </c>
      <c r="L66">
        <v>66.25</v>
      </c>
      <c r="M66">
        <v>0.8833333333333333</v>
      </c>
      <c r="N66" t="s">
        <v>31</v>
      </c>
    </row>
    <row r="67" spans="1:14">
      <c r="A67">
        <v>499</v>
      </c>
      <c r="B67" s="4">
        <v>44654</v>
      </c>
      <c r="C67" s="5">
        <v>0.45277777777777778</v>
      </c>
      <c r="D67" t="s">
        <v>60</v>
      </c>
      <c r="E67" t="s">
        <v>16</v>
      </c>
      <c r="F67">
        <v>46</v>
      </c>
      <c r="G67" t="s">
        <v>20</v>
      </c>
      <c r="H67">
        <v>2</v>
      </c>
      <c r="I67">
        <v>30</v>
      </c>
      <c r="J67">
        <v>16.5</v>
      </c>
      <c r="K67">
        <v>60</v>
      </c>
      <c r="L67">
        <v>43.5</v>
      </c>
      <c r="M67">
        <v>0.72499999999999998</v>
      </c>
      <c r="N67" t="s">
        <v>21</v>
      </c>
    </row>
    <row r="68" spans="1:14">
      <c r="A68">
        <v>697</v>
      </c>
      <c r="B68" s="4">
        <v>44920</v>
      </c>
      <c r="C68" s="5">
        <v>0.32777777777777778</v>
      </c>
      <c r="D68" t="s">
        <v>79</v>
      </c>
      <c r="E68" t="s">
        <v>16</v>
      </c>
      <c r="F68">
        <v>53</v>
      </c>
      <c r="G68" t="s">
        <v>17</v>
      </c>
      <c r="H68">
        <v>1</v>
      </c>
      <c r="I68">
        <v>500</v>
      </c>
      <c r="J68">
        <v>200</v>
      </c>
      <c r="K68">
        <v>500</v>
      </c>
      <c r="L68">
        <v>300</v>
      </c>
      <c r="M68">
        <v>0.6</v>
      </c>
      <c r="N68" t="s">
        <v>21</v>
      </c>
    </row>
    <row r="69" spans="1:14">
      <c r="A69">
        <v>831</v>
      </c>
      <c r="B69" s="4">
        <v>44895</v>
      </c>
      <c r="C69" s="5">
        <v>0.49236111111111114</v>
      </c>
      <c r="D69" t="s">
        <v>80</v>
      </c>
      <c r="E69" t="s">
        <v>16</v>
      </c>
      <c r="F69">
        <v>27</v>
      </c>
      <c r="G69" t="s">
        <v>30</v>
      </c>
      <c r="H69">
        <v>4</v>
      </c>
      <c r="I69">
        <v>25</v>
      </c>
      <c r="J69">
        <v>13.75</v>
      </c>
      <c r="K69">
        <v>100</v>
      </c>
      <c r="L69">
        <v>86.25</v>
      </c>
      <c r="M69">
        <v>0.86250000000000004</v>
      </c>
      <c r="N69" t="s">
        <v>39</v>
      </c>
    </row>
    <row r="70" spans="1:14">
      <c r="A70">
        <v>1499</v>
      </c>
      <c r="B70" s="4">
        <v>44827</v>
      </c>
      <c r="C70" s="5">
        <v>0.40694444444444444</v>
      </c>
      <c r="D70" t="s">
        <v>81</v>
      </c>
      <c r="E70" t="s">
        <v>16</v>
      </c>
      <c r="F70">
        <v>46</v>
      </c>
      <c r="G70" t="s">
        <v>20</v>
      </c>
      <c r="H70">
        <v>2</v>
      </c>
      <c r="I70">
        <v>30</v>
      </c>
      <c r="J70">
        <v>11.7</v>
      </c>
      <c r="K70">
        <v>60</v>
      </c>
      <c r="L70">
        <v>48.3</v>
      </c>
      <c r="M70">
        <v>0.80499999999999994</v>
      </c>
      <c r="N70" t="s">
        <v>21</v>
      </c>
    </row>
    <row r="71" spans="1:14">
      <c r="A71">
        <v>1697</v>
      </c>
      <c r="B71" s="4">
        <v>44913</v>
      </c>
      <c r="C71" s="5">
        <v>0.34861111111111109</v>
      </c>
      <c r="D71" t="s">
        <v>29</v>
      </c>
      <c r="E71" t="s">
        <v>16</v>
      </c>
      <c r="F71">
        <v>53</v>
      </c>
      <c r="G71" t="s">
        <v>17</v>
      </c>
      <c r="H71">
        <v>1</v>
      </c>
      <c r="I71">
        <v>500</v>
      </c>
      <c r="J71">
        <v>265</v>
      </c>
      <c r="K71">
        <v>500</v>
      </c>
      <c r="L71">
        <v>235</v>
      </c>
      <c r="M71">
        <v>0.47</v>
      </c>
      <c r="N71" t="s">
        <v>21</v>
      </c>
    </row>
    <row r="72" spans="1:14">
      <c r="A72">
        <v>1831</v>
      </c>
      <c r="B72" s="4">
        <v>44646</v>
      </c>
      <c r="C72" s="5">
        <v>0.45416666666666666</v>
      </c>
      <c r="D72" t="s">
        <v>72</v>
      </c>
      <c r="E72" t="s">
        <v>16</v>
      </c>
      <c r="F72">
        <v>27</v>
      </c>
      <c r="G72" t="s">
        <v>30</v>
      </c>
      <c r="H72">
        <v>4</v>
      </c>
      <c r="I72">
        <v>25</v>
      </c>
      <c r="J72">
        <v>6.5</v>
      </c>
      <c r="K72">
        <v>100</v>
      </c>
      <c r="L72">
        <v>93.5</v>
      </c>
      <c r="M72">
        <v>0.93500000000000005</v>
      </c>
      <c r="N72" t="s">
        <v>39</v>
      </c>
    </row>
    <row r="73" spans="1:14">
      <c r="A73">
        <v>15</v>
      </c>
      <c r="B73" s="4">
        <v>44743</v>
      </c>
      <c r="C73" s="5">
        <v>0.49305555555555558</v>
      </c>
      <c r="D73" t="s">
        <v>82</v>
      </c>
      <c r="E73" t="s">
        <v>23</v>
      </c>
      <c r="F73">
        <v>42</v>
      </c>
      <c r="G73" t="s">
        <v>30</v>
      </c>
      <c r="H73">
        <v>4</v>
      </c>
      <c r="I73">
        <v>500</v>
      </c>
      <c r="J73">
        <v>210</v>
      </c>
      <c r="K73">
        <v>2000</v>
      </c>
      <c r="L73">
        <v>1790</v>
      </c>
      <c r="M73">
        <v>0.89500000000000002</v>
      </c>
      <c r="N73" t="s">
        <v>18</v>
      </c>
    </row>
    <row r="74" spans="1:14">
      <c r="A74">
        <v>743</v>
      </c>
      <c r="B74" s="4">
        <v>44780</v>
      </c>
      <c r="C74" s="5">
        <v>0.32916666666666666</v>
      </c>
      <c r="D74" t="s">
        <v>83</v>
      </c>
      <c r="E74" t="s">
        <v>23</v>
      </c>
      <c r="F74">
        <v>34</v>
      </c>
      <c r="G74" t="s">
        <v>20</v>
      </c>
      <c r="H74">
        <v>4</v>
      </c>
      <c r="I74">
        <v>500</v>
      </c>
      <c r="J74">
        <v>260</v>
      </c>
      <c r="K74">
        <v>2000</v>
      </c>
      <c r="L74">
        <v>1740</v>
      </c>
      <c r="M74">
        <v>0.87</v>
      </c>
      <c r="N74" t="s">
        <v>39</v>
      </c>
    </row>
    <row r="75" spans="1:14">
      <c r="A75">
        <v>1015</v>
      </c>
      <c r="B75" s="4">
        <v>44629</v>
      </c>
      <c r="C75" s="5">
        <v>0.49513888888888891</v>
      </c>
      <c r="D75" t="s">
        <v>56</v>
      </c>
      <c r="E75" t="s">
        <v>23</v>
      </c>
      <c r="F75">
        <v>42</v>
      </c>
      <c r="G75" t="s">
        <v>30</v>
      </c>
      <c r="H75">
        <v>4</v>
      </c>
      <c r="I75">
        <v>500</v>
      </c>
      <c r="J75">
        <v>200</v>
      </c>
      <c r="K75">
        <v>2000</v>
      </c>
      <c r="L75">
        <v>1800</v>
      </c>
      <c r="M75">
        <v>0.9</v>
      </c>
      <c r="N75" t="s">
        <v>18</v>
      </c>
    </row>
    <row r="76" spans="1:14">
      <c r="A76">
        <v>1743</v>
      </c>
      <c r="B76" s="4">
        <v>44860</v>
      </c>
      <c r="C76" s="5">
        <v>0.40069444444444446</v>
      </c>
      <c r="D76" t="s">
        <v>84</v>
      </c>
      <c r="E76" t="s">
        <v>23</v>
      </c>
      <c r="F76">
        <v>34</v>
      </c>
      <c r="G76" t="s">
        <v>20</v>
      </c>
      <c r="H76">
        <v>4</v>
      </c>
      <c r="I76">
        <v>500</v>
      </c>
      <c r="J76">
        <v>250</v>
      </c>
      <c r="K76">
        <v>2000</v>
      </c>
      <c r="L76">
        <v>1750</v>
      </c>
      <c r="M76">
        <v>0.875</v>
      </c>
      <c r="N76" t="s">
        <v>39</v>
      </c>
    </row>
    <row r="77" spans="1:14">
      <c r="A77">
        <v>14</v>
      </c>
      <c r="B77" s="4">
        <v>44699</v>
      </c>
      <c r="C77" s="5">
        <v>0.29930555555555555</v>
      </c>
      <c r="D77" t="s">
        <v>85</v>
      </c>
      <c r="E77" t="s">
        <v>16</v>
      </c>
      <c r="F77">
        <v>64</v>
      </c>
      <c r="G77" t="s">
        <v>17</v>
      </c>
      <c r="H77">
        <v>4</v>
      </c>
      <c r="I77">
        <v>30</v>
      </c>
      <c r="J77">
        <v>13.2</v>
      </c>
      <c r="K77">
        <v>120</v>
      </c>
      <c r="L77">
        <v>106.8</v>
      </c>
      <c r="M77">
        <v>0.89</v>
      </c>
      <c r="N77" t="s">
        <v>28</v>
      </c>
    </row>
    <row r="78" spans="1:14">
      <c r="A78">
        <v>103</v>
      </c>
      <c r="B78" s="4">
        <v>44877</v>
      </c>
      <c r="C78" s="5">
        <v>0.4201388888888889</v>
      </c>
      <c r="D78" t="s">
        <v>86</v>
      </c>
      <c r="E78" t="s">
        <v>23</v>
      </c>
      <c r="F78">
        <v>59</v>
      </c>
      <c r="G78" t="s">
        <v>17</v>
      </c>
      <c r="H78">
        <v>1</v>
      </c>
      <c r="I78">
        <v>25</v>
      </c>
      <c r="J78">
        <v>10.75</v>
      </c>
      <c r="K78">
        <v>25</v>
      </c>
      <c r="L78">
        <v>14.25</v>
      </c>
      <c r="M78">
        <v>0.56999999999999995</v>
      </c>
      <c r="N78" t="s">
        <v>28</v>
      </c>
    </row>
    <row r="79" spans="1:14">
      <c r="A79">
        <v>238</v>
      </c>
      <c r="B79" s="4">
        <v>44691</v>
      </c>
      <c r="C79" s="5">
        <v>0.49444444444444446</v>
      </c>
      <c r="D79" t="s">
        <v>87</v>
      </c>
      <c r="E79" t="s">
        <v>23</v>
      </c>
      <c r="F79">
        <v>39</v>
      </c>
      <c r="G79" t="s">
        <v>20</v>
      </c>
      <c r="H79">
        <v>1</v>
      </c>
      <c r="I79">
        <v>500</v>
      </c>
      <c r="J79">
        <v>150</v>
      </c>
      <c r="K79">
        <v>500</v>
      </c>
      <c r="L79">
        <v>350</v>
      </c>
      <c r="M79">
        <v>0.7</v>
      </c>
      <c r="N79" t="s">
        <v>18</v>
      </c>
    </row>
    <row r="80" spans="1:14">
      <c r="A80">
        <v>986</v>
      </c>
      <c r="B80" s="4">
        <v>44774</v>
      </c>
      <c r="C80" s="5">
        <v>0.39930555555555558</v>
      </c>
      <c r="D80" t="s">
        <v>88</v>
      </c>
      <c r="E80" t="s">
        <v>23</v>
      </c>
      <c r="F80">
        <v>49</v>
      </c>
      <c r="G80" t="s">
        <v>17</v>
      </c>
      <c r="H80">
        <v>2</v>
      </c>
      <c r="I80">
        <v>500</v>
      </c>
      <c r="J80">
        <v>200</v>
      </c>
      <c r="K80">
        <v>1000</v>
      </c>
      <c r="L80">
        <v>800</v>
      </c>
      <c r="M80">
        <v>0.8</v>
      </c>
      <c r="N80" t="s">
        <v>21</v>
      </c>
    </row>
    <row r="81" spans="1:14">
      <c r="A81">
        <v>1014</v>
      </c>
      <c r="B81" s="4">
        <v>44596</v>
      </c>
      <c r="C81" s="5">
        <v>0.43472222222222223</v>
      </c>
      <c r="D81" t="s">
        <v>59</v>
      </c>
      <c r="E81" t="s">
        <v>16</v>
      </c>
      <c r="F81">
        <v>64</v>
      </c>
      <c r="G81" t="s">
        <v>17</v>
      </c>
      <c r="H81">
        <v>4</v>
      </c>
      <c r="I81">
        <v>30</v>
      </c>
      <c r="J81">
        <v>11.4</v>
      </c>
      <c r="K81">
        <v>120</v>
      </c>
      <c r="L81">
        <v>108.6</v>
      </c>
      <c r="M81">
        <v>0.90499999999999992</v>
      </c>
      <c r="N81" t="s">
        <v>28</v>
      </c>
    </row>
    <row r="82" spans="1:14">
      <c r="A82">
        <v>1103</v>
      </c>
      <c r="B82" s="4">
        <v>44606</v>
      </c>
      <c r="C82" s="5">
        <v>0.29930555555555555</v>
      </c>
      <c r="D82" t="s">
        <v>89</v>
      </c>
      <c r="E82" t="s">
        <v>23</v>
      </c>
      <c r="F82">
        <v>59</v>
      </c>
      <c r="G82" t="s">
        <v>17</v>
      </c>
      <c r="H82">
        <v>1</v>
      </c>
      <c r="I82">
        <v>25</v>
      </c>
      <c r="J82">
        <v>6.75</v>
      </c>
      <c r="K82">
        <v>25</v>
      </c>
      <c r="L82">
        <v>18.25</v>
      </c>
      <c r="M82">
        <v>0.73</v>
      </c>
      <c r="N82" t="s">
        <v>28</v>
      </c>
    </row>
    <row r="83" spans="1:14">
      <c r="A83">
        <v>1238</v>
      </c>
      <c r="B83" s="4">
        <v>44821</v>
      </c>
      <c r="C83" s="5">
        <v>0.31805555555555554</v>
      </c>
      <c r="D83" t="s">
        <v>90</v>
      </c>
      <c r="E83" t="s">
        <v>23</v>
      </c>
      <c r="F83">
        <v>39</v>
      </c>
      <c r="G83" t="s">
        <v>20</v>
      </c>
      <c r="H83">
        <v>1</v>
      </c>
      <c r="I83">
        <v>500</v>
      </c>
      <c r="J83">
        <v>165</v>
      </c>
      <c r="K83">
        <v>500</v>
      </c>
      <c r="L83">
        <v>335</v>
      </c>
      <c r="M83">
        <v>0.67</v>
      </c>
      <c r="N83" t="s">
        <v>18</v>
      </c>
    </row>
    <row r="84" spans="1:14">
      <c r="A84">
        <v>1986</v>
      </c>
      <c r="B84" s="4">
        <v>44818</v>
      </c>
      <c r="C84" s="5">
        <v>0.3527777777777778</v>
      </c>
      <c r="D84" t="s">
        <v>91</v>
      </c>
      <c r="E84" t="s">
        <v>23</v>
      </c>
      <c r="F84">
        <v>49</v>
      </c>
      <c r="G84" t="s">
        <v>17</v>
      </c>
      <c r="H84">
        <v>2</v>
      </c>
      <c r="I84">
        <v>500</v>
      </c>
      <c r="J84">
        <v>145</v>
      </c>
      <c r="K84">
        <v>1000</v>
      </c>
      <c r="L84">
        <v>855</v>
      </c>
      <c r="M84">
        <v>0.85499999999999998</v>
      </c>
      <c r="N84" t="s">
        <v>21</v>
      </c>
    </row>
    <row r="85" spans="1:14">
      <c r="A85">
        <v>438</v>
      </c>
      <c r="B85" s="4">
        <v>44804</v>
      </c>
      <c r="C85" s="5">
        <v>0.42708333333333331</v>
      </c>
      <c r="D85" t="s">
        <v>68</v>
      </c>
      <c r="E85" t="s">
        <v>23</v>
      </c>
      <c r="F85">
        <v>42</v>
      </c>
      <c r="G85" t="s">
        <v>17</v>
      </c>
      <c r="H85">
        <v>1</v>
      </c>
      <c r="I85">
        <v>30</v>
      </c>
      <c r="J85">
        <v>15.9</v>
      </c>
      <c r="K85">
        <v>30</v>
      </c>
      <c r="L85">
        <v>14.1</v>
      </c>
      <c r="M85">
        <v>0.47</v>
      </c>
      <c r="N85" t="s">
        <v>18</v>
      </c>
    </row>
    <row r="86" spans="1:14">
      <c r="A86">
        <v>1438</v>
      </c>
      <c r="B86" s="4">
        <v>44568</v>
      </c>
      <c r="C86" s="5">
        <v>0.41666666666666669</v>
      </c>
      <c r="D86" t="s">
        <v>62</v>
      </c>
      <c r="E86" t="s">
        <v>23</v>
      </c>
      <c r="F86">
        <v>42</v>
      </c>
      <c r="G86" t="s">
        <v>17</v>
      </c>
      <c r="H86">
        <v>1</v>
      </c>
      <c r="I86">
        <v>30</v>
      </c>
      <c r="J86">
        <v>13.8</v>
      </c>
      <c r="K86">
        <v>30</v>
      </c>
      <c r="L86">
        <v>16.2</v>
      </c>
      <c r="M86">
        <v>0.53999999999999992</v>
      </c>
      <c r="N86" t="s">
        <v>18</v>
      </c>
    </row>
    <row r="87" spans="1:14">
      <c r="A87">
        <v>475</v>
      </c>
      <c r="B87" s="4">
        <v>44785</v>
      </c>
      <c r="C87" s="5">
        <v>0.44374999999999998</v>
      </c>
      <c r="D87" t="s">
        <v>92</v>
      </c>
      <c r="E87" t="s">
        <v>16</v>
      </c>
      <c r="F87">
        <v>26</v>
      </c>
      <c r="G87" t="s">
        <v>17</v>
      </c>
      <c r="H87">
        <v>3</v>
      </c>
      <c r="I87">
        <v>25</v>
      </c>
      <c r="J87">
        <v>9</v>
      </c>
      <c r="K87">
        <v>75</v>
      </c>
      <c r="L87">
        <v>66</v>
      </c>
      <c r="M87">
        <v>0.88</v>
      </c>
      <c r="N87" t="s">
        <v>39</v>
      </c>
    </row>
    <row r="88" spans="1:14">
      <c r="A88">
        <v>505</v>
      </c>
      <c r="B88" s="4">
        <v>44912</v>
      </c>
      <c r="C88" s="5">
        <v>0.30902777777777779</v>
      </c>
      <c r="D88" t="s">
        <v>93</v>
      </c>
      <c r="E88" t="s">
        <v>16</v>
      </c>
      <c r="F88">
        <v>24</v>
      </c>
      <c r="G88" t="s">
        <v>20</v>
      </c>
      <c r="H88">
        <v>1</v>
      </c>
      <c r="I88">
        <v>50</v>
      </c>
      <c r="J88">
        <v>19.5</v>
      </c>
      <c r="K88">
        <v>50</v>
      </c>
      <c r="L88">
        <v>30.5</v>
      </c>
      <c r="M88">
        <v>0.61</v>
      </c>
      <c r="N88" t="s">
        <v>31</v>
      </c>
    </row>
    <row r="89" spans="1:14">
      <c r="A89">
        <v>1475</v>
      </c>
      <c r="B89" s="4">
        <v>44838</v>
      </c>
      <c r="C89" s="5">
        <v>0.29375000000000001</v>
      </c>
      <c r="D89" t="s">
        <v>94</v>
      </c>
      <c r="E89" t="s">
        <v>16</v>
      </c>
      <c r="F89">
        <v>26</v>
      </c>
      <c r="G89" t="s">
        <v>17</v>
      </c>
      <c r="H89">
        <v>3</v>
      </c>
      <c r="I89">
        <v>25</v>
      </c>
      <c r="J89">
        <v>10.75</v>
      </c>
      <c r="K89">
        <v>75</v>
      </c>
      <c r="L89">
        <v>64.25</v>
      </c>
      <c r="M89">
        <v>0.85666666666666669</v>
      </c>
      <c r="N89" t="s">
        <v>39</v>
      </c>
    </row>
    <row r="90" spans="1:14">
      <c r="A90">
        <v>1505</v>
      </c>
      <c r="B90" s="4">
        <v>44864</v>
      </c>
      <c r="C90" s="5">
        <v>0.33333333333333331</v>
      </c>
      <c r="D90" t="s">
        <v>45</v>
      </c>
      <c r="E90" t="s">
        <v>16</v>
      </c>
      <c r="F90">
        <v>24</v>
      </c>
      <c r="G90" t="s">
        <v>20</v>
      </c>
      <c r="H90">
        <v>1</v>
      </c>
      <c r="I90">
        <v>50</v>
      </c>
      <c r="J90">
        <v>14.5</v>
      </c>
      <c r="K90">
        <v>50</v>
      </c>
      <c r="L90">
        <v>35.5</v>
      </c>
      <c r="M90">
        <v>0.71</v>
      </c>
      <c r="N90" t="s">
        <v>31</v>
      </c>
    </row>
    <row r="91" spans="1:14">
      <c r="A91">
        <v>344</v>
      </c>
      <c r="B91" s="4">
        <v>44759</v>
      </c>
      <c r="C91" s="5">
        <v>0.40763888888888888</v>
      </c>
      <c r="D91" t="s">
        <v>95</v>
      </c>
      <c r="E91" t="s">
        <v>23</v>
      </c>
      <c r="F91">
        <v>42</v>
      </c>
      <c r="G91" t="s">
        <v>20</v>
      </c>
      <c r="H91">
        <v>1</v>
      </c>
      <c r="I91">
        <v>30</v>
      </c>
      <c r="J91">
        <v>7.5</v>
      </c>
      <c r="K91">
        <v>30</v>
      </c>
      <c r="L91">
        <v>22.5</v>
      </c>
      <c r="M91">
        <v>0.75</v>
      </c>
      <c r="N91" t="s">
        <v>18</v>
      </c>
    </row>
    <row r="92" spans="1:14">
      <c r="A92">
        <v>448</v>
      </c>
      <c r="B92" s="4">
        <v>44639</v>
      </c>
      <c r="C92" s="5">
        <v>0.4</v>
      </c>
      <c r="D92" t="s">
        <v>93</v>
      </c>
      <c r="E92" t="s">
        <v>23</v>
      </c>
      <c r="F92">
        <v>54</v>
      </c>
      <c r="G92" t="s">
        <v>20</v>
      </c>
      <c r="H92">
        <v>2</v>
      </c>
      <c r="I92">
        <v>30</v>
      </c>
      <c r="J92">
        <v>16.2</v>
      </c>
      <c r="K92">
        <v>60</v>
      </c>
      <c r="L92">
        <v>43.8</v>
      </c>
      <c r="M92">
        <v>0.73</v>
      </c>
      <c r="N92" t="s">
        <v>21</v>
      </c>
    </row>
    <row r="93" spans="1:14">
      <c r="A93">
        <v>742</v>
      </c>
      <c r="B93" s="4">
        <v>44639</v>
      </c>
      <c r="C93" s="5">
        <v>0.25555555555555554</v>
      </c>
      <c r="D93" t="s">
        <v>96</v>
      </c>
      <c r="E93" t="s">
        <v>23</v>
      </c>
      <c r="F93">
        <v>38</v>
      </c>
      <c r="G93" t="s">
        <v>30</v>
      </c>
      <c r="H93">
        <v>4</v>
      </c>
      <c r="I93">
        <v>500</v>
      </c>
      <c r="J93">
        <v>195</v>
      </c>
      <c r="K93">
        <v>2000</v>
      </c>
      <c r="L93">
        <v>1805</v>
      </c>
      <c r="M93">
        <v>0.90249999999999997</v>
      </c>
      <c r="N93" t="s">
        <v>18</v>
      </c>
    </row>
    <row r="94" spans="1:14">
      <c r="A94">
        <v>1344</v>
      </c>
      <c r="B94" s="4">
        <v>44913</v>
      </c>
      <c r="C94" s="5">
        <v>0.25833333333333336</v>
      </c>
      <c r="D94" t="s">
        <v>27</v>
      </c>
      <c r="E94" t="s">
        <v>23</v>
      </c>
      <c r="F94">
        <v>42</v>
      </c>
      <c r="G94" t="s">
        <v>20</v>
      </c>
      <c r="H94">
        <v>1</v>
      </c>
      <c r="I94">
        <v>30</v>
      </c>
      <c r="J94">
        <v>11.1</v>
      </c>
      <c r="K94">
        <v>30</v>
      </c>
      <c r="L94">
        <v>18.899999999999999</v>
      </c>
      <c r="M94">
        <v>0.63</v>
      </c>
      <c r="N94" t="s">
        <v>18</v>
      </c>
    </row>
    <row r="95" spans="1:14">
      <c r="A95">
        <v>1448</v>
      </c>
      <c r="B95" s="4">
        <v>44697</v>
      </c>
      <c r="C95" s="5">
        <v>0.26944444444444443</v>
      </c>
      <c r="D95" t="s">
        <v>97</v>
      </c>
      <c r="E95" t="s">
        <v>23</v>
      </c>
      <c r="F95">
        <v>54</v>
      </c>
      <c r="G95" t="s">
        <v>20</v>
      </c>
      <c r="H95">
        <v>2</v>
      </c>
      <c r="I95">
        <v>30</v>
      </c>
      <c r="J95">
        <v>9.3000000000000007</v>
      </c>
      <c r="K95">
        <v>60</v>
      </c>
      <c r="L95">
        <v>50.7</v>
      </c>
      <c r="M95">
        <v>0.84500000000000008</v>
      </c>
      <c r="N95" t="s">
        <v>21</v>
      </c>
    </row>
    <row r="96" spans="1:14">
      <c r="A96">
        <v>1742</v>
      </c>
      <c r="B96" s="4">
        <v>44887</v>
      </c>
      <c r="C96" s="5">
        <v>0.35069444444444442</v>
      </c>
      <c r="D96" t="s">
        <v>98</v>
      </c>
      <c r="E96" t="s">
        <v>23</v>
      </c>
      <c r="F96">
        <v>38</v>
      </c>
      <c r="G96" t="s">
        <v>30</v>
      </c>
      <c r="H96">
        <v>4</v>
      </c>
      <c r="I96">
        <v>500</v>
      </c>
      <c r="J96">
        <v>220</v>
      </c>
      <c r="K96">
        <v>2000</v>
      </c>
      <c r="L96">
        <v>1780</v>
      </c>
      <c r="M96">
        <v>0.89</v>
      </c>
      <c r="N96" t="s">
        <v>18</v>
      </c>
    </row>
    <row r="97" spans="1:14">
      <c r="A97">
        <v>445</v>
      </c>
      <c r="B97" s="4">
        <v>44665</v>
      </c>
      <c r="C97" s="5">
        <v>0.45</v>
      </c>
      <c r="D97" t="s">
        <v>94</v>
      </c>
      <c r="E97" t="s">
        <v>23</v>
      </c>
      <c r="F97">
        <v>53</v>
      </c>
      <c r="G97" t="s">
        <v>30</v>
      </c>
      <c r="H97">
        <v>1</v>
      </c>
      <c r="I97">
        <v>300</v>
      </c>
      <c r="J97">
        <v>138</v>
      </c>
      <c r="K97">
        <v>300</v>
      </c>
      <c r="L97">
        <v>162</v>
      </c>
      <c r="M97">
        <v>0.54</v>
      </c>
      <c r="N97" t="s">
        <v>21</v>
      </c>
    </row>
    <row r="98" spans="1:14">
      <c r="A98">
        <v>787</v>
      </c>
      <c r="B98" s="4">
        <v>44722</v>
      </c>
      <c r="C98" s="5">
        <v>0.44583333333333336</v>
      </c>
      <c r="D98" t="s">
        <v>54</v>
      </c>
      <c r="E98" t="s">
        <v>16</v>
      </c>
      <c r="F98">
        <v>41</v>
      </c>
      <c r="G98" t="s">
        <v>30</v>
      </c>
      <c r="H98">
        <v>1</v>
      </c>
      <c r="I98">
        <v>25</v>
      </c>
      <c r="J98">
        <v>13.75</v>
      </c>
      <c r="K98">
        <v>25</v>
      </c>
      <c r="L98">
        <v>11.25</v>
      </c>
      <c r="M98">
        <v>0.45</v>
      </c>
      <c r="N98" t="s">
        <v>18</v>
      </c>
    </row>
    <row r="99" spans="1:14">
      <c r="A99">
        <v>1445</v>
      </c>
      <c r="B99" s="4">
        <v>44670</v>
      </c>
      <c r="C99" s="5">
        <v>0.26111111111111113</v>
      </c>
      <c r="D99" t="s">
        <v>99</v>
      </c>
      <c r="E99" t="s">
        <v>23</v>
      </c>
      <c r="F99">
        <v>53</v>
      </c>
      <c r="G99" t="s">
        <v>30</v>
      </c>
      <c r="H99">
        <v>1</v>
      </c>
      <c r="I99">
        <v>300</v>
      </c>
      <c r="J99">
        <v>129</v>
      </c>
      <c r="K99">
        <v>300</v>
      </c>
      <c r="L99">
        <v>171</v>
      </c>
      <c r="M99">
        <v>0.56999999999999995</v>
      </c>
      <c r="N99" t="s">
        <v>21</v>
      </c>
    </row>
    <row r="100" spans="1:14">
      <c r="A100">
        <v>1787</v>
      </c>
      <c r="B100" s="4">
        <v>44711</v>
      </c>
      <c r="C100" s="5">
        <v>0.32083333333333336</v>
      </c>
      <c r="D100" t="s">
        <v>100</v>
      </c>
      <c r="E100" t="s">
        <v>16</v>
      </c>
      <c r="F100">
        <v>41</v>
      </c>
      <c r="G100" t="s">
        <v>30</v>
      </c>
      <c r="H100">
        <v>1</v>
      </c>
      <c r="I100">
        <v>25</v>
      </c>
      <c r="J100">
        <v>10</v>
      </c>
      <c r="K100">
        <v>25</v>
      </c>
      <c r="L100">
        <v>15</v>
      </c>
      <c r="M100">
        <v>0.6</v>
      </c>
      <c r="N100" t="s">
        <v>18</v>
      </c>
    </row>
    <row r="101" spans="1:14">
      <c r="A101">
        <v>49</v>
      </c>
      <c r="B101" s="4">
        <v>44821</v>
      </c>
      <c r="C101" s="5">
        <v>0.43958333333333333</v>
      </c>
      <c r="D101" t="s">
        <v>96</v>
      </c>
      <c r="E101" t="s">
        <v>23</v>
      </c>
      <c r="F101">
        <v>54</v>
      </c>
      <c r="G101" t="s">
        <v>30</v>
      </c>
      <c r="H101">
        <v>2</v>
      </c>
      <c r="I101">
        <v>500</v>
      </c>
      <c r="J101">
        <v>255</v>
      </c>
      <c r="K101">
        <v>1000</v>
      </c>
      <c r="L101">
        <v>745</v>
      </c>
      <c r="M101">
        <v>0.745</v>
      </c>
      <c r="N101" t="s">
        <v>21</v>
      </c>
    </row>
    <row r="102" spans="1:14">
      <c r="A102">
        <v>420</v>
      </c>
      <c r="B102" s="4">
        <v>44563</v>
      </c>
      <c r="C102" s="5">
        <v>0.45347222222222222</v>
      </c>
      <c r="D102" t="s">
        <v>101</v>
      </c>
      <c r="E102" t="s">
        <v>23</v>
      </c>
      <c r="F102">
        <v>22</v>
      </c>
      <c r="G102" t="s">
        <v>17</v>
      </c>
      <c r="H102">
        <v>4</v>
      </c>
      <c r="I102">
        <v>500</v>
      </c>
      <c r="J102">
        <v>200</v>
      </c>
      <c r="K102">
        <v>2000</v>
      </c>
      <c r="L102">
        <v>1800</v>
      </c>
      <c r="M102">
        <v>0.9</v>
      </c>
      <c r="N102" t="s">
        <v>31</v>
      </c>
    </row>
    <row r="103" spans="1:14">
      <c r="A103">
        <v>519</v>
      </c>
      <c r="B103" s="4">
        <v>44659</v>
      </c>
      <c r="C103" s="5">
        <v>0.4284722222222222</v>
      </c>
      <c r="D103" t="s">
        <v>19</v>
      </c>
      <c r="E103" t="s">
        <v>23</v>
      </c>
      <c r="F103">
        <v>36</v>
      </c>
      <c r="G103" t="s">
        <v>30</v>
      </c>
      <c r="H103">
        <v>4</v>
      </c>
      <c r="I103">
        <v>30</v>
      </c>
      <c r="J103">
        <v>16.5</v>
      </c>
      <c r="K103">
        <v>120</v>
      </c>
      <c r="L103">
        <v>103.5</v>
      </c>
      <c r="M103">
        <v>0.86250000000000004</v>
      </c>
      <c r="N103" t="s">
        <v>18</v>
      </c>
    </row>
    <row r="104" spans="1:14">
      <c r="A104">
        <v>1049</v>
      </c>
      <c r="B104" s="4">
        <v>44697</v>
      </c>
      <c r="C104" s="5">
        <v>0.27500000000000002</v>
      </c>
      <c r="D104" t="s">
        <v>102</v>
      </c>
      <c r="E104" t="s">
        <v>23</v>
      </c>
      <c r="F104">
        <v>54</v>
      </c>
      <c r="G104" t="s">
        <v>30</v>
      </c>
      <c r="H104">
        <v>2</v>
      </c>
      <c r="I104">
        <v>500</v>
      </c>
      <c r="J104">
        <v>125</v>
      </c>
      <c r="K104">
        <v>1000</v>
      </c>
      <c r="L104">
        <v>875</v>
      </c>
      <c r="M104">
        <v>0.875</v>
      </c>
      <c r="N104" t="s">
        <v>21</v>
      </c>
    </row>
    <row r="105" spans="1:14">
      <c r="A105">
        <v>1420</v>
      </c>
      <c r="B105" s="4">
        <v>44666</v>
      </c>
      <c r="C105" s="5">
        <v>0.29236111111111113</v>
      </c>
      <c r="D105" t="s">
        <v>103</v>
      </c>
      <c r="E105" t="s">
        <v>23</v>
      </c>
      <c r="F105">
        <v>22</v>
      </c>
      <c r="G105" t="s">
        <v>17</v>
      </c>
      <c r="H105">
        <v>4</v>
      </c>
      <c r="I105">
        <v>500</v>
      </c>
      <c r="J105">
        <v>205</v>
      </c>
      <c r="K105">
        <v>2000</v>
      </c>
      <c r="L105">
        <v>1795</v>
      </c>
      <c r="M105">
        <v>0.89749999999999996</v>
      </c>
      <c r="N105" t="s">
        <v>31</v>
      </c>
    </row>
    <row r="106" spans="1:14">
      <c r="A106">
        <v>1519</v>
      </c>
      <c r="B106" s="4">
        <v>44569</v>
      </c>
      <c r="C106" s="5">
        <v>0.31597222222222221</v>
      </c>
      <c r="D106" t="s">
        <v>104</v>
      </c>
      <c r="E106" t="s">
        <v>23</v>
      </c>
      <c r="F106">
        <v>36</v>
      </c>
      <c r="G106" t="s">
        <v>30</v>
      </c>
      <c r="H106">
        <v>4</v>
      </c>
      <c r="I106">
        <v>30</v>
      </c>
      <c r="J106">
        <v>9.3000000000000007</v>
      </c>
      <c r="K106">
        <v>120</v>
      </c>
      <c r="L106">
        <v>110.7</v>
      </c>
      <c r="M106">
        <v>0.92249999999999999</v>
      </c>
      <c r="N106" t="s">
        <v>18</v>
      </c>
    </row>
    <row r="107" spans="1:14">
      <c r="A107">
        <v>64</v>
      </c>
      <c r="B107" s="4">
        <v>44880</v>
      </c>
      <c r="C107" s="5">
        <v>0.27361111111111114</v>
      </c>
      <c r="D107" t="s">
        <v>105</v>
      </c>
      <c r="E107" t="s">
        <v>16</v>
      </c>
      <c r="F107">
        <v>49</v>
      </c>
      <c r="G107" t="s">
        <v>17</v>
      </c>
      <c r="H107">
        <v>4</v>
      </c>
      <c r="I107">
        <v>25</v>
      </c>
      <c r="J107">
        <v>8.5</v>
      </c>
      <c r="K107">
        <v>100</v>
      </c>
      <c r="L107">
        <v>91.5</v>
      </c>
      <c r="M107">
        <v>0.91500000000000004</v>
      </c>
      <c r="N107" t="s">
        <v>21</v>
      </c>
    </row>
    <row r="108" spans="1:14">
      <c r="A108">
        <v>592</v>
      </c>
      <c r="B108" s="4">
        <v>44921</v>
      </c>
      <c r="C108" s="5">
        <v>0.38541666666666669</v>
      </c>
      <c r="D108" t="s">
        <v>55</v>
      </c>
      <c r="E108" t="s">
        <v>23</v>
      </c>
      <c r="F108">
        <v>46</v>
      </c>
      <c r="G108" t="s">
        <v>20</v>
      </c>
      <c r="H108">
        <v>4</v>
      </c>
      <c r="I108">
        <v>500</v>
      </c>
      <c r="J108">
        <v>275</v>
      </c>
      <c r="K108">
        <v>2000</v>
      </c>
      <c r="L108">
        <v>1725</v>
      </c>
      <c r="M108">
        <v>0.86250000000000004</v>
      </c>
      <c r="N108" t="s">
        <v>21</v>
      </c>
    </row>
    <row r="109" spans="1:14">
      <c r="A109">
        <v>912</v>
      </c>
      <c r="B109" s="4">
        <v>44865</v>
      </c>
      <c r="C109" s="5">
        <v>0.26250000000000001</v>
      </c>
      <c r="D109" t="s">
        <v>106</v>
      </c>
      <c r="E109" t="s">
        <v>16</v>
      </c>
      <c r="F109">
        <v>51</v>
      </c>
      <c r="G109" t="s">
        <v>20</v>
      </c>
      <c r="H109">
        <v>3</v>
      </c>
      <c r="I109">
        <v>50</v>
      </c>
      <c r="J109">
        <v>20.5</v>
      </c>
      <c r="K109">
        <v>150</v>
      </c>
      <c r="L109">
        <v>129.5</v>
      </c>
      <c r="M109">
        <v>0.86333333333333329</v>
      </c>
      <c r="N109" t="s">
        <v>21</v>
      </c>
    </row>
    <row r="110" spans="1:14">
      <c r="A110">
        <v>1064</v>
      </c>
      <c r="B110" s="4">
        <v>44665</v>
      </c>
      <c r="C110" s="5">
        <v>0.44305555555555554</v>
      </c>
      <c r="D110" t="s">
        <v>26</v>
      </c>
      <c r="E110" t="s">
        <v>16</v>
      </c>
      <c r="F110">
        <v>49</v>
      </c>
      <c r="G110" t="s">
        <v>17</v>
      </c>
      <c r="H110">
        <v>4</v>
      </c>
      <c r="I110">
        <v>25</v>
      </c>
      <c r="J110">
        <v>13.75</v>
      </c>
      <c r="K110">
        <v>100</v>
      </c>
      <c r="L110">
        <v>86.25</v>
      </c>
      <c r="M110">
        <v>0.86250000000000004</v>
      </c>
      <c r="N110" t="s">
        <v>21</v>
      </c>
    </row>
    <row r="111" spans="1:14">
      <c r="A111">
        <v>1592</v>
      </c>
      <c r="B111" s="4">
        <v>44636</v>
      </c>
      <c r="C111" s="5">
        <v>0.38055555555555554</v>
      </c>
      <c r="D111" t="s">
        <v>107</v>
      </c>
      <c r="E111" t="s">
        <v>23</v>
      </c>
      <c r="F111">
        <v>46</v>
      </c>
      <c r="G111" t="s">
        <v>20</v>
      </c>
      <c r="H111">
        <v>4</v>
      </c>
      <c r="I111">
        <v>500</v>
      </c>
      <c r="J111">
        <v>155</v>
      </c>
      <c r="K111">
        <v>2000</v>
      </c>
      <c r="L111">
        <v>1845</v>
      </c>
      <c r="M111">
        <v>0.92249999999999999</v>
      </c>
      <c r="N111" t="s">
        <v>21</v>
      </c>
    </row>
    <row r="112" spans="1:14">
      <c r="A112">
        <v>1912</v>
      </c>
      <c r="B112" s="4">
        <v>44708</v>
      </c>
      <c r="C112" s="5">
        <v>0.31944444444444442</v>
      </c>
      <c r="D112" t="s">
        <v>108</v>
      </c>
      <c r="E112" t="s">
        <v>16</v>
      </c>
      <c r="F112">
        <v>51</v>
      </c>
      <c r="G112" t="s">
        <v>20</v>
      </c>
      <c r="H112">
        <v>3</v>
      </c>
      <c r="I112">
        <v>50</v>
      </c>
      <c r="J112">
        <v>22</v>
      </c>
      <c r="K112">
        <v>150</v>
      </c>
      <c r="L112">
        <v>128</v>
      </c>
      <c r="M112">
        <v>0.85333333333333339</v>
      </c>
      <c r="N112" t="s">
        <v>21</v>
      </c>
    </row>
    <row r="113" spans="1:14">
      <c r="A113">
        <v>134</v>
      </c>
      <c r="B113" s="4">
        <v>44798</v>
      </c>
      <c r="C113" s="5">
        <v>0.37708333333333333</v>
      </c>
      <c r="D113" t="s">
        <v>94</v>
      </c>
      <c r="E113" t="s">
        <v>16</v>
      </c>
      <c r="F113">
        <v>49</v>
      </c>
      <c r="G113" t="s">
        <v>30</v>
      </c>
      <c r="H113">
        <v>1</v>
      </c>
      <c r="I113">
        <v>50</v>
      </c>
      <c r="J113">
        <v>16</v>
      </c>
      <c r="K113">
        <v>50</v>
      </c>
      <c r="L113">
        <v>34</v>
      </c>
      <c r="M113">
        <v>0.68</v>
      </c>
      <c r="N113" t="s">
        <v>21</v>
      </c>
    </row>
    <row r="114" spans="1:14">
      <c r="A114">
        <v>1134</v>
      </c>
      <c r="B114" s="4">
        <v>44778</v>
      </c>
      <c r="C114" s="5">
        <v>0.37777777777777777</v>
      </c>
      <c r="D114" t="s">
        <v>109</v>
      </c>
      <c r="E114" t="s">
        <v>16</v>
      </c>
      <c r="F114">
        <v>49</v>
      </c>
      <c r="G114" t="s">
        <v>30</v>
      </c>
      <c r="H114">
        <v>1</v>
      </c>
      <c r="I114">
        <v>50</v>
      </c>
      <c r="J114">
        <v>24</v>
      </c>
      <c r="K114">
        <v>50</v>
      </c>
      <c r="L114">
        <v>26</v>
      </c>
      <c r="M114">
        <v>0.52</v>
      </c>
      <c r="N114" t="s">
        <v>21</v>
      </c>
    </row>
    <row r="115" spans="1:14">
      <c r="A115">
        <v>288</v>
      </c>
      <c r="B115" s="4">
        <v>44683</v>
      </c>
      <c r="C115" s="5">
        <v>0.41597222222222224</v>
      </c>
      <c r="D115" t="s">
        <v>110</v>
      </c>
      <c r="E115" t="s">
        <v>16</v>
      </c>
      <c r="F115">
        <v>28</v>
      </c>
      <c r="G115" t="s">
        <v>17</v>
      </c>
      <c r="H115">
        <v>4</v>
      </c>
      <c r="I115">
        <v>30</v>
      </c>
      <c r="J115">
        <v>12</v>
      </c>
      <c r="K115">
        <v>120</v>
      </c>
      <c r="L115">
        <v>108</v>
      </c>
      <c r="M115">
        <v>0.9</v>
      </c>
      <c r="N115" t="s">
        <v>39</v>
      </c>
    </row>
    <row r="116" spans="1:14">
      <c r="A116">
        <v>323</v>
      </c>
      <c r="B116" s="4">
        <v>44582</v>
      </c>
      <c r="C116" s="5">
        <v>0.34861111111111109</v>
      </c>
      <c r="D116" t="s">
        <v>111</v>
      </c>
      <c r="E116" t="s">
        <v>23</v>
      </c>
      <c r="F116">
        <v>29</v>
      </c>
      <c r="G116" t="s">
        <v>20</v>
      </c>
      <c r="H116">
        <v>3</v>
      </c>
      <c r="I116">
        <v>300</v>
      </c>
      <c r="J116">
        <v>150</v>
      </c>
      <c r="K116">
        <v>900</v>
      </c>
      <c r="L116">
        <v>750</v>
      </c>
      <c r="M116">
        <v>0.83333333333333337</v>
      </c>
      <c r="N116" t="s">
        <v>39</v>
      </c>
    </row>
    <row r="117" spans="1:14">
      <c r="A117">
        <v>618</v>
      </c>
      <c r="B117" s="4">
        <v>44847</v>
      </c>
      <c r="C117" s="5">
        <v>0.43194444444444446</v>
      </c>
      <c r="D117" t="s">
        <v>22</v>
      </c>
      <c r="E117" t="s">
        <v>23</v>
      </c>
      <c r="F117">
        <v>27</v>
      </c>
      <c r="G117" t="s">
        <v>20</v>
      </c>
      <c r="H117">
        <v>1</v>
      </c>
      <c r="I117">
        <v>50</v>
      </c>
      <c r="J117">
        <v>26</v>
      </c>
      <c r="K117">
        <v>50</v>
      </c>
      <c r="L117">
        <v>24</v>
      </c>
      <c r="M117">
        <v>0.48</v>
      </c>
      <c r="N117" t="s">
        <v>39</v>
      </c>
    </row>
    <row r="118" spans="1:14">
      <c r="A118">
        <v>720</v>
      </c>
      <c r="B118" s="4">
        <v>44659</v>
      </c>
      <c r="C118" s="5">
        <v>0.36805555555555558</v>
      </c>
      <c r="D118" t="s">
        <v>57</v>
      </c>
      <c r="E118" t="s">
        <v>23</v>
      </c>
      <c r="F118">
        <v>56</v>
      </c>
      <c r="G118" t="s">
        <v>20</v>
      </c>
      <c r="H118">
        <v>3</v>
      </c>
      <c r="I118">
        <v>500</v>
      </c>
      <c r="J118">
        <v>235</v>
      </c>
      <c r="K118">
        <v>1500</v>
      </c>
      <c r="L118">
        <v>1265</v>
      </c>
      <c r="M118">
        <v>0.84333333333333338</v>
      </c>
      <c r="N118" t="s">
        <v>28</v>
      </c>
    </row>
    <row r="119" spans="1:14">
      <c r="A119">
        <v>1288</v>
      </c>
      <c r="B119" s="4">
        <v>44656</v>
      </c>
      <c r="C119" s="5">
        <v>0.49722222222222223</v>
      </c>
      <c r="D119" t="s">
        <v>112</v>
      </c>
      <c r="E119" t="s">
        <v>16</v>
      </c>
      <c r="F119">
        <v>28</v>
      </c>
      <c r="G119" t="s">
        <v>17</v>
      </c>
      <c r="H119">
        <v>4</v>
      </c>
      <c r="I119">
        <v>30</v>
      </c>
      <c r="J119">
        <v>9</v>
      </c>
      <c r="K119">
        <v>120</v>
      </c>
      <c r="L119">
        <v>111</v>
      </c>
      <c r="M119">
        <v>0.92500000000000004</v>
      </c>
      <c r="N119" t="s">
        <v>39</v>
      </c>
    </row>
    <row r="120" spans="1:14">
      <c r="A120">
        <v>1323</v>
      </c>
      <c r="B120" s="4">
        <v>44788</v>
      </c>
      <c r="C120" s="5">
        <v>0.45069444444444445</v>
      </c>
      <c r="D120" t="s">
        <v>113</v>
      </c>
      <c r="E120" t="s">
        <v>23</v>
      </c>
      <c r="F120">
        <v>29</v>
      </c>
      <c r="G120" t="s">
        <v>20</v>
      </c>
      <c r="H120">
        <v>3</v>
      </c>
      <c r="I120">
        <v>300</v>
      </c>
      <c r="J120">
        <v>114</v>
      </c>
      <c r="K120">
        <v>900</v>
      </c>
      <c r="L120">
        <v>786</v>
      </c>
      <c r="M120">
        <v>0.87333333333333329</v>
      </c>
      <c r="N120" t="s">
        <v>39</v>
      </c>
    </row>
    <row r="121" spans="1:14">
      <c r="A121">
        <v>1618</v>
      </c>
      <c r="B121" s="4">
        <v>44819</v>
      </c>
      <c r="C121" s="5">
        <v>0.26874999999999999</v>
      </c>
      <c r="D121" t="s">
        <v>114</v>
      </c>
      <c r="E121" t="s">
        <v>23</v>
      </c>
      <c r="F121">
        <v>27</v>
      </c>
      <c r="G121" t="s">
        <v>20</v>
      </c>
      <c r="H121">
        <v>1</v>
      </c>
      <c r="I121">
        <v>50</v>
      </c>
      <c r="J121">
        <v>13.5</v>
      </c>
      <c r="K121">
        <v>50</v>
      </c>
      <c r="L121">
        <v>36.5</v>
      </c>
      <c r="M121">
        <v>0.73</v>
      </c>
      <c r="N121" t="s">
        <v>39</v>
      </c>
    </row>
    <row r="122" spans="1:14">
      <c r="A122">
        <v>1720</v>
      </c>
      <c r="B122" s="4">
        <v>44844</v>
      </c>
      <c r="C122" s="5">
        <v>0.36875000000000002</v>
      </c>
      <c r="D122" t="s">
        <v>101</v>
      </c>
      <c r="E122" t="s">
        <v>23</v>
      </c>
      <c r="F122">
        <v>56</v>
      </c>
      <c r="G122" t="s">
        <v>20</v>
      </c>
      <c r="H122">
        <v>3</v>
      </c>
      <c r="I122">
        <v>500</v>
      </c>
      <c r="J122">
        <v>190</v>
      </c>
      <c r="K122">
        <v>1500</v>
      </c>
      <c r="L122">
        <v>1310</v>
      </c>
      <c r="M122">
        <v>0.87333333333333329</v>
      </c>
      <c r="N122" t="s">
        <v>28</v>
      </c>
    </row>
    <row r="123" spans="1:14">
      <c r="A123">
        <v>415</v>
      </c>
      <c r="B123" s="4">
        <v>44566</v>
      </c>
      <c r="C123" s="5">
        <v>0.41597222222222224</v>
      </c>
      <c r="D123" t="s">
        <v>24</v>
      </c>
      <c r="E123" t="s">
        <v>16</v>
      </c>
      <c r="F123">
        <v>53</v>
      </c>
      <c r="G123" t="s">
        <v>17</v>
      </c>
      <c r="H123">
        <v>2</v>
      </c>
      <c r="I123">
        <v>30</v>
      </c>
      <c r="J123">
        <v>8.1</v>
      </c>
      <c r="K123">
        <v>60</v>
      </c>
      <c r="L123">
        <v>51.9</v>
      </c>
      <c r="M123">
        <v>0.86499999999999999</v>
      </c>
      <c r="N123" t="s">
        <v>21</v>
      </c>
    </row>
    <row r="124" spans="1:14">
      <c r="A124">
        <v>736</v>
      </c>
      <c r="B124" s="4">
        <v>44913</v>
      </c>
      <c r="C124" s="5">
        <v>0.35416666666666669</v>
      </c>
      <c r="D124" t="s">
        <v>111</v>
      </c>
      <c r="E124" t="s">
        <v>16</v>
      </c>
      <c r="F124">
        <v>29</v>
      </c>
      <c r="G124" t="s">
        <v>17</v>
      </c>
      <c r="H124">
        <v>4</v>
      </c>
      <c r="I124">
        <v>25</v>
      </c>
      <c r="J124">
        <v>9.75</v>
      </c>
      <c r="K124">
        <v>100</v>
      </c>
      <c r="L124">
        <v>90.25</v>
      </c>
      <c r="M124">
        <v>0.90249999999999997</v>
      </c>
      <c r="N124" t="s">
        <v>39</v>
      </c>
    </row>
    <row r="125" spans="1:14">
      <c r="A125">
        <v>929</v>
      </c>
      <c r="B125" s="4">
        <v>44631</v>
      </c>
      <c r="C125" s="5">
        <v>0.42916666666666664</v>
      </c>
      <c r="D125" t="s">
        <v>115</v>
      </c>
      <c r="E125" t="s">
        <v>23</v>
      </c>
      <c r="F125">
        <v>23</v>
      </c>
      <c r="G125" t="s">
        <v>20</v>
      </c>
      <c r="H125">
        <v>3</v>
      </c>
      <c r="I125">
        <v>25</v>
      </c>
      <c r="J125">
        <v>10.5</v>
      </c>
      <c r="K125">
        <v>75</v>
      </c>
      <c r="L125">
        <v>64.5</v>
      </c>
      <c r="M125">
        <v>0.86</v>
      </c>
      <c r="N125" t="s">
        <v>31</v>
      </c>
    </row>
    <row r="126" spans="1:14">
      <c r="A126">
        <v>1415</v>
      </c>
      <c r="B126" s="4">
        <v>44626</v>
      </c>
      <c r="C126" s="5">
        <v>0.29930555555555555</v>
      </c>
      <c r="D126" t="s">
        <v>108</v>
      </c>
      <c r="E126" t="s">
        <v>16</v>
      </c>
      <c r="F126">
        <v>53</v>
      </c>
      <c r="G126" t="s">
        <v>17</v>
      </c>
      <c r="H126">
        <v>2</v>
      </c>
      <c r="I126">
        <v>30</v>
      </c>
      <c r="J126">
        <v>15.3</v>
      </c>
      <c r="K126">
        <v>60</v>
      </c>
      <c r="L126">
        <v>44.7</v>
      </c>
      <c r="M126">
        <v>0.745</v>
      </c>
      <c r="N126" t="s">
        <v>21</v>
      </c>
    </row>
    <row r="127" spans="1:14">
      <c r="A127">
        <v>1736</v>
      </c>
      <c r="B127" s="4">
        <v>44801</v>
      </c>
      <c r="C127" s="5">
        <v>0.37291666666666667</v>
      </c>
      <c r="D127" t="s">
        <v>116</v>
      </c>
      <c r="E127" t="s">
        <v>16</v>
      </c>
      <c r="F127">
        <v>29</v>
      </c>
      <c r="G127" t="s">
        <v>17</v>
      </c>
      <c r="H127">
        <v>4</v>
      </c>
      <c r="I127">
        <v>25</v>
      </c>
      <c r="J127">
        <v>10.25</v>
      </c>
      <c r="K127">
        <v>100</v>
      </c>
      <c r="L127">
        <v>89.75</v>
      </c>
      <c r="M127">
        <v>0.89749999999999996</v>
      </c>
      <c r="N127" t="s">
        <v>39</v>
      </c>
    </row>
    <row r="128" spans="1:14">
      <c r="A128">
        <v>1929</v>
      </c>
      <c r="B128" s="4">
        <v>44819</v>
      </c>
      <c r="C128" s="5">
        <v>0.28472222222222221</v>
      </c>
      <c r="D128" t="s">
        <v>74</v>
      </c>
      <c r="E128" t="s">
        <v>23</v>
      </c>
      <c r="F128">
        <v>23</v>
      </c>
      <c r="G128" t="s">
        <v>20</v>
      </c>
      <c r="H128">
        <v>3</v>
      </c>
      <c r="I128">
        <v>25</v>
      </c>
      <c r="J128">
        <v>12.75</v>
      </c>
      <c r="K128">
        <v>75</v>
      </c>
      <c r="L128">
        <v>62.25</v>
      </c>
      <c r="M128">
        <v>0.83</v>
      </c>
      <c r="N128" t="s">
        <v>31</v>
      </c>
    </row>
    <row r="129" spans="1:14">
      <c r="A129">
        <v>264</v>
      </c>
      <c r="B129" s="4">
        <v>44921</v>
      </c>
      <c r="C129" s="5">
        <v>0.46041666666666664</v>
      </c>
      <c r="D129" t="s">
        <v>117</v>
      </c>
      <c r="E129" t="s">
        <v>16</v>
      </c>
      <c r="F129">
        <v>47</v>
      </c>
      <c r="G129" t="s">
        <v>17</v>
      </c>
      <c r="H129">
        <v>3</v>
      </c>
      <c r="I129">
        <v>300</v>
      </c>
      <c r="J129">
        <v>150</v>
      </c>
      <c r="K129">
        <v>900</v>
      </c>
      <c r="L129">
        <v>750</v>
      </c>
      <c r="M129">
        <v>0.83333333333333337</v>
      </c>
      <c r="N129" t="s">
        <v>21</v>
      </c>
    </row>
    <row r="130" spans="1:14">
      <c r="A130">
        <v>913</v>
      </c>
      <c r="B130" s="4">
        <v>44846</v>
      </c>
      <c r="C130" s="5">
        <v>0.45277777777777778</v>
      </c>
      <c r="D130" t="s">
        <v>92</v>
      </c>
      <c r="E130" t="s">
        <v>16</v>
      </c>
      <c r="F130">
        <v>29</v>
      </c>
      <c r="G130" t="s">
        <v>30</v>
      </c>
      <c r="H130">
        <v>3</v>
      </c>
      <c r="I130">
        <v>30</v>
      </c>
      <c r="J130">
        <v>16.5</v>
      </c>
      <c r="K130">
        <v>90</v>
      </c>
      <c r="L130">
        <v>73.5</v>
      </c>
      <c r="M130">
        <v>0.81666666666666665</v>
      </c>
      <c r="N130" t="s">
        <v>39</v>
      </c>
    </row>
    <row r="131" spans="1:14">
      <c r="A131">
        <v>940</v>
      </c>
      <c r="B131" s="4">
        <v>44566</v>
      </c>
      <c r="C131" s="5">
        <v>0.34097222222222223</v>
      </c>
      <c r="D131" t="s">
        <v>118</v>
      </c>
      <c r="E131" t="s">
        <v>23</v>
      </c>
      <c r="F131">
        <v>20</v>
      </c>
      <c r="G131" t="s">
        <v>30</v>
      </c>
      <c r="H131">
        <v>1</v>
      </c>
      <c r="I131">
        <v>30</v>
      </c>
      <c r="J131">
        <v>9.6</v>
      </c>
      <c r="K131">
        <v>30</v>
      </c>
      <c r="L131">
        <v>20.399999999999999</v>
      </c>
      <c r="M131">
        <v>0.67999999999999994</v>
      </c>
      <c r="N131" t="s">
        <v>31</v>
      </c>
    </row>
    <row r="132" spans="1:14">
      <c r="A132">
        <v>1264</v>
      </c>
      <c r="B132" s="4">
        <v>44708</v>
      </c>
      <c r="C132" s="5">
        <v>0.39097222222222222</v>
      </c>
      <c r="D132" t="s">
        <v>43</v>
      </c>
      <c r="E132" t="s">
        <v>16</v>
      </c>
      <c r="F132">
        <v>47</v>
      </c>
      <c r="G132" t="s">
        <v>17</v>
      </c>
      <c r="H132">
        <v>3</v>
      </c>
      <c r="I132">
        <v>300</v>
      </c>
      <c r="J132">
        <v>123</v>
      </c>
      <c r="K132">
        <v>900</v>
      </c>
      <c r="L132">
        <v>777</v>
      </c>
      <c r="M132">
        <v>0.86333333333333329</v>
      </c>
      <c r="N132" t="s">
        <v>21</v>
      </c>
    </row>
    <row r="133" spans="1:14">
      <c r="A133">
        <v>1913</v>
      </c>
      <c r="B133" s="4">
        <v>44735</v>
      </c>
      <c r="C133" s="5">
        <v>0.2986111111111111</v>
      </c>
      <c r="D133" t="s">
        <v>58</v>
      </c>
      <c r="E133" t="s">
        <v>16</v>
      </c>
      <c r="F133">
        <v>29</v>
      </c>
      <c r="G133" t="s">
        <v>30</v>
      </c>
      <c r="H133">
        <v>3</v>
      </c>
      <c r="I133">
        <v>30</v>
      </c>
      <c r="J133">
        <v>14.1</v>
      </c>
      <c r="K133">
        <v>90</v>
      </c>
      <c r="L133">
        <v>75.900000000000006</v>
      </c>
      <c r="M133">
        <v>0.84333333333333338</v>
      </c>
      <c r="N133" t="s">
        <v>39</v>
      </c>
    </row>
    <row r="134" spans="1:14">
      <c r="A134">
        <v>1940</v>
      </c>
      <c r="B134" s="4">
        <v>44727</v>
      </c>
      <c r="C134" s="5">
        <v>0.40763888888888888</v>
      </c>
      <c r="D134" t="s">
        <v>119</v>
      </c>
      <c r="E134" t="s">
        <v>23</v>
      </c>
      <c r="F134">
        <v>20</v>
      </c>
      <c r="G134" t="s">
        <v>30</v>
      </c>
      <c r="H134">
        <v>1</v>
      </c>
      <c r="I134">
        <v>30</v>
      </c>
      <c r="J134">
        <v>11.1</v>
      </c>
      <c r="K134">
        <v>30</v>
      </c>
      <c r="L134">
        <v>18.899999999999999</v>
      </c>
      <c r="M134">
        <v>0.63</v>
      </c>
      <c r="N134" t="s">
        <v>31</v>
      </c>
    </row>
    <row r="135" spans="1:14">
      <c r="A135">
        <v>101</v>
      </c>
      <c r="B135" s="4">
        <v>44569</v>
      </c>
      <c r="C135" s="5">
        <v>0.36527777777777776</v>
      </c>
      <c r="D135" t="s">
        <v>70</v>
      </c>
      <c r="E135" t="s">
        <v>16</v>
      </c>
      <c r="F135">
        <v>32</v>
      </c>
      <c r="G135" t="s">
        <v>17</v>
      </c>
      <c r="H135">
        <v>2</v>
      </c>
      <c r="I135">
        <v>300</v>
      </c>
      <c r="J135">
        <v>135</v>
      </c>
      <c r="K135">
        <v>600</v>
      </c>
      <c r="L135">
        <v>465</v>
      </c>
      <c r="M135">
        <v>0.77500000000000002</v>
      </c>
      <c r="N135" t="s">
        <v>39</v>
      </c>
    </row>
    <row r="136" spans="1:14">
      <c r="A136">
        <v>1101</v>
      </c>
      <c r="B136" s="4">
        <v>44698</v>
      </c>
      <c r="C136" s="5">
        <v>0.32430555555555557</v>
      </c>
      <c r="D136" t="s">
        <v>60</v>
      </c>
      <c r="E136" t="s">
        <v>16</v>
      </c>
      <c r="F136">
        <v>32</v>
      </c>
      <c r="G136" t="s">
        <v>17</v>
      </c>
      <c r="H136">
        <v>2</v>
      </c>
      <c r="I136">
        <v>300</v>
      </c>
      <c r="J136">
        <v>132</v>
      </c>
      <c r="K136">
        <v>600</v>
      </c>
      <c r="L136">
        <v>468</v>
      </c>
      <c r="M136">
        <v>0.78</v>
      </c>
      <c r="N136" t="s">
        <v>39</v>
      </c>
    </row>
    <row r="137" spans="1:14">
      <c r="A137">
        <v>189</v>
      </c>
      <c r="B137" s="4">
        <v>44563</v>
      </c>
      <c r="C137" s="5">
        <v>0.40555555555555556</v>
      </c>
      <c r="D137" t="s">
        <v>102</v>
      </c>
      <c r="E137" t="s">
        <v>16</v>
      </c>
      <c r="F137">
        <v>63</v>
      </c>
      <c r="G137" t="s">
        <v>20</v>
      </c>
      <c r="H137">
        <v>1</v>
      </c>
      <c r="I137">
        <v>50</v>
      </c>
      <c r="J137">
        <v>14.5</v>
      </c>
      <c r="K137">
        <v>50</v>
      </c>
      <c r="L137">
        <v>35.5</v>
      </c>
      <c r="M137">
        <v>0.71</v>
      </c>
      <c r="N137" t="s">
        <v>28</v>
      </c>
    </row>
    <row r="138" spans="1:14">
      <c r="A138">
        <v>317</v>
      </c>
      <c r="B138" s="4">
        <v>44685</v>
      </c>
      <c r="C138" s="5">
        <v>0.32916666666666666</v>
      </c>
      <c r="D138" t="s">
        <v>15</v>
      </c>
      <c r="E138" t="s">
        <v>16</v>
      </c>
      <c r="F138">
        <v>22</v>
      </c>
      <c r="G138" t="s">
        <v>30</v>
      </c>
      <c r="H138">
        <v>3</v>
      </c>
      <c r="I138">
        <v>30</v>
      </c>
      <c r="J138">
        <v>12</v>
      </c>
      <c r="K138">
        <v>90</v>
      </c>
      <c r="L138">
        <v>78</v>
      </c>
      <c r="M138">
        <v>0.8666666666666667</v>
      </c>
      <c r="N138" t="s">
        <v>31</v>
      </c>
    </row>
    <row r="139" spans="1:14">
      <c r="A139">
        <v>322</v>
      </c>
      <c r="B139" s="4">
        <v>44853</v>
      </c>
      <c r="C139" s="5">
        <v>0.25763888888888886</v>
      </c>
      <c r="D139" t="s">
        <v>120</v>
      </c>
      <c r="E139" t="s">
        <v>16</v>
      </c>
      <c r="F139">
        <v>51</v>
      </c>
      <c r="G139" t="s">
        <v>30</v>
      </c>
      <c r="H139">
        <v>1</v>
      </c>
      <c r="I139">
        <v>500</v>
      </c>
      <c r="J139">
        <v>125</v>
      </c>
      <c r="K139">
        <v>500</v>
      </c>
      <c r="L139">
        <v>375</v>
      </c>
      <c r="M139">
        <v>0.75</v>
      </c>
      <c r="N139" t="s">
        <v>21</v>
      </c>
    </row>
    <row r="140" spans="1:14">
      <c r="A140">
        <v>329</v>
      </c>
      <c r="B140" s="4">
        <v>44861</v>
      </c>
      <c r="C140" s="5">
        <v>0.32083333333333336</v>
      </c>
      <c r="D140" t="s">
        <v>19</v>
      </c>
      <c r="E140" t="s">
        <v>23</v>
      </c>
      <c r="F140">
        <v>46</v>
      </c>
      <c r="G140" t="s">
        <v>30</v>
      </c>
      <c r="H140">
        <v>4</v>
      </c>
      <c r="I140">
        <v>25</v>
      </c>
      <c r="J140">
        <v>8</v>
      </c>
      <c r="K140">
        <v>100</v>
      </c>
      <c r="L140">
        <v>92</v>
      </c>
      <c r="M140">
        <v>0.92</v>
      </c>
      <c r="N140" t="s">
        <v>21</v>
      </c>
    </row>
    <row r="141" spans="1:14">
      <c r="A141">
        <v>1189</v>
      </c>
      <c r="B141" s="4">
        <v>44902</v>
      </c>
      <c r="C141" s="5">
        <v>0.25555555555555554</v>
      </c>
      <c r="D141" t="s">
        <v>100</v>
      </c>
      <c r="E141" t="s">
        <v>16</v>
      </c>
      <c r="F141">
        <v>63</v>
      </c>
      <c r="G141" t="s">
        <v>20</v>
      </c>
      <c r="H141">
        <v>1</v>
      </c>
      <c r="I141">
        <v>50</v>
      </c>
      <c r="J141">
        <v>20.5</v>
      </c>
      <c r="K141">
        <v>50</v>
      </c>
      <c r="L141">
        <v>29.5</v>
      </c>
      <c r="M141">
        <v>0.59</v>
      </c>
      <c r="N141" t="s">
        <v>28</v>
      </c>
    </row>
    <row r="142" spans="1:14">
      <c r="A142">
        <v>1317</v>
      </c>
      <c r="B142" s="4">
        <v>44798</v>
      </c>
      <c r="C142" s="5">
        <v>0.3347222222222222</v>
      </c>
      <c r="D142" t="s">
        <v>27</v>
      </c>
      <c r="E142" t="s">
        <v>16</v>
      </c>
      <c r="F142">
        <v>22</v>
      </c>
      <c r="G142" t="s">
        <v>30</v>
      </c>
      <c r="H142">
        <v>3</v>
      </c>
      <c r="I142">
        <v>30</v>
      </c>
      <c r="J142">
        <v>12</v>
      </c>
      <c r="K142">
        <v>90</v>
      </c>
      <c r="L142">
        <v>78</v>
      </c>
      <c r="M142">
        <v>0.8666666666666667</v>
      </c>
      <c r="N142" t="s">
        <v>31</v>
      </c>
    </row>
    <row r="143" spans="1:14">
      <c r="A143">
        <v>1322</v>
      </c>
      <c r="B143" s="4">
        <v>44879</v>
      </c>
      <c r="C143" s="5">
        <v>0.41388888888888886</v>
      </c>
      <c r="D143" t="s">
        <v>121</v>
      </c>
      <c r="E143" t="s">
        <v>16</v>
      </c>
      <c r="F143">
        <v>51</v>
      </c>
      <c r="G143" t="s">
        <v>30</v>
      </c>
      <c r="H143">
        <v>1</v>
      </c>
      <c r="I143">
        <v>500</v>
      </c>
      <c r="J143">
        <v>250</v>
      </c>
      <c r="K143">
        <v>500</v>
      </c>
      <c r="L143">
        <v>250</v>
      </c>
      <c r="M143">
        <v>0.5</v>
      </c>
      <c r="N143" t="s">
        <v>21</v>
      </c>
    </row>
    <row r="144" spans="1:14">
      <c r="A144">
        <v>1329</v>
      </c>
      <c r="B144" s="4">
        <v>44588</v>
      </c>
      <c r="C144" s="5">
        <v>0.44374999999999998</v>
      </c>
      <c r="D144" t="s">
        <v>122</v>
      </c>
      <c r="E144" t="s">
        <v>23</v>
      </c>
      <c r="F144">
        <v>46</v>
      </c>
      <c r="G144" t="s">
        <v>30</v>
      </c>
      <c r="H144">
        <v>4</v>
      </c>
      <c r="I144">
        <v>25</v>
      </c>
      <c r="J144">
        <v>9.25</v>
      </c>
      <c r="K144">
        <v>100</v>
      </c>
      <c r="L144">
        <v>90.75</v>
      </c>
      <c r="M144">
        <v>0.90749999999999997</v>
      </c>
      <c r="N144" t="s">
        <v>21</v>
      </c>
    </row>
    <row r="145" spans="1:14">
      <c r="A145">
        <v>235</v>
      </c>
      <c r="B145" s="4">
        <v>44630</v>
      </c>
      <c r="C145" s="5">
        <v>0.42569444444444443</v>
      </c>
      <c r="D145" t="s">
        <v>94</v>
      </c>
      <c r="E145" t="s">
        <v>23</v>
      </c>
      <c r="F145">
        <v>23</v>
      </c>
      <c r="G145" t="s">
        <v>30</v>
      </c>
      <c r="H145">
        <v>2</v>
      </c>
      <c r="I145">
        <v>500</v>
      </c>
      <c r="J145">
        <v>275</v>
      </c>
      <c r="K145">
        <v>1000</v>
      </c>
      <c r="L145">
        <v>725</v>
      </c>
      <c r="M145">
        <v>0.72499999999999998</v>
      </c>
      <c r="N145" t="s">
        <v>31</v>
      </c>
    </row>
    <row r="146" spans="1:14">
      <c r="A146">
        <v>300</v>
      </c>
      <c r="B146" s="4">
        <v>44569</v>
      </c>
      <c r="C146" s="5">
        <v>0.40347222222222223</v>
      </c>
      <c r="D146" t="s">
        <v>103</v>
      </c>
      <c r="E146" t="s">
        <v>23</v>
      </c>
      <c r="F146">
        <v>19</v>
      </c>
      <c r="G146" t="s">
        <v>30</v>
      </c>
      <c r="H146">
        <v>4</v>
      </c>
      <c r="I146">
        <v>50</v>
      </c>
      <c r="J146">
        <v>26.5</v>
      </c>
      <c r="K146">
        <v>200</v>
      </c>
      <c r="L146">
        <v>173.5</v>
      </c>
      <c r="M146">
        <v>0.86750000000000005</v>
      </c>
      <c r="N146" t="s">
        <v>31</v>
      </c>
    </row>
    <row r="147" spans="1:14">
      <c r="A147">
        <v>964</v>
      </c>
      <c r="B147" s="4">
        <v>44799</v>
      </c>
      <c r="C147" s="5">
        <v>0.34583333333333333</v>
      </c>
      <c r="D147" t="s">
        <v>60</v>
      </c>
      <c r="E147" t="s">
        <v>16</v>
      </c>
      <c r="F147">
        <v>24</v>
      </c>
      <c r="G147" t="s">
        <v>17</v>
      </c>
      <c r="H147">
        <v>3</v>
      </c>
      <c r="I147">
        <v>300</v>
      </c>
      <c r="J147">
        <v>156</v>
      </c>
      <c r="K147">
        <v>900</v>
      </c>
      <c r="L147">
        <v>744</v>
      </c>
      <c r="M147">
        <v>0.82666666666666666</v>
      </c>
      <c r="N147" t="s">
        <v>31</v>
      </c>
    </row>
    <row r="148" spans="1:14">
      <c r="A148">
        <v>1235</v>
      </c>
      <c r="B148" s="4">
        <v>44655</v>
      </c>
      <c r="C148" s="5">
        <v>0.28055555555555556</v>
      </c>
      <c r="D148" t="s">
        <v>116</v>
      </c>
      <c r="E148" t="s">
        <v>23</v>
      </c>
      <c r="F148">
        <v>23</v>
      </c>
      <c r="G148" t="s">
        <v>30</v>
      </c>
      <c r="H148">
        <v>2</v>
      </c>
      <c r="I148">
        <v>500</v>
      </c>
      <c r="J148">
        <v>220</v>
      </c>
      <c r="K148">
        <v>1000</v>
      </c>
      <c r="L148">
        <v>780</v>
      </c>
      <c r="M148">
        <v>0.78</v>
      </c>
      <c r="N148" t="s">
        <v>31</v>
      </c>
    </row>
    <row r="149" spans="1:14">
      <c r="A149">
        <v>1300</v>
      </c>
      <c r="B149" s="4">
        <v>44781</v>
      </c>
      <c r="C149" s="5">
        <v>0.37291666666666667</v>
      </c>
      <c r="D149" t="s">
        <v>105</v>
      </c>
      <c r="E149" t="s">
        <v>23</v>
      </c>
      <c r="F149">
        <v>19</v>
      </c>
      <c r="G149" t="s">
        <v>30</v>
      </c>
      <c r="H149">
        <v>4</v>
      </c>
      <c r="I149">
        <v>50</v>
      </c>
      <c r="J149">
        <v>24</v>
      </c>
      <c r="K149">
        <v>200</v>
      </c>
      <c r="L149">
        <v>176</v>
      </c>
      <c r="M149">
        <v>0.88</v>
      </c>
      <c r="N149" t="s">
        <v>31</v>
      </c>
    </row>
    <row r="150" spans="1:14">
      <c r="A150">
        <v>1964</v>
      </c>
      <c r="B150" s="4">
        <v>44775</v>
      </c>
      <c r="C150" s="5">
        <v>0.35208333333333336</v>
      </c>
      <c r="D150" t="s">
        <v>63</v>
      </c>
      <c r="E150" t="s">
        <v>16</v>
      </c>
      <c r="F150">
        <v>24</v>
      </c>
      <c r="G150" t="s">
        <v>17</v>
      </c>
      <c r="H150">
        <v>3</v>
      </c>
      <c r="I150">
        <v>300</v>
      </c>
      <c r="J150">
        <v>111</v>
      </c>
      <c r="K150">
        <v>900</v>
      </c>
      <c r="L150">
        <v>789</v>
      </c>
      <c r="M150">
        <v>0.87666666666666671</v>
      </c>
      <c r="N150" t="s">
        <v>31</v>
      </c>
    </row>
    <row r="151" spans="1:14">
      <c r="A151">
        <v>269</v>
      </c>
      <c r="B151" s="4">
        <v>44823</v>
      </c>
      <c r="C151" s="5">
        <v>0.47986111111111113</v>
      </c>
      <c r="D151" t="s">
        <v>116</v>
      </c>
      <c r="E151" t="s">
        <v>16</v>
      </c>
      <c r="F151">
        <v>25</v>
      </c>
      <c r="G151" t="s">
        <v>17</v>
      </c>
      <c r="H151">
        <v>4</v>
      </c>
      <c r="I151">
        <v>500</v>
      </c>
      <c r="J151">
        <v>250</v>
      </c>
      <c r="K151">
        <v>2000</v>
      </c>
      <c r="L151">
        <v>1750</v>
      </c>
      <c r="M151">
        <v>0.875</v>
      </c>
      <c r="N151" t="s">
        <v>31</v>
      </c>
    </row>
    <row r="152" spans="1:14">
      <c r="A152">
        <v>320</v>
      </c>
      <c r="B152" s="4">
        <v>44671</v>
      </c>
      <c r="C152" s="5">
        <v>0.3576388888888889</v>
      </c>
      <c r="D152" t="s">
        <v>64</v>
      </c>
      <c r="E152" t="s">
        <v>23</v>
      </c>
      <c r="F152">
        <v>28</v>
      </c>
      <c r="G152" t="s">
        <v>30</v>
      </c>
      <c r="H152">
        <v>4</v>
      </c>
      <c r="I152">
        <v>300</v>
      </c>
      <c r="J152">
        <v>159</v>
      </c>
      <c r="K152">
        <v>1200</v>
      </c>
      <c r="L152">
        <v>1041</v>
      </c>
      <c r="M152">
        <v>0.86750000000000005</v>
      </c>
      <c r="N152" t="s">
        <v>39</v>
      </c>
    </row>
    <row r="153" spans="1:14">
      <c r="A153">
        <v>673</v>
      </c>
      <c r="B153" s="4">
        <v>44746</v>
      </c>
      <c r="C153" s="5">
        <v>0.42638888888888887</v>
      </c>
      <c r="D153" t="s">
        <v>98</v>
      </c>
      <c r="E153" t="s">
        <v>23</v>
      </c>
      <c r="F153">
        <v>43</v>
      </c>
      <c r="G153" t="s">
        <v>17</v>
      </c>
      <c r="H153">
        <v>3</v>
      </c>
      <c r="I153">
        <v>500</v>
      </c>
      <c r="J153">
        <v>270</v>
      </c>
      <c r="K153">
        <v>1500</v>
      </c>
      <c r="L153">
        <v>1230</v>
      </c>
      <c r="M153">
        <v>0.82</v>
      </c>
      <c r="N153" t="s">
        <v>18</v>
      </c>
    </row>
    <row r="154" spans="1:14">
      <c r="A154">
        <v>1269</v>
      </c>
      <c r="B154" s="4">
        <v>44562</v>
      </c>
      <c r="C154" s="5">
        <v>0.33958333333333335</v>
      </c>
      <c r="D154" t="s">
        <v>67</v>
      </c>
      <c r="E154" t="s">
        <v>16</v>
      </c>
      <c r="F154">
        <v>25</v>
      </c>
      <c r="G154" t="s">
        <v>17</v>
      </c>
      <c r="H154">
        <v>4</v>
      </c>
      <c r="I154">
        <v>500</v>
      </c>
      <c r="J154">
        <v>145</v>
      </c>
      <c r="K154">
        <v>2000</v>
      </c>
      <c r="L154">
        <v>1855</v>
      </c>
      <c r="M154">
        <v>0.92749999999999999</v>
      </c>
      <c r="N154" t="s">
        <v>31</v>
      </c>
    </row>
    <row r="155" spans="1:14">
      <c r="A155">
        <v>1320</v>
      </c>
      <c r="B155" s="4">
        <v>44867</v>
      </c>
      <c r="C155" s="5">
        <v>0.49652777777777779</v>
      </c>
      <c r="D155" t="s">
        <v>37</v>
      </c>
      <c r="E155" t="s">
        <v>23</v>
      </c>
      <c r="F155">
        <v>28</v>
      </c>
      <c r="G155" t="s">
        <v>30</v>
      </c>
      <c r="H155">
        <v>4</v>
      </c>
      <c r="I155">
        <v>300</v>
      </c>
      <c r="J155">
        <v>84</v>
      </c>
      <c r="K155">
        <v>1200</v>
      </c>
      <c r="L155">
        <v>1116</v>
      </c>
      <c r="M155">
        <v>0.93</v>
      </c>
      <c r="N155" t="s">
        <v>39</v>
      </c>
    </row>
    <row r="156" spans="1:14">
      <c r="A156">
        <v>1673</v>
      </c>
      <c r="B156" s="4">
        <v>44726</v>
      </c>
      <c r="C156" s="5">
        <v>0.31666666666666665</v>
      </c>
      <c r="D156" t="s">
        <v>123</v>
      </c>
      <c r="E156" t="s">
        <v>23</v>
      </c>
      <c r="F156">
        <v>43</v>
      </c>
      <c r="G156" t="s">
        <v>17</v>
      </c>
      <c r="H156">
        <v>3</v>
      </c>
      <c r="I156">
        <v>500</v>
      </c>
      <c r="J156">
        <v>185</v>
      </c>
      <c r="K156">
        <v>1500</v>
      </c>
      <c r="L156">
        <v>1315</v>
      </c>
      <c r="M156">
        <v>0.87666666666666671</v>
      </c>
      <c r="N156" t="s">
        <v>18</v>
      </c>
    </row>
    <row r="157" spans="1:14">
      <c r="A157">
        <v>142</v>
      </c>
      <c r="B157" s="4">
        <v>44659</v>
      </c>
      <c r="C157" s="5">
        <v>0.4201388888888889</v>
      </c>
      <c r="D157" t="s">
        <v>89</v>
      </c>
      <c r="E157" t="s">
        <v>16</v>
      </c>
      <c r="F157">
        <v>35</v>
      </c>
      <c r="G157" t="s">
        <v>30</v>
      </c>
      <c r="H157">
        <v>4</v>
      </c>
      <c r="I157">
        <v>300</v>
      </c>
      <c r="J157">
        <v>138</v>
      </c>
      <c r="K157">
        <v>1200</v>
      </c>
      <c r="L157">
        <v>1062</v>
      </c>
      <c r="M157">
        <v>0.88500000000000001</v>
      </c>
      <c r="N157" t="s">
        <v>39</v>
      </c>
    </row>
    <row r="158" spans="1:14">
      <c r="A158">
        <v>223</v>
      </c>
      <c r="B158" s="4">
        <v>44576</v>
      </c>
      <c r="C158" s="5">
        <v>0.47083333333333333</v>
      </c>
      <c r="D158" t="s">
        <v>89</v>
      </c>
      <c r="E158" t="s">
        <v>23</v>
      </c>
      <c r="F158">
        <v>64</v>
      </c>
      <c r="G158" t="s">
        <v>17</v>
      </c>
      <c r="H158">
        <v>1</v>
      </c>
      <c r="I158">
        <v>25</v>
      </c>
      <c r="J158">
        <v>12</v>
      </c>
      <c r="K158">
        <v>25</v>
      </c>
      <c r="L158">
        <v>13</v>
      </c>
      <c r="M158">
        <v>0.52</v>
      </c>
      <c r="N158" t="s">
        <v>28</v>
      </c>
    </row>
    <row r="159" spans="1:14">
      <c r="A159">
        <v>666</v>
      </c>
      <c r="B159" s="4">
        <v>44623</v>
      </c>
      <c r="C159" s="5">
        <v>0.45763888888888887</v>
      </c>
      <c r="D159" t="s">
        <v>26</v>
      </c>
      <c r="E159" t="s">
        <v>16</v>
      </c>
      <c r="F159">
        <v>51</v>
      </c>
      <c r="G159" t="s">
        <v>30</v>
      </c>
      <c r="H159">
        <v>3</v>
      </c>
      <c r="I159">
        <v>50</v>
      </c>
      <c r="J159">
        <v>16</v>
      </c>
      <c r="K159">
        <v>150</v>
      </c>
      <c r="L159">
        <v>134</v>
      </c>
      <c r="M159">
        <v>0.89333333333333331</v>
      </c>
      <c r="N159" t="s">
        <v>21</v>
      </c>
    </row>
    <row r="160" spans="1:14">
      <c r="A160">
        <v>1142</v>
      </c>
      <c r="B160" s="4">
        <v>44874</v>
      </c>
      <c r="C160" s="5">
        <v>0.40902777777777777</v>
      </c>
      <c r="D160" t="s">
        <v>124</v>
      </c>
      <c r="E160" t="s">
        <v>16</v>
      </c>
      <c r="F160">
        <v>35</v>
      </c>
      <c r="G160" t="s">
        <v>30</v>
      </c>
      <c r="H160">
        <v>4</v>
      </c>
      <c r="I160">
        <v>300</v>
      </c>
      <c r="J160">
        <v>114</v>
      </c>
      <c r="K160">
        <v>1200</v>
      </c>
      <c r="L160">
        <v>1086</v>
      </c>
      <c r="M160">
        <v>0.90500000000000003</v>
      </c>
      <c r="N160" t="s">
        <v>39</v>
      </c>
    </row>
    <row r="161" spans="1:14">
      <c r="A161">
        <v>1223</v>
      </c>
      <c r="B161" s="4">
        <v>44612</v>
      </c>
      <c r="C161" s="5">
        <v>0.31944444444444442</v>
      </c>
      <c r="D161" t="s">
        <v>109</v>
      </c>
      <c r="E161" t="s">
        <v>23</v>
      </c>
      <c r="F161">
        <v>64</v>
      </c>
      <c r="G161" t="s">
        <v>17</v>
      </c>
      <c r="H161">
        <v>1</v>
      </c>
      <c r="I161">
        <v>25</v>
      </c>
      <c r="J161">
        <v>9.75</v>
      </c>
      <c r="K161">
        <v>25</v>
      </c>
      <c r="L161">
        <v>15.25</v>
      </c>
      <c r="M161">
        <v>0.61</v>
      </c>
      <c r="N161" t="s">
        <v>28</v>
      </c>
    </row>
    <row r="162" spans="1:14">
      <c r="A162">
        <v>1666</v>
      </c>
      <c r="B162" s="4">
        <v>44903</v>
      </c>
      <c r="C162" s="5">
        <v>0.4236111111111111</v>
      </c>
      <c r="D162" t="s">
        <v>125</v>
      </c>
      <c r="E162" t="s">
        <v>16</v>
      </c>
      <c r="F162">
        <v>51</v>
      </c>
      <c r="G162" t="s">
        <v>30</v>
      </c>
      <c r="H162">
        <v>3</v>
      </c>
      <c r="I162">
        <v>50</v>
      </c>
      <c r="J162">
        <v>21</v>
      </c>
      <c r="K162">
        <v>150</v>
      </c>
      <c r="L162">
        <v>129</v>
      </c>
      <c r="M162">
        <v>0.86</v>
      </c>
      <c r="N162" t="s">
        <v>21</v>
      </c>
    </row>
    <row r="163" spans="1:14">
      <c r="A163">
        <v>107</v>
      </c>
      <c r="B163" s="4">
        <v>44840</v>
      </c>
      <c r="C163" s="5">
        <v>0.38750000000000001</v>
      </c>
      <c r="D163" t="s">
        <v>82</v>
      </c>
      <c r="E163" t="s">
        <v>23</v>
      </c>
      <c r="F163">
        <v>21</v>
      </c>
      <c r="G163" t="s">
        <v>17</v>
      </c>
      <c r="H163">
        <v>4</v>
      </c>
      <c r="I163">
        <v>300</v>
      </c>
      <c r="J163">
        <v>78</v>
      </c>
      <c r="K163">
        <v>1200</v>
      </c>
      <c r="L163">
        <v>1122</v>
      </c>
      <c r="M163">
        <v>0.93500000000000005</v>
      </c>
      <c r="N163" t="s">
        <v>31</v>
      </c>
    </row>
    <row r="164" spans="1:14">
      <c r="A164">
        <v>933</v>
      </c>
      <c r="B164" s="4">
        <v>44823</v>
      </c>
      <c r="C164" s="5">
        <v>0.32847222222222222</v>
      </c>
      <c r="D164" t="s">
        <v>107</v>
      </c>
      <c r="E164" t="s">
        <v>16</v>
      </c>
      <c r="F164">
        <v>22</v>
      </c>
      <c r="G164" t="s">
        <v>20</v>
      </c>
      <c r="H164">
        <v>1</v>
      </c>
      <c r="I164">
        <v>30</v>
      </c>
      <c r="J164">
        <v>12.9</v>
      </c>
      <c r="K164">
        <v>30</v>
      </c>
      <c r="L164">
        <v>17.100000000000001</v>
      </c>
      <c r="M164">
        <v>0.57000000000000006</v>
      </c>
      <c r="N164" t="s">
        <v>31</v>
      </c>
    </row>
    <row r="165" spans="1:14">
      <c r="A165">
        <v>1107</v>
      </c>
      <c r="B165" s="4">
        <v>44926</v>
      </c>
      <c r="C165" s="5">
        <v>0.46805555555555556</v>
      </c>
      <c r="D165" t="s">
        <v>74</v>
      </c>
      <c r="E165" t="s">
        <v>23</v>
      </c>
      <c r="F165">
        <v>21</v>
      </c>
      <c r="G165" t="s">
        <v>17</v>
      </c>
      <c r="H165">
        <v>4</v>
      </c>
      <c r="I165">
        <v>300</v>
      </c>
      <c r="J165">
        <v>102</v>
      </c>
      <c r="K165">
        <v>1200</v>
      </c>
      <c r="L165">
        <v>1098</v>
      </c>
      <c r="M165">
        <v>0.91500000000000004</v>
      </c>
      <c r="N165" t="s">
        <v>31</v>
      </c>
    </row>
    <row r="166" spans="1:14">
      <c r="A166">
        <v>1933</v>
      </c>
      <c r="B166" s="4">
        <v>44573</v>
      </c>
      <c r="C166" s="5">
        <v>0.46111111111111114</v>
      </c>
      <c r="D166" t="s">
        <v>126</v>
      </c>
      <c r="E166" t="s">
        <v>16</v>
      </c>
      <c r="F166">
        <v>22</v>
      </c>
      <c r="G166" t="s">
        <v>20</v>
      </c>
      <c r="H166">
        <v>1</v>
      </c>
      <c r="I166">
        <v>30</v>
      </c>
      <c r="J166">
        <v>14.4</v>
      </c>
      <c r="K166">
        <v>30</v>
      </c>
      <c r="L166">
        <v>15.6</v>
      </c>
      <c r="M166">
        <v>0.52</v>
      </c>
      <c r="N166" t="s">
        <v>31</v>
      </c>
    </row>
    <row r="167" spans="1:14">
      <c r="A167">
        <v>237</v>
      </c>
      <c r="B167" s="4">
        <v>44662</v>
      </c>
      <c r="C167" s="5">
        <v>0.37083333333333335</v>
      </c>
      <c r="D167" t="s">
        <v>127</v>
      </c>
      <c r="E167" t="s">
        <v>23</v>
      </c>
      <c r="F167">
        <v>50</v>
      </c>
      <c r="G167" t="s">
        <v>20</v>
      </c>
      <c r="H167">
        <v>2</v>
      </c>
      <c r="I167">
        <v>500</v>
      </c>
      <c r="J167">
        <v>165</v>
      </c>
      <c r="K167">
        <v>1000</v>
      </c>
      <c r="L167">
        <v>835</v>
      </c>
      <c r="M167">
        <v>0.83499999999999996</v>
      </c>
      <c r="N167" t="s">
        <v>21</v>
      </c>
    </row>
    <row r="168" spans="1:14">
      <c r="A168">
        <v>335</v>
      </c>
      <c r="B168" s="4">
        <v>44594</v>
      </c>
      <c r="C168" s="5">
        <v>0.39097222222222222</v>
      </c>
      <c r="D168" t="s">
        <v>124</v>
      </c>
      <c r="E168" t="s">
        <v>23</v>
      </c>
      <c r="F168">
        <v>47</v>
      </c>
      <c r="G168" t="s">
        <v>20</v>
      </c>
      <c r="H168">
        <v>4</v>
      </c>
      <c r="I168">
        <v>30</v>
      </c>
      <c r="J168">
        <v>10.8</v>
      </c>
      <c r="K168">
        <v>120</v>
      </c>
      <c r="L168">
        <v>109.2</v>
      </c>
      <c r="M168">
        <v>0.91</v>
      </c>
      <c r="N168" t="s">
        <v>21</v>
      </c>
    </row>
    <row r="169" spans="1:14">
      <c r="A169">
        <v>1237</v>
      </c>
      <c r="B169" s="4">
        <v>44615</v>
      </c>
      <c r="C169" s="5">
        <v>0.3888888888888889</v>
      </c>
      <c r="D169" t="s">
        <v>25</v>
      </c>
      <c r="E169" t="s">
        <v>23</v>
      </c>
      <c r="F169">
        <v>50</v>
      </c>
      <c r="G169" t="s">
        <v>20</v>
      </c>
      <c r="H169">
        <v>2</v>
      </c>
      <c r="I169">
        <v>500</v>
      </c>
      <c r="J169">
        <v>215</v>
      </c>
      <c r="K169">
        <v>1000</v>
      </c>
      <c r="L169">
        <v>785</v>
      </c>
      <c r="M169">
        <v>0.78500000000000003</v>
      </c>
      <c r="N169" t="s">
        <v>21</v>
      </c>
    </row>
    <row r="170" spans="1:14">
      <c r="A170">
        <v>1335</v>
      </c>
      <c r="B170" s="4">
        <v>44708</v>
      </c>
      <c r="C170" s="5">
        <v>0.36458333333333331</v>
      </c>
      <c r="D170" t="s">
        <v>15</v>
      </c>
      <c r="E170" t="s">
        <v>23</v>
      </c>
      <c r="F170">
        <v>47</v>
      </c>
      <c r="G170" t="s">
        <v>20</v>
      </c>
      <c r="H170">
        <v>4</v>
      </c>
      <c r="I170">
        <v>30</v>
      </c>
      <c r="J170">
        <v>8.6999999999999993</v>
      </c>
      <c r="K170">
        <v>120</v>
      </c>
      <c r="L170">
        <v>111.3</v>
      </c>
      <c r="M170">
        <v>0.92749999999999999</v>
      </c>
      <c r="N170" t="s">
        <v>21</v>
      </c>
    </row>
    <row r="171" spans="1:14">
      <c r="A171">
        <v>63</v>
      </c>
      <c r="B171" s="4">
        <v>44595</v>
      </c>
      <c r="C171" s="5">
        <v>0.49236111111111114</v>
      </c>
      <c r="D171" t="s">
        <v>128</v>
      </c>
      <c r="E171" t="s">
        <v>16</v>
      </c>
      <c r="F171">
        <v>57</v>
      </c>
      <c r="G171" t="s">
        <v>30</v>
      </c>
      <c r="H171">
        <v>2</v>
      </c>
      <c r="I171">
        <v>25</v>
      </c>
      <c r="J171">
        <v>6.25</v>
      </c>
      <c r="K171">
        <v>50</v>
      </c>
      <c r="L171">
        <v>43.75</v>
      </c>
      <c r="M171">
        <v>0.875</v>
      </c>
      <c r="N171" t="s">
        <v>28</v>
      </c>
    </row>
    <row r="172" spans="1:14">
      <c r="A172">
        <v>195</v>
      </c>
      <c r="B172" s="4">
        <v>44787</v>
      </c>
      <c r="C172" s="5">
        <v>0.49375000000000002</v>
      </c>
      <c r="D172" t="s">
        <v>121</v>
      </c>
      <c r="E172" t="s">
        <v>16</v>
      </c>
      <c r="F172">
        <v>52</v>
      </c>
      <c r="G172" t="s">
        <v>17</v>
      </c>
      <c r="H172">
        <v>1</v>
      </c>
      <c r="I172">
        <v>30</v>
      </c>
      <c r="J172">
        <v>9.3000000000000007</v>
      </c>
      <c r="K172">
        <v>30</v>
      </c>
      <c r="L172">
        <v>20.7</v>
      </c>
      <c r="M172">
        <v>0.69</v>
      </c>
      <c r="N172" t="s">
        <v>21</v>
      </c>
    </row>
    <row r="173" spans="1:14">
      <c r="A173">
        <v>333</v>
      </c>
      <c r="B173" s="4">
        <v>44840</v>
      </c>
      <c r="C173" s="5">
        <v>0.34375</v>
      </c>
      <c r="D173" t="s">
        <v>129</v>
      </c>
      <c r="E173" t="s">
        <v>23</v>
      </c>
      <c r="F173">
        <v>54</v>
      </c>
      <c r="G173" t="s">
        <v>30</v>
      </c>
      <c r="H173">
        <v>4</v>
      </c>
      <c r="I173">
        <v>300</v>
      </c>
      <c r="J173">
        <v>99</v>
      </c>
      <c r="K173">
        <v>1200</v>
      </c>
      <c r="L173">
        <v>1101</v>
      </c>
      <c r="M173">
        <v>0.91749999999999998</v>
      </c>
      <c r="N173" t="s">
        <v>21</v>
      </c>
    </row>
    <row r="174" spans="1:14">
      <c r="A174">
        <v>379</v>
      </c>
      <c r="B174" s="4">
        <v>44713</v>
      </c>
      <c r="C174" s="5">
        <v>0.31111111111111112</v>
      </c>
      <c r="D174" t="s">
        <v>130</v>
      </c>
      <c r="E174" t="s">
        <v>23</v>
      </c>
      <c r="F174">
        <v>47</v>
      </c>
      <c r="G174" t="s">
        <v>17</v>
      </c>
      <c r="H174">
        <v>1</v>
      </c>
      <c r="I174">
        <v>25</v>
      </c>
      <c r="J174">
        <v>8.5</v>
      </c>
      <c r="K174">
        <v>25</v>
      </c>
      <c r="L174">
        <v>16.5</v>
      </c>
      <c r="M174">
        <v>0.66</v>
      </c>
      <c r="N174" t="s">
        <v>21</v>
      </c>
    </row>
    <row r="175" spans="1:14">
      <c r="A175">
        <v>490</v>
      </c>
      <c r="B175" s="4">
        <v>44588</v>
      </c>
      <c r="C175" s="5">
        <v>0.25486111111111109</v>
      </c>
      <c r="D175" t="s">
        <v>131</v>
      </c>
      <c r="E175" t="s">
        <v>16</v>
      </c>
      <c r="F175">
        <v>34</v>
      </c>
      <c r="G175" t="s">
        <v>17</v>
      </c>
      <c r="H175">
        <v>3</v>
      </c>
      <c r="I175">
        <v>50</v>
      </c>
      <c r="J175">
        <v>18.5</v>
      </c>
      <c r="K175">
        <v>150</v>
      </c>
      <c r="L175">
        <v>131.5</v>
      </c>
      <c r="M175">
        <v>0.87666666666666671</v>
      </c>
      <c r="N175" t="s">
        <v>39</v>
      </c>
    </row>
    <row r="176" spans="1:14">
      <c r="A176">
        <v>530</v>
      </c>
      <c r="B176" s="4">
        <v>44682</v>
      </c>
      <c r="C176" s="5">
        <v>0.32777777777777778</v>
      </c>
      <c r="D176" t="s">
        <v>85</v>
      </c>
      <c r="E176" t="s">
        <v>23</v>
      </c>
      <c r="F176">
        <v>18</v>
      </c>
      <c r="G176" t="s">
        <v>30</v>
      </c>
      <c r="H176">
        <v>4</v>
      </c>
      <c r="I176">
        <v>30</v>
      </c>
      <c r="J176">
        <v>9</v>
      </c>
      <c r="K176">
        <v>120</v>
      </c>
      <c r="L176">
        <v>111</v>
      </c>
      <c r="M176">
        <v>0.92500000000000004</v>
      </c>
      <c r="N176" t="s">
        <v>31</v>
      </c>
    </row>
    <row r="177" spans="1:14">
      <c r="A177">
        <v>740</v>
      </c>
      <c r="B177" s="4">
        <v>44896</v>
      </c>
      <c r="C177" s="5">
        <v>0.2902777777777778</v>
      </c>
      <c r="D177" t="s">
        <v>86</v>
      </c>
      <c r="E177" t="s">
        <v>23</v>
      </c>
      <c r="F177">
        <v>25</v>
      </c>
      <c r="G177" t="s">
        <v>20</v>
      </c>
      <c r="H177">
        <v>4</v>
      </c>
      <c r="I177">
        <v>50</v>
      </c>
      <c r="J177">
        <v>13</v>
      </c>
      <c r="K177">
        <v>200</v>
      </c>
      <c r="L177">
        <v>187</v>
      </c>
      <c r="M177">
        <v>0.93500000000000005</v>
      </c>
      <c r="N177" t="s">
        <v>31</v>
      </c>
    </row>
    <row r="178" spans="1:14">
      <c r="A178">
        <v>793</v>
      </c>
      <c r="B178" s="4">
        <v>44708</v>
      </c>
      <c r="C178" s="5">
        <v>0.45347222222222222</v>
      </c>
      <c r="D178" t="s">
        <v>40</v>
      </c>
      <c r="E178" t="s">
        <v>16</v>
      </c>
      <c r="F178">
        <v>54</v>
      </c>
      <c r="G178" t="s">
        <v>20</v>
      </c>
      <c r="H178">
        <v>1</v>
      </c>
      <c r="I178">
        <v>30</v>
      </c>
      <c r="J178">
        <v>14.7</v>
      </c>
      <c r="K178">
        <v>30</v>
      </c>
      <c r="L178">
        <v>15.3</v>
      </c>
      <c r="M178">
        <v>0.51</v>
      </c>
      <c r="N178" t="s">
        <v>21</v>
      </c>
    </row>
    <row r="179" spans="1:14">
      <c r="A179">
        <v>1063</v>
      </c>
      <c r="B179" s="4">
        <v>44777</v>
      </c>
      <c r="C179" s="5">
        <v>0.43472222222222223</v>
      </c>
      <c r="D179" t="s">
        <v>119</v>
      </c>
      <c r="E179" t="s">
        <v>16</v>
      </c>
      <c r="F179">
        <v>57</v>
      </c>
      <c r="G179" t="s">
        <v>30</v>
      </c>
      <c r="H179">
        <v>2</v>
      </c>
      <c r="I179">
        <v>25</v>
      </c>
      <c r="J179">
        <v>11</v>
      </c>
      <c r="K179">
        <v>50</v>
      </c>
      <c r="L179">
        <v>39</v>
      </c>
      <c r="M179">
        <v>0.78</v>
      </c>
      <c r="N179" t="s">
        <v>28</v>
      </c>
    </row>
    <row r="180" spans="1:14">
      <c r="A180">
        <v>1195</v>
      </c>
      <c r="B180" s="4">
        <v>44825</v>
      </c>
      <c r="C180" s="5">
        <v>0.29652777777777778</v>
      </c>
      <c r="D180" t="s">
        <v>83</v>
      </c>
      <c r="E180" t="s">
        <v>16</v>
      </c>
      <c r="F180">
        <v>52</v>
      </c>
      <c r="G180" t="s">
        <v>17</v>
      </c>
      <c r="H180">
        <v>1</v>
      </c>
      <c r="I180">
        <v>30</v>
      </c>
      <c r="J180">
        <v>12</v>
      </c>
      <c r="K180">
        <v>30</v>
      </c>
      <c r="L180">
        <v>18</v>
      </c>
      <c r="M180">
        <v>0.6</v>
      </c>
      <c r="N180" t="s">
        <v>21</v>
      </c>
    </row>
    <row r="181" spans="1:14">
      <c r="A181">
        <v>1333</v>
      </c>
      <c r="B181" s="4">
        <v>44866</v>
      </c>
      <c r="C181" s="5">
        <v>0.48472222222222222</v>
      </c>
      <c r="D181" t="s">
        <v>132</v>
      </c>
      <c r="E181" t="s">
        <v>23</v>
      </c>
      <c r="F181">
        <v>54</v>
      </c>
      <c r="G181" t="s">
        <v>30</v>
      </c>
      <c r="H181">
        <v>4</v>
      </c>
      <c r="I181">
        <v>300</v>
      </c>
      <c r="J181">
        <v>165</v>
      </c>
      <c r="K181">
        <v>1200</v>
      </c>
      <c r="L181">
        <v>1035</v>
      </c>
      <c r="M181">
        <v>0.86250000000000004</v>
      </c>
      <c r="N181" t="s">
        <v>21</v>
      </c>
    </row>
    <row r="182" spans="1:14">
      <c r="A182">
        <v>1379</v>
      </c>
      <c r="B182" s="4">
        <v>44563</v>
      </c>
      <c r="C182" s="5">
        <v>0.26597222222222222</v>
      </c>
      <c r="D182" t="s">
        <v>95</v>
      </c>
      <c r="E182" t="s">
        <v>23</v>
      </c>
      <c r="F182">
        <v>47</v>
      </c>
      <c r="G182" t="s">
        <v>17</v>
      </c>
      <c r="H182">
        <v>1</v>
      </c>
      <c r="I182">
        <v>25</v>
      </c>
      <c r="J182">
        <v>7.25</v>
      </c>
      <c r="K182">
        <v>25</v>
      </c>
      <c r="L182">
        <v>17.75</v>
      </c>
      <c r="M182">
        <v>0.71</v>
      </c>
      <c r="N182" t="s">
        <v>21</v>
      </c>
    </row>
    <row r="183" spans="1:14">
      <c r="A183">
        <v>1490</v>
      </c>
      <c r="B183" s="4">
        <v>44860</v>
      </c>
      <c r="C183" s="5">
        <v>0.30208333333333331</v>
      </c>
      <c r="D183" t="s">
        <v>133</v>
      </c>
      <c r="E183" t="s">
        <v>16</v>
      </c>
      <c r="F183">
        <v>34</v>
      </c>
      <c r="G183" t="s">
        <v>17</v>
      </c>
      <c r="H183">
        <v>3</v>
      </c>
      <c r="I183">
        <v>50</v>
      </c>
      <c r="J183">
        <v>17</v>
      </c>
      <c r="K183">
        <v>150</v>
      </c>
      <c r="L183">
        <v>133</v>
      </c>
      <c r="M183">
        <v>0.88666666666666671</v>
      </c>
      <c r="N183" t="s">
        <v>39</v>
      </c>
    </row>
    <row r="184" spans="1:14">
      <c r="A184">
        <v>1530</v>
      </c>
      <c r="B184" s="4">
        <v>44905</v>
      </c>
      <c r="C184" s="5">
        <v>0.34513888888888888</v>
      </c>
      <c r="D184" t="s">
        <v>134</v>
      </c>
      <c r="E184" t="s">
        <v>23</v>
      </c>
      <c r="F184">
        <v>18</v>
      </c>
      <c r="G184" t="s">
        <v>30</v>
      </c>
      <c r="H184">
        <v>4</v>
      </c>
      <c r="I184">
        <v>30</v>
      </c>
      <c r="J184">
        <v>12.3</v>
      </c>
      <c r="K184">
        <v>120</v>
      </c>
      <c r="L184">
        <v>107.7</v>
      </c>
      <c r="M184">
        <v>0.89750000000000008</v>
      </c>
      <c r="N184" t="s">
        <v>31</v>
      </c>
    </row>
    <row r="185" spans="1:14">
      <c r="A185">
        <v>1740</v>
      </c>
      <c r="B185" s="4">
        <v>44758</v>
      </c>
      <c r="C185" s="5">
        <v>0.25069444444444444</v>
      </c>
      <c r="D185" t="s">
        <v>32</v>
      </c>
      <c r="E185" t="s">
        <v>23</v>
      </c>
      <c r="F185">
        <v>25</v>
      </c>
      <c r="G185" t="s">
        <v>20</v>
      </c>
      <c r="H185">
        <v>4</v>
      </c>
      <c r="I185">
        <v>50</v>
      </c>
      <c r="J185">
        <v>27</v>
      </c>
      <c r="K185">
        <v>200</v>
      </c>
      <c r="L185">
        <v>173</v>
      </c>
      <c r="M185">
        <v>0.86499999999999999</v>
      </c>
      <c r="N185" t="s">
        <v>31</v>
      </c>
    </row>
    <row r="186" spans="1:14">
      <c r="A186">
        <v>1793</v>
      </c>
      <c r="B186" s="4">
        <v>44906</v>
      </c>
      <c r="C186" s="5">
        <v>0.25347222222222221</v>
      </c>
      <c r="D186" t="s">
        <v>68</v>
      </c>
      <c r="E186" t="s">
        <v>16</v>
      </c>
      <c r="F186">
        <v>54</v>
      </c>
      <c r="G186" t="s">
        <v>20</v>
      </c>
      <c r="H186">
        <v>1</v>
      </c>
      <c r="I186">
        <v>30</v>
      </c>
      <c r="J186">
        <v>10.8</v>
      </c>
      <c r="K186">
        <v>30</v>
      </c>
      <c r="L186">
        <v>19.2</v>
      </c>
      <c r="M186">
        <v>0.64</v>
      </c>
      <c r="N186" t="s">
        <v>21</v>
      </c>
    </row>
    <row r="187" spans="1:14">
      <c r="A187">
        <v>85</v>
      </c>
      <c r="B187" s="4">
        <v>44807</v>
      </c>
      <c r="C187" s="5">
        <v>0.33680555555555558</v>
      </c>
      <c r="D187" t="s">
        <v>47</v>
      </c>
      <c r="E187" t="s">
        <v>16</v>
      </c>
      <c r="F187">
        <v>31</v>
      </c>
      <c r="G187" t="s">
        <v>17</v>
      </c>
      <c r="H187">
        <v>3</v>
      </c>
      <c r="I187">
        <v>50</v>
      </c>
      <c r="J187">
        <v>19</v>
      </c>
      <c r="K187">
        <v>150</v>
      </c>
      <c r="L187">
        <v>131</v>
      </c>
      <c r="M187">
        <v>0.87333333333333329</v>
      </c>
      <c r="N187" t="s">
        <v>39</v>
      </c>
    </row>
    <row r="188" spans="1:14">
      <c r="A188">
        <v>232</v>
      </c>
      <c r="B188" s="4">
        <v>44785</v>
      </c>
      <c r="C188" s="5">
        <v>0.30138888888888887</v>
      </c>
      <c r="D188" t="s">
        <v>41</v>
      </c>
      <c r="E188" t="s">
        <v>23</v>
      </c>
      <c r="F188">
        <v>43</v>
      </c>
      <c r="G188" t="s">
        <v>20</v>
      </c>
      <c r="H188">
        <v>1</v>
      </c>
      <c r="I188">
        <v>25</v>
      </c>
      <c r="J188">
        <v>12.75</v>
      </c>
      <c r="K188">
        <v>25</v>
      </c>
      <c r="L188">
        <v>12.25</v>
      </c>
      <c r="M188">
        <v>0.49</v>
      </c>
      <c r="N188" t="s">
        <v>18</v>
      </c>
    </row>
    <row r="189" spans="1:14">
      <c r="A189">
        <v>240</v>
      </c>
      <c r="B189" s="4">
        <v>44870</v>
      </c>
      <c r="C189" s="5">
        <v>0.49236111111111114</v>
      </c>
      <c r="D189" t="s">
        <v>135</v>
      </c>
      <c r="E189" t="s">
        <v>23</v>
      </c>
      <c r="F189">
        <v>23</v>
      </c>
      <c r="G189" t="s">
        <v>20</v>
      </c>
      <c r="H189">
        <v>1</v>
      </c>
      <c r="I189">
        <v>300</v>
      </c>
      <c r="J189">
        <v>123</v>
      </c>
      <c r="K189">
        <v>300</v>
      </c>
      <c r="L189">
        <v>177</v>
      </c>
      <c r="M189">
        <v>0.59</v>
      </c>
      <c r="N189" t="s">
        <v>31</v>
      </c>
    </row>
    <row r="190" spans="1:14">
      <c r="A190">
        <v>993</v>
      </c>
      <c r="B190" s="4">
        <v>44811</v>
      </c>
      <c r="C190" s="5">
        <v>0.38958333333333334</v>
      </c>
      <c r="D190" t="s">
        <v>136</v>
      </c>
      <c r="E190" t="s">
        <v>23</v>
      </c>
      <c r="F190">
        <v>48</v>
      </c>
      <c r="G190" t="s">
        <v>30</v>
      </c>
      <c r="H190">
        <v>3</v>
      </c>
      <c r="I190">
        <v>50</v>
      </c>
      <c r="J190">
        <v>17</v>
      </c>
      <c r="K190">
        <v>150</v>
      </c>
      <c r="L190">
        <v>133</v>
      </c>
      <c r="M190">
        <v>0.88666666666666671</v>
      </c>
      <c r="N190" t="s">
        <v>21</v>
      </c>
    </row>
    <row r="191" spans="1:14">
      <c r="A191">
        <v>1085</v>
      </c>
      <c r="B191" s="4">
        <v>44785</v>
      </c>
      <c r="C191" s="5">
        <v>0.39513888888888887</v>
      </c>
      <c r="D191" t="s">
        <v>130</v>
      </c>
      <c r="E191" t="s">
        <v>16</v>
      </c>
      <c r="F191">
        <v>31</v>
      </c>
      <c r="G191" t="s">
        <v>17</v>
      </c>
      <c r="H191">
        <v>3</v>
      </c>
      <c r="I191">
        <v>50</v>
      </c>
      <c r="J191">
        <v>17</v>
      </c>
      <c r="K191">
        <v>150</v>
      </c>
      <c r="L191">
        <v>133</v>
      </c>
      <c r="M191">
        <v>0.88666666666666671</v>
      </c>
      <c r="N191" t="s">
        <v>39</v>
      </c>
    </row>
    <row r="192" spans="1:14">
      <c r="A192">
        <v>1232</v>
      </c>
      <c r="B192" s="4">
        <v>44704</v>
      </c>
      <c r="C192" s="5">
        <v>0.33680555555555558</v>
      </c>
      <c r="D192" t="s">
        <v>108</v>
      </c>
      <c r="E192" t="s">
        <v>23</v>
      </c>
      <c r="F192">
        <v>43</v>
      </c>
      <c r="G192" t="s">
        <v>20</v>
      </c>
      <c r="H192">
        <v>1</v>
      </c>
      <c r="I192">
        <v>25</v>
      </c>
      <c r="J192">
        <v>6.25</v>
      </c>
      <c r="K192">
        <v>25</v>
      </c>
      <c r="L192">
        <v>18.75</v>
      </c>
      <c r="M192">
        <v>0.75</v>
      </c>
      <c r="N192" t="s">
        <v>18</v>
      </c>
    </row>
    <row r="193" spans="1:14">
      <c r="A193">
        <v>1240</v>
      </c>
      <c r="B193" s="4">
        <v>44780</v>
      </c>
      <c r="C193" s="5">
        <v>0.32083333333333336</v>
      </c>
      <c r="D193" t="s">
        <v>27</v>
      </c>
      <c r="E193" t="s">
        <v>23</v>
      </c>
      <c r="F193">
        <v>23</v>
      </c>
      <c r="G193" t="s">
        <v>20</v>
      </c>
      <c r="H193">
        <v>1</v>
      </c>
      <c r="I193">
        <v>300</v>
      </c>
      <c r="J193">
        <v>90</v>
      </c>
      <c r="K193">
        <v>300</v>
      </c>
      <c r="L193">
        <v>210</v>
      </c>
      <c r="M193">
        <v>0.7</v>
      </c>
      <c r="N193" t="s">
        <v>31</v>
      </c>
    </row>
    <row r="194" spans="1:14">
      <c r="A194">
        <v>1993</v>
      </c>
      <c r="B194" s="4">
        <v>44924</v>
      </c>
      <c r="C194" s="5">
        <v>0.49513888888888891</v>
      </c>
      <c r="D194" t="s">
        <v>46</v>
      </c>
      <c r="E194" t="s">
        <v>23</v>
      </c>
      <c r="F194">
        <v>48</v>
      </c>
      <c r="G194" t="s">
        <v>30</v>
      </c>
      <c r="H194">
        <v>3</v>
      </c>
      <c r="I194">
        <v>50</v>
      </c>
      <c r="J194">
        <v>26.5</v>
      </c>
      <c r="K194">
        <v>150</v>
      </c>
      <c r="L194">
        <v>123.5</v>
      </c>
      <c r="M194">
        <v>0.82333333333333336</v>
      </c>
      <c r="N194" t="s">
        <v>21</v>
      </c>
    </row>
    <row r="195" spans="1:14">
      <c r="A195">
        <v>366</v>
      </c>
      <c r="B195" s="4">
        <v>44863</v>
      </c>
      <c r="C195" s="5">
        <v>0.3972222222222222</v>
      </c>
      <c r="D195" t="s">
        <v>57</v>
      </c>
      <c r="E195" t="s">
        <v>16</v>
      </c>
      <c r="F195">
        <v>57</v>
      </c>
      <c r="G195" t="s">
        <v>17</v>
      </c>
      <c r="H195">
        <v>2</v>
      </c>
      <c r="I195">
        <v>50</v>
      </c>
      <c r="J195">
        <v>17.5</v>
      </c>
      <c r="K195">
        <v>100</v>
      </c>
      <c r="L195">
        <v>82.5</v>
      </c>
      <c r="M195">
        <v>0.82499999999999996</v>
      </c>
      <c r="N195" t="s">
        <v>28</v>
      </c>
    </row>
    <row r="196" spans="1:14">
      <c r="A196">
        <v>372</v>
      </c>
      <c r="B196" s="4">
        <v>44731</v>
      </c>
      <c r="C196" s="5">
        <v>0.48958333333333331</v>
      </c>
      <c r="D196" t="s">
        <v>110</v>
      </c>
      <c r="E196" t="s">
        <v>23</v>
      </c>
      <c r="F196">
        <v>24</v>
      </c>
      <c r="G196" t="s">
        <v>20</v>
      </c>
      <c r="H196">
        <v>3</v>
      </c>
      <c r="I196">
        <v>500</v>
      </c>
      <c r="J196">
        <v>140</v>
      </c>
      <c r="K196">
        <v>1500</v>
      </c>
      <c r="L196">
        <v>1360</v>
      </c>
      <c r="M196">
        <v>0.90666666666666662</v>
      </c>
      <c r="N196" t="s">
        <v>31</v>
      </c>
    </row>
    <row r="197" spans="1:14">
      <c r="A197">
        <v>596</v>
      </c>
      <c r="B197" s="4">
        <v>44604</v>
      </c>
      <c r="C197" s="5">
        <v>0.36388888888888887</v>
      </c>
      <c r="D197" t="s">
        <v>116</v>
      </c>
      <c r="E197" t="s">
        <v>23</v>
      </c>
      <c r="F197">
        <v>64</v>
      </c>
      <c r="G197" t="s">
        <v>30</v>
      </c>
      <c r="H197">
        <v>1</v>
      </c>
      <c r="I197">
        <v>300</v>
      </c>
      <c r="J197">
        <v>93</v>
      </c>
      <c r="K197">
        <v>300</v>
      </c>
      <c r="L197">
        <v>207</v>
      </c>
      <c r="M197">
        <v>0.69</v>
      </c>
      <c r="N197" t="s">
        <v>28</v>
      </c>
    </row>
    <row r="198" spans="1:14">
      <c r="A198">
        <v>936</v>
      </c>
      <c r="B198" s="4">
        <v>44566</v>
      </c>
      <c r="C198" s="5">
        <v>0.45208333333333334</v>
      </c>
      <c r="D198" t="s">
        <v>102</v>
      </c>
      <c r="E198" t="s">
        <v>16</v>
      </c>
      <c r="F198">
        <v>57</v>
      </c>
      <c r="G198" t="s">
        <v>20</v>
      </c>
      <c r="H198">
        <v>4</v>
      </c>
      <c r="I198">
        <v>50</v>
      </c>
      <c r="J198">
        <v>19.5</v>
      </c>
      <c r="K198">
        <v>200</v>
      </c>
      <c r="L198">
        <v>180.5</v>
      </c>
      <c r="M198">
        <v>0.90249999999999997</v>
      </c>
      <c r="N198" t="s">
        <v>28</v>
      </c>
    </row>
    <row r="199" spans="1:14">
      <c r="A199">
        <v>1366</v>
      </c>
      <c r="B199" s="4">
        <v>44562</v>
      </c>
      <c r="C199" s="5">
        <v>0.48194444444444445</v>
      </c>
      <c r="D199" t="s">
        <v>54</v>
      </c>
      <c r="E199" t="s">
        <v>16</v>
      </c>
      <c r="F199">
        <v>57</v>
      </c>
      <c r="G199" t="s">
        <v>17</v>
      </c>
      <c r="H199">
        <v>2</v>
      </c>
      <c r="I199">
        <v>50</v>
      </c>
      <c r="J199">
        <v>23.5</v>
      </c>
      <c r="K199">
        <v>100</v>
      </c>
      <c r="L199">
        <v>76.5</v>
      </c>
      <c r="M199">
        <v>0.76500000000000001</v>
      </c>
      <c r="N199" t="s">
        <v>28</v>
      </c>
    </row>
    <row r="200" spans="1:14">
      <c r="A200">
        <v>1372</v>
      </c>
      <c r="B200" s="4">
        <v>44638</v>
      </c>
      <c r="C200" s="5">
        <v>0.45347222222222222</v>
      </c>
      <c r="D200" t="s">
        <v>137</v>
      </c>
      <c r="E200" t="s">
        <v>23</v>
      </c>
      <c r="F200">
        <v>24</v>
      </c>
      <c r="G200" t="s">
        <v>20</v>
      </c>
      <c r="H200">
        <v>3</v>
      </c>
      <c r="I200">
        <v>500</v>
      </c>
      <c r="J200">
        <v>145</v>
      </c>
      <c r="K200">
        <v>1500</v>
      </c>
      <c r="L200">
        <v>1355</v>
      </c>
      <c r="M200">
        <v>0.90333333333333332</v>
      </c>
      <c r="N200" t="s">
        <v>31</v>
      </c>
    </row>
    <row r="201" spans="1:14">
      <c r="A201">
        <v>1596</v>
      </c>
      <c r="B201" s="4">
        <v>44648</v>
      </c>
      <c r="C201" s="5">
        <v>0.26527777777777778</v>
      </c>
      <c r="D201" t="s">
        <v>105</v>
      </c>
      <c r="E201" t="s">
        <v>23</v>
      </c>
      <c r="F201">
        <v>64</v>
      </c>
      <c r="G201" t="s">
        <v>30</v>
      </c>
      <c r="H201">
        <v>1</v>
      </c>
      <c r="I201">
        <v>300</v>
      </c>
      <c r="J201">
        <v>141</v>
      </c>
      <c r="K201">
        <v>300</v>
      </c>
      <c r="L201">
        <v>159</v>
      </c>
      <c r="M201">
        <v>0.53</v>
      </c>
      <c r="N201" t="s">
        <v>28</v>
      </c>
    </row>
    <row r="202" spans="1:14">
      <c r="A202">
        <v>1936</v>
      </c>
      <c r="B202" s="4">
        <v>44731</v>
      </c>
      <c r="C202" s="5">
        <v>0.48055555555555557</v>
      </c>
      <c r="D202" t="s">
        <v>137</v>
      </c>
      <c r="E202" t="s">
        <v>16</v>
      </c>
      <c r="F202">
        <v>57</v>
      </c>
      <c r="G202" t="s">
        <v>20</v>
      </c>
      <c r="H202">
        <v>4</v>
      </c>
      <c r="I202">
        <v>50</v>
      </c>
      <c r="J202">
        <v>12.5</v>
      </c>
      <c r="K202">
        <v>200</v>
      </c>
      <c r="L202">
        <v>187.5</v>
      </c>
      <c r="M202">
        <v>0.9375</v>
      </c>
      <c r="N202" t="s">
        <v>28</v>
      </c>
    </row>
    <row r="203" spans="1:14">
      <c r="A203">
        <v>284</v>
      </c>
      <c r="B203" s="4">
        <v>44877</v>
      </c>
      <c r="C203" s="5">
        <v>0.38680555555555557</v>
      </c>
      <c r="D203" t="s">
        <v>90</v>
      </c>
      <c r="E203" t="s">
        <v>16</v>
      </c>
      <c r="F203">
        <v>43</v>
      </c>
      <c r="G203" t="s">
        <v>17</v>
      </c>
      <c r="H203">
        <v>4</v>
      </c>
      <c r="I203">
        <v>50</v>
      </c>
      <c r="J203">
        <v>20.5</v>
      </c>
      <c r="K203">
        <v>200</v>
      </c>
      <c r="L203">
        <v>179.5</v>
      </c>
      <c r="M203">
        <v>0.89749999999999996</v>
      </c>
      <c r="N203" t="s">
        <v>18</v>
      </c>
    </row>
    <row r="204" spans="1:14">
      <c r="A204">
        <v>434</v>
      </c>
      <c r="B204" s="4">
        <v>44860</v>
      </c>
      <c r="C204" s="5">
        <v>0.25624999999999998</v>
      </c>
      <c r="D204" t="s">
        <v>42</v>
      </c>
      <c r="E204" t="s">
        <v>23</v>
      </c>
      <c r="F204">
        <v>43</v>
      </c>
      <c r="G204" t="s">
        <v>30</v>
      </c>
      <c r="H204">
        <v>2</v>
      </c>
      <c r="I204">
        <v>25</v>
      </c>
      <c r="J204">
        <v>8.25</v>
      </c>
      <c r="K204">
        <v>50</v>
      </c>
      <c r="L204">
        <v>41.75</v>
      </c>
      <c r="M204">
        <v>0.83499999999999996</v>
      </c>
      <c r="N204" t="s">
        <v>18</v>
      </c>
    </row>
    <row r="205" spans="1:14">
      <c r="A205">
        <v>775</v>
      </c>
      <c r="B205" s="4">
        <v>44687</v>
      </c>
      <c r="C205" s="5">
        <v>0.46319444444444446</v>
      </c>
      <c r="D205" t="s">
        <v>45</v>
      </c>
      <c r="E205" t="s">
        <v>23</v>
      </c>
      <c r="F205">
        <v>46</v>
      </c>
      <c r="G205" t="s">
        <v>30</v>
      </c>
      <c r="H205">
        <v>4</v>
      </c>
      <c r="I205">
        <v>25</v>
      </c>
      <c r="J205">
        <v>9.5</v>
      </c>
      <c r="K205">
        <v>100</v>
      </c>
      <c r="L205">
        <v>90.5</v>
      </c>
      <c r="M205">
        <v>0.90500000000000003</v>
      </c>
      <c r="N205" t="s">
        <v>21</v>
      </c>
    </row>
    <row r="206" spans="1:14">
      <c r="A206">
        <v>977</v>
      </c>
      <c r="B206" s="4">
        <v>44768</v>
      </c>
      <c r="C206" s="5">
        <v>0.3576388888888889</v>
      </c>
      <c r="D206" t="s">
        <v>118</v>
      </c>
      <c r="E206" t="s">
        <v>23</v>
      </c>
      <c r="F206">
        <v>35</v>
      </c>
      <c r="G206" t="s">
        <v>30</v>
      </c>
      <c r="H206">
        <v>3</v>
      </c>
      <c r="I206">
        <v>25</v>
      </c>
      <c r="J206">
        <v>13.75</v>
      </c>
      <c r="K206">
        <v>75</v>
      </c>
      <c r="L206">
        <v>61.25</v>
      </c>
      <c r="M206">
        <v>0.81666666666666665</v>
      </c>
      <c r="N206" t="s">
        <v>39</v>
      </c>
    </row>
    <row r="207" spans="1:14">
      <c r="A207">
        <v>1284</v>
      </c>
      <c r="B207" s="4">
        <v>44911</v>
      </c>
      <c r="C207" s="5">
        <v>0.48819444444444443</v>
      </c>
      <c r="D207" t="s">
        <v>61</v>
      </c>
      <c r="E207" t="s">
        <v>16</v>
      </c>
      <c r="F207">
        <v>43</v>
      </c>
      <c r="G207" t="s">
        <v>17</v>
      </c>
      <c r="H207">
        <v>4</v>
      </c>
      <c r="I207">
        <v>50</v>
      </c>
      <c r="J207">
        <v>18</v>
      </c>
      <c r="K207">
        <v>200</v>
      </c>
      <c r="L207">
        <v>182</v>
      </c>
      <c r="M207">
        <v>0.91</v>
      </c>
      <c r="N207" t="s">
        <v>18</v>
      </c>
    </row>
    <row r="208" spans="1:14">
      <c r="A208">
        <v>1434</v>
      </c>
      <c r="B208" s="4">
        <v>44596</v>
      </c>
      <c r="C208" s="5">
        <v>0.41805555555555557</v>
      </c>
      <c r="D208" t="s">
        <v>59</v>
      </c>
      <c r="E208" t="s">
        <v>23</v>
      </c>
      <c r="F208">
        <v>43</v>
      </c>
      <c r="G208" t="s">
        <v>30</v>
      </c>
      <c r="H208">
        <v>2</v>
      </c>
      <c r="I208">
        <v>25</v>
      </c>
      <c r="J208">
        <v>7</v>
      </c>
      <c r="K208">
        <v>50</v>
      </c>
      <c r="L208">
        <v>43</v>
      </c>
      <c r="M208">
        <v>0.86</v>
      </c>
      <c r="N208" t="s">
        <v>18</v>
      </c>
    </row>
    <row r="209" spans="1:14">
      <c r="A209">
        <v>1775</v>
      </c>
      <c r="B209" s="4">
        <v>44913</v>
      </c>
      <c r="C209" s="5">
        <v>0.33611111111111114</v>
      </c>
      <c r="D209" t="s">
        <v>92</v>
      </c>
      <c r="E209" t="s">
        <v>23</v>
      </c>
      <c r="F209">
        <v>46</v>
      </c>
      <c r="G209" t="s">
        <v>30</v>
      </c>
      <c r="H209">
        <v>4</v>
      </c>
      <c r="I209">
        <v>25</v>
      </c>
      <c r="J209">
        <v>13.75</v>
      </c>
      <c r="K209">
        <v>100</v>
      </c>
      <c r="L209">
        <v>86.25</v>
      </c>
      <c r="M209">
        <v>0.86250000000000004</v>
      </c>
      <c r="N209" t="s">
        <v>21</v>
      </c>
    </row>
    <row r="210" spans="1:14">
      <c r="A210">
        <v>1977</v>
      </c>
      <c r="B210" s="4">
        <v>44778</v>
      </c>
      <c r="C210" s="5">
        <v>0.44861111111111113</v>
      </c>
      <c r="D210" t="s">
        <v>138</v>
      </c>
      <c r="E210" t="s">
        <v>23</v>
      </c>
      <c r="F210">
        <v>35</v>
      </c>
      <c r="G210" t="s">
        <v>30</v>
      </c>
      <c r="H210">
        <v>3</v>
      </c>
      <c r="I210">
        <v>25</v>
      </c>
      <c r="J210">
        <v>12</v>
      </c>
      <c r="K210">
        <v>75</v>
      </c>
      <c r="L210">
        <v>63</v>
      </c>
      <c r="M210">
        <v>0.84</v>
      </c>
      <c r="N210" t="s">
        <v>39</v>
      </c>
    </row>
    <row r="211" spans="1:14">
      <c r="A211">
        <v>649</v>
      </c>
      <c r="B211" s="4">
        <v>44733</v>
      </c>
      <c r="C211" s="5">
        <v>0.34513888888888888</v>
      </c>
      <c r="D211" t="s">
        <v>76</v>
      </c>
      <c r="E211" t="s">
        <v>23</v>
      </c>
      <c r="F211">
        <v>58</v>
      </c>
      <c r="G211" t="s">
        <v>17</v>
      </c>
      <c r="H211">
        <v>2</v>
      </c>
      <c r="I211">
        <v>300</v>
      </c>
      <c r="J211">
        <v>135</v>
      </c>
      <c r="K211">
        <v>600</v>
      </c>
      <c r="L211">
        <v>465</v>
      </c>
      <c r="M211">
        <v>0.77500000000000002</v>
      </c>
      <c r="N211" t="s">
        <v>28</v>
      </c>
    </row>
    <row r="212" spans="1:14">
      <c r="A212">
        <v>1649</v>
      </c>
      <c r="B212" s="4">
        <v>44855</v>
      </c>
      <c r="C212" s="5">
        <v>0.32222222222222224</v>
      </c>
      <c r="D212" t="s">
        <v>62</v>
      </c>
      <c r="E212" t="s">
        <v>23</v>
      </c>
      <c r="F212">
        <v>58</v>
      </c>
      <c r="G212" t="s">
        <v>17</v>
      </c>
      <c r="H212">
        <v>2</v>
      </c>
      <c r="I212">
        <v>300</v>
      </c>
      <c r="J212">
        <v>75</v>
      </c>
      <c r="K212">
        <v>600</v>
      </c>
      <c r="L212">
        <v>525</v>
      </c>
      <c r="M212">
        <v>0.875</v>
      </c>
      <c r="N212" t="s">
        <v>28</v>
      </c>
    </row>
    <row r="213" spans="1:14">
      <c r="A213">
        <v>54</v>
      </c>
      <c r="B213" s="4">
        <v>44854</v>
      </c>
      <c r="C213" s="5">
        <v>0.4284722222222222</v>
      </c>
      <c r="D213" t="s">
        <v>139</v>
      </c>
      <c r="E213" t="s">
        <v>23</v>
      </c>
      <c r="F213">
        <v>38</v>
      </c>
      <c r="G213" t="s">
        <v>30</v>
      </c>
      <c r="H213">
        <v>3</v>
      </c>
      <c r="I213">
        <v>500</v>
      </c>
      <c r="J213">
        <v>200</v>
      </c>
      <c r="K213">
        <v>1500</v>
      </c>
      <c r="L213">
        <v>1300</v>
      </c>
      <c r="M213">
        <v>0.8666666666666667</v>
      </c>
      <c r="N213" t="s">
        <v>18</v>
      </c>
    </row>
    <row r="214" spans="1:14">
      <c r="A214">
        <v>68</v>
      </c>
      <c r="B214" s="4">
        <v>44910</v>
      </c>
      <c r="C214" s="5">
        <v>0.37916666666666665</v>
      </c>
      <c r="D214" t="s">
        <v>108</v>
      </c>
      <c r="E214" t="s">
        <v>16</v>
      </c>
      <c r="F214">
        <v>25</v>
      </c>
      <c r="G214" t="s">
        <v>30</v>
      </c>
      <c r="H214">
        <v>1</v>
      </c>
      <c r="I214">
        <v>300</v>
      </c>
      <c r="J214">
        <v>84</v>
      </c>
      <c r="K214">
        <v>300</v>
      </c>
      <c r="L214">
        <v>216</v>
      </c>
      <c r="M214">
        <v>0.72</v>
      </c>
      <c r="N214" t="s">
        <v>31</v>
      </c>
    </row>
    <row r="215" spans="1:14">
      <c r="A215">
        <v>192</v>
      </c>
      <c r="B215" s="4">
        <v>44873</v>
      </c>
      <c r="C215" s="5">
        <v>0.33680555555555558</v>
      </c>
      <c r="D215" t="s">
        <v>136</v>
      </c>
      <c r="E215" t="s">
        <v>16</v>
      </c>
      <c r="F215">
        <v>62</v>
      </c>
      <c r="G215" t="s">
        <v>20</v>
      </c>
      <c r="H215">
        <v>2</v>
      </c>
      <c r="I215">
        <v>50</v>
      </c>
      <c r="J215">
        <v>13</v>
      </c>
      <c r="K215">
        <v>100</v>
      </c>
      <c r="L215">
        <v>87</v>
      </c>
      <c r="M215">
        <v>0.87</v>
      </c>
      <c r="N215" t="s">
        <v>28</v>
      </c>
    </row>
    <row r="216" spans="1:14">
      <c r="A216">
        <v>1054</v>
      </c>
      <c r="B216" s="4">
        <v>44571</v>
      </c>
      <c r="C216" s="5">
        <v>0.39166666666666666</v>
      </c>
      <c r="D216" t="s">
        <v>26</v>
      </c>
      <c r="E216" t="s">
        <v>23</v>
      </c>
      <c r="F216">
        <v>38</v>
      </c>
      <c r="G216" t="s">
        <v>30</v>
      </c>
      <c r="H216">
        <v>3</v>
      </c>
      <c r="I216">
        <v>500</v>
      </c>
      <c r="J216">
        <v>140</v>
      </c>
      <c r="K216">
        <v>1500</v>
      </c>
      <c r="L216">
        <v>1360</v>
      </c>
      <c r="M216">
        <v>0.90666666666666662</v>
      </c>
      <c r="N216" t="s">
        <v>18</v>
      </c>
    </row>
    <row r="217" spans="1:14">
      <c r="A217">
        <v>1068</v>
      </c>
      <c r="B217" s="4">
        <v>44818</v>
      </c>
      <c r="C217" s="5">
        <v>0.42430555555555555</v>
      </c>
      <c r="D217" t="s">
        <v>113</v>
      </c>
      <c r="E217" t="s">
        <v>16</v>
      </c>
      <c r="F217">
        <v>25</v>
      </c>
      <c r="G217" t="s">
        <v>30</v>
      </c>
      <c r="H217">
        <v>1</v>
      </c>
      <c r="I217">
        <v>300</v>
      </c>
      <c r="J217">
        <v>111</v>
      </c>
      <c r="K217">
        <v>300</v>
      </c>
      <c r="L217">
        <v>189</v>
      </c>
      <c r="M217">
        <v>0.63</v>
      </c>
      <c r="N217" t="s">
        <v>31</v>
      </c>
    </row>
    <row r="218" spans="1:14">
      <c r="A218">
        <v>1192</v>
      </c>
      <c r="B218" s="4">
        <v>44649</v>
      </c>
      <c r="C218" s="5">
        <v>0.36180555555555555</v>
      </c>
      <c r="D218" t="s">
        <v>96</v>
      </c>
      <c r="E218" t="s">
        <v>16</v>
      </c>
      <c r="F218">
        <v>62</v>
      </c>
      <c r="G218" t="s">
        <v>20</v>
      </c>
      <c r="H218">
        <v>2</v>
      </c>
      <c r="I218">
        <v>50</v>
      </c>
      <c r="J218">
        <v>20.5</v>
      </c>
      <c r="K218">
        <v>100</v>
      </c>
      <c r="L218">
        <v>79.5</v>
      </c>
      <c r="M218">
        <v>0.79500000000000004</v>
      </c>
      <c r="N218" t="s">
        <v>28</v>
      </c>
    </row>
    <row r="219" spans="1:14">
      <c r="A219">
        <v>331</v>
      </c>
      <c r="B219" s="4">
        <v>44789</v>
      </c>
      <c r="C219" s="5">
        <v>0.35625000000000001</v>
      </c>
      <c r="D219" t="s">
        <v>101</v>
      </c>
      <c r="E219" t="s">
        <v>16</v>
      </c>
      <c r="F219">
        <v>28</v>
      </c>
      <c r="G219" t="s">
        <v>30</v>
      </c>
      <c r="H219">
        <v>3</v>
      </c>
      <c r="I219">
        <v>30</v>
      </c>
      <c r="J219">
        <v>10.199999999999999</v>
      </c>
      <c r="K219">
        <v>90</v>
      </c>
      <c r="L219">
        <v>79.8</v>
      </c>
      <c r="M219">
        <v>0.8866666666666666</v>
      </c>
      <c r="N219" t="s">
        <v>39</v>
      </c>
    </row>
    <row r="220" spans="1:14">
      <c r="A220">
        <v>346</v>
      </c>
      <c r="B220" s="4">
        <v>44809</v>
      </c>
      <c r="C220" s="5">
        <v>0.28749999999999998</v>
      </c>
      <c r="D220" t="s">
        <v>140</v>
      </c>
      <c r="E220" t="s">
        <v>16</v>
      </c>
      <c r="F220">
        <v>59</v>
      </c>
      <c r="G220" t="s">
        <v>17</v>
      </c>
      <c r="H220">
        <v>2</v>
      </c>
      <c r="I220">
        <v>500</v>
      </c>
      <c r="J220">
        <v>215</v>
      </c>
      <c r="K220">
        <v>1000</v>
      </c>
      <c r="L220">
        <v>785</v>
      </c>
      <c r="M220">
        <v>0.78500000000000003</v>
      </c>
      <c r="N220" t="s">
        <v>28</v>
      </c>
    </row>
    <row r="221" spans="1:14">
      <c r="A221">
        <v>657</v>
      </c>
      <c r="B221" s="4">
        <v>44590</v>
      </c>
      <c r="C221" s="5">
        <v>0.37013888888888891</v>
      </c>
      <c r="D221" t="s">
        <v>118</v>
      </c>
      <c r="E221" t="s">
        <v>16</v>
      </c>
      <c r="F221">
        <v>40</v>
      </c>
      <c r="G221" t="s">
        <v>17</v>
      </c>
      <c r="H221">
        <v>1</v>
      </c>
      <c r="I221">
        <v>25</v>
      </c>
      <c r="J221">
        <v>8</v>
      </c>
      <c r="K221">
        <v>25</v>
      </c>
      <c r="L221">
        <v>17</v>
      </c>
      <c r="M221">
        <v>0.68</v>
      </c>
      <c r="N221" t="s">
        <v>18</v>
      </c>
    </row>
    <row r="222" spans="1:14">
      <c r="A222">
        <v>732</v>
      </c>
      <c r="B222" s="4">
        <v>44847</v>
      </c>
      <c r="C222" s="5">
        <v>0.36458333333333331</v>
      </c>
      <c r="D222" t="s">
        <v>113</v>
      </c>
      <c r="E222" t="s">
        <v>16</v>
      </c>
      <c r="F222">
        <v>61</v>
      </c>
      <c r="G222" t="s">
        <v>30</v>
      </c>
      <c r="H222">
        <v>2</v>
      </c>
      <c r="I222">
        <v>500</v>
      </c>
      <c r="J222">
        <v>250</v>
      </c>
      <c r="K222">
        <v>1000</v>
      </c>
      <c r="L222">
        <v>750</v>
      </c>
      <c r="M222">
        <v>0.75</v>
      </c>
      <c r="N222" t="s">
        <v>28</v>
      </c>
    </row>
    <row r="223" spans="1:14">
      <c r="A223">
        <v>972</v>
      </c>
      <c r="B223" s="4">
        <v>44789</v>
      </c>
      <c r="C223" s="5">
        <v>0.48749999999999999</v>
      </c>
      <c r="D223" t="s">
        <v>104</v>
      </c>
      <c r="E223" t="s">
        <v>16</v>
      </c>
      <c r="F223">
        <v>49</v>
      </c>
      <c r="G223" t="s">
        <v>20</v>
      </c>
      <c r="H223">
        <v>4</v>
      </c>
      <c r="I223">
        <v>25</v>
      </c>
      <c r="J223">
        <v>6.75</v>
      </c>
      <c r="K223">
        <v>100</v>
      </c>
      <c r="L223">
        <v>93.25</v>
      </c>
      <c r="M223">
        <v>0.9325</v>
      </c>
      <c r="N223" t="s">
        <v>21</v>
      </c>
    </row>
    <row r="224" spans="1:14">
      <c r="A224">
        <v>1331</v>
      </c>
      <c r="B224" s="4">
        <v>44696</v>
      </c>
      <c r="C224" s="5">
        <v>0.39513888888888887</v>
      </c>
      <c r="D224" t="s">
        <v>141</v>
      </c>
      <c r="E224" t="s">
        <v>16</v>
      </c>
      <c r="F224">
        <v>28</v>
      </c>
      <c r="G224" t="s">
        <v>30</v>
      </c>
      <c r="H224">
        <v>3</v>
      </c>
      <c r="I224">
        <v>30</v>
      </c>
      <c r="J224">
        <v>13.8</v>
      </c>
      <c r="K224">
        <v>90</v>
      </c>
      <c r="L224">
        <v>76.2</v>
      </c>
      <c r="M224">
        <v>0.84666666666666668</v>
      </c>
      <c r="N224" t="s">
        <v>39</v>
      </c>
    </row>
    <row r="225" spans="1:14">
      <c r="A225">
        <v>1346</v>
      </c>
      <c r="B225" s="4">
        <v>44661</v>
      </c>
      <c r="C225" s="5">
        <v>0.41736111111111113</v>
      </c>
      <c r="D225" t="s">
        <v>142</v>
      </c>
      <c r="E225" t="s">
        <v>16</v>
      </c>
      <c r="F225">
        <v>59</v>
      </c>
      <c r="G225" t="s">
        <v>17</v>
      </c>
      <c r="H225">
        <v>2</v>
      </c>
      <c r="I225">
        <v>500</v>
      </c>
      <c r="J225">
        <v>130</v>
      </c>
      <c r="K225">
        <v>1000</v>
      </c>
      <c r="L225">
        <v>870</v>
      </c>
      <c r="M225">
        <v>0.87</v>
      </c>
      <c r="N225" t="s">
        <v>28</v>
      </c>
    </row>
    <row r="226" spans="1:14">
      <c r="A226">
        <v>1657</v>
      </c>
      <c r="B226" s="4">
        <v>44782</v>
      </c>
      <c r="C226" s="5">
        <v>0.4201388888888889</v>
      </c>
      <c r="D226" t="s">
        <v>89</v>
      </c>
      <c r="E226" t="s">
        <v>16</v>
      </c>
      <c r="F226">
        <v>40</v>
      </c>
      <c r="G226" t="s">
        <v>17</v>
      </c>
      <c r="H226">
        <v>1</v>
      </c>
      <c r="I226">
        <v>25</v>
      </c>
      <c r="J226">
        <v>8</v>
      </c>
      <c r="K226">
        <v>25</v>
      </c>
      <c r="L226">
        <v>17</v>
      </c>
      <c r="M226">
        <v>0.68</v>
      </c>
      <c r="N226" t="s">
        <v>18</v>
      </c>
    </row>
    <row r="227" spans="1:14">
      <c r="A227">
        <v>1732</v>
      </c>
      <c r="B227" s="4">
        <v>44617</v>
      </c>
      <c r="C227" s="5">
        <v>0.2951388888888889</v>
      </c>
      <c r="D227" t="s">
        <v>83</v>
      </c>
      <c r="E227" t="s">
        <v>16</v>
      </c>
      <c r="F227">
        <v>61</v>
      </c>
      <c r="G227" t="s">
        <v>30</v>
      </c>
      <c r="H227">
        <v>2</v>
      </c>
      <c r="I227">
        <v>500</v>
      </c>
      <c r="J227">
        <v>215</v>
      </c>
      <c r="K227">
        <v>1000</v>
      </c>
      <c r="L227">
        <v>785</v>
      </c>
      <c r="M227">
        <v>0.78500000000000003</v>
      </c>
      <c r="N227" t="s">
        <v>28</v>
      </c>
    </row>
    <row r="228" spans="1:14">
      <c r="A228">
        <v>1972</v>
      </c>
      <c r="B228" s="4">
        <v>44916</v>
      </c>
      <c r="C228" s="5">
        <v>0.27708333333333335</v>
      </c>
      <c r="D228" t="s">
        <v>22</v>
      </c>
      <c r="E228" t="s">
        <v>16</v>
      </c>
      <c r="F228">
        <v>49</v>
      </c>
      <c r="G228" t="s">
        <v>20</v>
      </c>
      <c r="H228">
        <v>4</v>
      </c>
      <c r="I228">
        <v>25</v>
      </c>
      <c r="J228">
        <v>9.25</v>
      </c>
      <c r="K228">
        <v>100</v>
      </c>
      <c r="L228">
        <v>90.75</v>
      </c>
      <c r="M228">
        <v>0.90749999999999997</v>
      </c>
      <c r="N228" t="s">
        <v>21</v>
      </c>
    </row>
    <row r="229" spans="1:14">
      <c r="A229">
        <v>714</v>
      </c>
      <c r="B229" s="4">
        <v>44863</v>
      </c>
      <c r="C229" s="5">
        <v>0.36805555555555558</v>
      </c>
      <c r="D229" t="s">
        <v>87</v>
      </c>
      <c r="E229" t="s">
        <v>23</v>
      </c>
      <c r="F229">
        <v>18</v>
      </c>
      <c r="G229" t="s">
        <v>17</v>
      </c>
      <c r="H229">
        <v>1</v>
      </c>
      <c r="I229">
        <v>500</v>
      </c>
      <c r="J229">
        <v>190</v>
      </c>
      <c r="K229">
        <v>500</v>
      </c>
      <c r="L229">
        <v>310</v>
      </c>
      <c r="M229">
        <v>0.62</v>
      </c>
      <c r="N229" t="s">
        <v>31</v>
      </c>
    </row>
    <row r="230" spans="1:14">
      <c r="A230">
        <v>1714</v>
      </c>
      <c r="B230" s="4">
        <v>44888</v>
      </c>
      <c r="C230" s="5">
        <v>0.25486111111111109</v>
      </c>
      <c r="D230" t="s">
        <v>117</v>
      </c>
      <c r="E230" t="s">
        <v>23</v>
      </c>
      <c r="F230">
        <v>18</v>
      </c>
      <c r="G230" t="s">
        <v>17</v>
      </c>
      <c r="H230">
        <v>1</v>
      </c>
      <c r="I230">
        <v>500</v>
      </c>
      <c r="J230">
        <v>245</v>
      </c>
      <c r="K230">
        <v>500</v>
      </c>
      <c r="L230">
        <v>255</v>
      </c>
      <c r="M230">
        <v>0.51</v>
      </c>
      <c r="N230" t="s">
        <v>31</v>
      </c>
    </row>
    <row r="231" spans="1:14">
      <c r="A231">
        <v>193</v>
      </c>
      <c r="B231" s="4">
        <v>44647</v>
      </c>
      <c r="C231" s="5">
        <v>0.44444444444444442</v>
      </c>
      <c r="D231" t="s">
        <v>83</v>
      </c>
      <c r="E231" t="s">
        <v>16</v>
      </c>
      <c r="F231">
        <v>35</v>
      </c>
      <c r="G231" t="s">
        <v>20</v>
      </c>
      <c r="H231">
        <v>3</v>
      </c>
      <c r="I231">
        <v>500</v>
      </c>
      <c r="J231">
        <v>180</v>
      </c>
      <c r="K231">
        <v>1500</v>
      </c>
      <c r="L231">
        <v>1320</v>
      </c>
      <c r="M231">
        <v>0.88</v>
      </c>
      <c r="N231" t="s">
        <v>39</v>
      </c>
    </row>
    <row r="232" spans="1:14">
      <c r="A232">
        <v>577</v>
      </c>
      <c r="B232" s="4">
        <v>44672</v>
      </c>
      <c r="C232" s="5">
        <v>0.49652777777777779</v>
      </c>
      <c r="D232" t="s">
        <v>143</v>
      </c>
      <c r="E232" t="s">
        <v>16</v>
      </c>
      <c r="F232">
        <v>21</v>
      </c>
      <c r="G232" t="s">
        <v>20</v>
      </c>
      <c r="H232">
        <v>4</v>
      </c>
      <c r="I232">
        <v>500</v>
      </c>
      <c r="J232">
        <v>215</v>
      </c>
      <c r="K232">
        <v>2000</v>
      </c>
      <c r="L232">
        <v>1785</v>
      </c>
      <c r="M232">
        <v>0.89249999999999996</v>
      </c>
      <c r="N232" t="s">
        <v>31</v>
      </c>
    </row>
    <row r="233" spans="1:14">
      <c r="A233">
        <v>848</v>
      </c>
      <c r="B233" s="4">
        <v>44585</v>
      </c>
      <c r="C233" s="5">
        <v>0.44861111111111113</v>
      </c>
      <c r="D233" t="s">
        <v>60</v>
      </c>
      <c r="E233" t="s">
        <v>23</v>
      </c>
      <c r="F233">
        <v>63</v>
      </c>
      <c r="G233" t="s">
        <v>17</v>
      </c>
      <c r="H233">
        <v>3</v>
      </c>
      <c r="I233">
        <v>25</v>
      </c>
      <c r="J233">
        <v>9.75</v>
      </c>
      <c r="K233">
        <v>75</v>
      </c>
      <c r="L233">
        <v>65.25</v>
      </c>
      <c r="M233">
        <v>0.87</v>
      </c>
      <c r="N233" t="s">
        <v>28</v>
      </c>
    </row>
    <row r="234" spans="1:14">
      <c r="A234">
        <v>945</v>
      </c>
      <c r="B234" s="4">
        <v>44835</v>
      </c>
      <c r="C234" s="5">
        <v>0.41736111111111113</v>
      </c>
      <c r="D234" t="s">
        <v>34</v>
      </c>
      <c r="E234" t="s">
        <v>16</v>
      </c>
      <c r="F234">
        <v>30</v>
      </c>
      <c r="G234" t="s">
        <v>20</v>
      </c>
      <c r="H234">
        <v>1</v>
      </c>
      <c r="I234">
        <v>25</v>
      </c>
      <c r="J234">
        <v>13.25</v>
      </c>
      <c r="K234">
        <v>25</v>
      </c>
      <c r="L234">
        <v>11.75</v>
      </c>
      <c r="M234">
        <v>0.47</v>
      </c>
      <c r="N234" t="s">
        <v>39</v>
      </c>
    </row>
    <row r="235" spans="1:14">
      <c r="A235">
        <v>1193</v>
      </c>
      <c r="B235" s="4">
        <v>44692</v>
      </c>
      <c r="C235" s="5">
        <v>0.47986111111111113</v>
      </c>
      <c r="D235" t="s">
        <v>42</v>
      </c>
      <c r="E235" t="s">
        <v>16</v>
      </c>
      <c r="F235">
        <v>35</v>
      </c>
      <c r="G235" t="s">
        <v>20</v>
      </c>
      <c r="H235">
        <v>3</v>
      </c>
      <c r="I235">
        <v>500</v>
      </c>
      <c r="J235">
        <v>145</v>
      </c>
      <c r="K235">
        <v>1500</v>
      </c>
      <c r="L235">
        <v>1355</v>
      </c>
      <c r="M235">
        <v>0.90333333333333332</v>
      </c>
      <c r="N235" t="s">
        <v>39</v>
      </c>
    </row>
    <row r="236" spans="1:14">
      <c r="A236">
        <v>1577</v>
      </c>
      <c r="B236" s="4">
        <v>44815</v>
      </c>
      <c r="C236" s="5">
        <v>0.26527777777777778</v>
      </c>
      <c r="D236" t="s">
        <v>61</v>
      </c>
      <c r="E236" t="s">
        <v>16</v>
      </c>
      <c r="F236">
        <v>21</v>
      </c>
      <c r="G236" t="s">
        <v>20</v>
      </c>
      <c r="H236">
        <v>4</v>
      </c>
      <c r="I236">
        <v>500</v>
      </c>
      <c r="J236">
        <v>160</v>
      </c>
      <c r="K236">
        <v>2000</v>
      </c>
      <c r="L236">
        <v>1840</v>
      </c>
      <c r="M236">
        <v>0.92</v>
      </c>
      <c r="N236" t="s">
        <v>31</v>
      </c>
    </row>
    <row r="237" spans="1:14">
      <c r="A237">
        <v>1848</v>
      </c>
      <c r="B237" s="4">
        <v>44922</v>
      </c>
      <c r="C237" s="5">
        <v>0.42777777777777776</v>
      </c>
      <c r="D237" t="s">
        <v>138</v>
      </c>
      <c r="E237" t="s">
        <v>23</v>
      </c>
      <c r="F237">
        <v>63</v>
      </c>
      <c r="G237" t="s">
        <v>17</v>
      </c>
      <c r="H237">
        <v>3</v>
      </c>
      <c r="I237">
        <v>25</v>
      </c>
      <c r="J237">
        <v>12.5</v>
      </c>
      <c r="K237">
        <v>75</v>
      </c>
      <c r="L237">
        <v>62.5</v>
      </c>
      <c r="M237">
        <v>0.83333333333333337</v>
      </c>
      <c r="N237" t="s">
        <v>28</v>
      </c>
    </row>
    <row r="238" spans="1:14">
      <c r="A238">
        <v>1945</v>
      </c>
      <c r="B238" s="4">
        <v>44670</v>
      </c>
      <c r="C238" s="5">
        <v>0.41319444444444442</v>
      </c>
      <c r="D238" t="s">
        <v>86</v>
      </c>
      <c r="E238" t="s">
        <v>16</v>
      </c>
      <c r="F238">
        <v>30</v>
      </c>
      <c r="G238" t="s">
        <v>20</v>
      </c>
      <c r="H238">
        <v>1</v>
      </c>
      <c r="I238">
        <v>25</v>
      </c>
      <c r="J238">
        <v>10.75</v>
      </c>
      <c r="K238">
        <v>25</v>
      </c>
      <c r="L238">
        <v>14.25</v>
      </c>
      <c r="M238">
        <v>0.56999999999999995</v>
      </c>
      <c r="N238" t="s">
        <v>39</v>
      </c>
    </row>
    <row r="239" spans="1:14">
      <c r="A239">
        <v>11</v>
      </c>
      <c r="B239" s="4">
        <v>44619</v>
      </c>
      <c r="C239" s="5">
        <v>0.4375</v>
      </c>
      <c r="D239" t="s">
        <v>132</v>
      </c>
      <c r="E239" t="s">
        <v>16</v>
      </c>
      <c r="F239">
        <v>23</v>
      </c>
      <c r="G239" t="s">
        <v>17</v>
      </c>
      <c r="H239">
        <v>2</v>
      </c>
      <c r="I239">
        <v>50</v>
      </c>
      <c r="J239">
        <v>23.5</v>
      </c>
      <c r="K239">
        <v>100</v>
      </c>
      <c r="L239">
        <v>76.5</v>
      </c>
      <c r="M239">
        <v>0.76500000000000001</v>
      </c>
      <c r="N239" t="s">
        <v>31</v>
      </c>
    </row>
    <row r="240" spans="1:14">
      <c r="A240">
        <v>821</v>
      </c>
      <c r="B240" s="4">
        <v>44888</v>
      </c>
      <c r="C240" s="5">
        <v>0.47708333333333336</v>
      </c>
      <c r="D240" t="s">
        <v>115</v>
      </c>
      <c r="E240" t="s">
        <v>16</v>
      </c>
      <c r="F240">
        <v>49</v>
      </c>
      <c r="G240" t="s">
        <v>30</v>
      </c>
      <c r="H240">
        <v>1</v>
      </c>
      <c r="I240">
        <v>300</v>
      </c>
      <c r="J240">
        <v>129</v>
      </c>
      <c r="K240">
        <v>300</v>
      </c>
      <c r="L240">
        <v>171</v>
      </c>
      <c r="M240">
        <v>0.56999999999999995</v>
      </c>
      <c r="N240" t="s">
        <v>21</v>
      </c>
    </row>
    <row r="241" spans="1:14">
      <c r="A241">
        <v>1011</v>
      </c>
      <c r="B241" s="4">
        <v>44652</v>
      </c>
      <c r="C241" s="5">
        <v>0.28333333333333333</v>
      </c>
      <c r="D241" t="s">
        <v>60</v>
      </c>
      <c r="E241" t="s">
        <v>16</v>
      </c>
      <c r="F241">
        <v>23</v>
      </c>
      <c r="G241" t="s">
        <v>17</v>
      </c>
      <c r="H241">
        <v>2</v>
      </c>
      <c r="I241">
        <v>50</v>
      </c>
      <c r="J241">
        <v>19</v>
      </c>
      <c r="K241">
        <v>100</v>
      </c>
      <c r="L241">
        <v>81</v>
      </c>
      <c r="M241">
        <v>0.81</v>
      </c>
      <c r="N241" t="s">
        <v>31</v>
      </c>
    </row>
    <row r="242" spans="1:14">
      <c r="A242">
        <v>1821</v>
      </c>
      <c r="B242" s="4">
        <v>44837</v>
      </c>
      <c r="C242" s="5">
        <v>0.3034722222222222</v>
      </c>
      <c r="D242" t="s">
        <v>123</v>
      </c>
      <c r="E242" t="s">
        <v>16</v>
      </c>
      <c r="F242">
        <v>49</v>
      </c>
      <c r="G242" t="s">
        <v>30</v>
      </c>
      <c r="H242">
        <v>1</v>
      </c>
      <c r="I242">
        <v>300</v>
      </c>
      <c r="J242">
        <v>108</v>
      </c>
      <c r="K242">
        <v>300</v>
      </c>
      <c r="L242">
        <v>192</v>
      </c>
      <c r="M242">
        <v>0.64</v>
      </c>
      <c r="N242" t="s">
        <v>21</v>
      </c>
    </row>
    <row r="243" spans="1:14">
      <c r="A243">
        <v>133</v>
      </c>
      <c r="B243" s="4">
        <v>44735</v>
      </c>
      <c r="C243" s="5">
        <v>0.37569444444444444</v>
      </c>
      <c r="D243" t="s">
        <v>144</v>
      </c>
      <c r="E243" t="s">
        <v>16</v>
      </c>
      <c r="F243">
        <v>20</v>
      </c>
      <c r="G243" t="s">
        <v>30</v>
      </c>
      <c r="H243">
        <v>3</v>
      </c>
      <c r="I243">
        <v>300</v>
      </c>
      <c r="J243">
        <v>87</v>
      </c>
      <c r="K243">
        <v>900</v>
      </c>
      <c r="L243">
        <v>813</v>
      </c>
      <c r="M243">
        <v>0.90333333333333332</v>
      </c>
      <c r="N243" t="s">
        <v>31</v>
      </c>
    </row>
    <row r="244" spans="1:14">
      <c r="A244">
        <v>1133</v>
      </c>
      <c r="B244" s="4">
        <v>44625</v>
      </c>
      <c r="C244" s="5">
        <v>0.27916666666666667</v>
      </c>
      <c r="D244" t="s">
        <v>35</v>
      </c>
      <c r="E244" t="s">
        <v>16</v>
      </c>
      <c r="F244">
        <v>20</v>
      </c>
      <c r="G244" t="s">
        <v>30</v>
      </c>
      <c r="H244">
        <v>3</v>
      </c>
      <c r="I244">
        <v>300</v>
      </c>
      <c r="J244">
        <v>159</v>
      </c>
      <c r="K244">
        <v>900</v>
      </c>
      <c r="L244">
        <v>741</v>
      </c>
      <c r="M244">
        <v>0.82333333333333336</v>
      </c>
      <c r="N244" t="s">
        <v>31</v>
      </c>
    </row>
    <row r="245" spans="1:14">
      <c r="A245">
        <v>16</v>
      </c>
      <c r="B245" s="4">
        <v>44737</v>
      </c>
      <c r="C245" s="5">
        <v>0.43958333333333333</v>
      </c>
      <c r="D245" t="s">
        <v>43</v>
      </c>
      <c r="E245" t="s">
        <v>16</v>
      </c>
      <c r="F245">
        <v>19</v>
      </c>
      <c r="G245" t="s">
        <v>17</v>
      </c>
      <c r="H245">
        <v>3</v>
      </c>
      <c r="I245">
        <v>500</v>
      </c>
      <c r="J245">
        <v>180</v>
      </c>
      <c r="K245">
        <v>1500</v>
      </c>
      <c r="L245">
        <v>1320</v>
      </c>
      <c r="M245">
        <v>0.88</v>
      </c>
      <c r="N245" t="s">
        <v>31</v>
      </c>
    </row>
    <row r="246" spans="1:14">
      <c r="A246">
        <v>42</v>
      </c>
      <c r="B246" s="4">
        <v>44903</v>
      </c>
      <c r="C246" s="5">
        <v>0.35347222222222224</v>
      </c>
      <c r="D246" t="s">
        <v>138</v>
      </c>
      <c r="E246" t="s">
        <v>16</v>
      </c>
      <c r="F246">
        <v>22</v>
      </c>
      <c r="G246" t="s">
        <v>17</v>
      </c>
      <c r="H246">
        <v>3</v>
      </c>
      <c r="I246">
        <v>300</v>
      </c>
      <c r="J246">
        <v>147</v>
      </c>
      <c r="K246">
        <v>900</v>
      </c>
      <c r="L246">
        <v>753</v>
      </c>
      <c r="M246">
        <v>0.83666666666666667</v>
      </c>
      <c r="N246" t="s">
        <v>31</v>
      </c>
    </row>
    <row r="247" spans="1:14">
      <c r="A247">
        <v>292</v>
      </c>
      <c r="B247" s="4">
        <v>44844</v>
      </c>
      <c r="C247" s="5">
        <v>0.27291666666666664</v>
      </c>
      <c r="D247" t="s">
        <v>117</v>
      </c>
      <c r="E247" t="s">
        <v>16</v>
      </c>
      <c r="F247">
        <v>20</v>
      </c>
      <c r="G247" t="s">
        <v>20</v>
      </c>
      <c r="H247">
        <v>4</v>
      </c>
      <c r="I247">
        <v>300</v>
      </c>
      <c r="J247">
        <v>141</v>
      </c>
      <c r="K247">
        <v>1200</v>
      </c>
      <c r="L247">
        <v>1059</v>
      </c>
      <c r="M247">
        <v>0.88249999999999995</v>
      </c>
      <c r="N247" t="s">
        <v>31</v>
      </c>
    </row>
    <row r="248" spans="1:14">
      <c r="A248">
        <v>416</v>
      </c>
      <c r="B248" s="4">
        <v>44794</v>
      </c>
      <c r="C248" s="5">
        <v>0.39513888888888887</v>
      </c>
      <c r="D248" t="s">
        <v>83</v>
      </c>
      <c r="E248" t="s">
        <v>16</v>
      </c>
      <c r="F248">
        <v>53</v>
      </c>
      <c r="G248" t="s">
        <v>30</v>
      </c>
      <c r="H248">
        <v>4</v>
      </c>
      <c r="I248">
        <v>500</v>
      </c>
      <c r="J248">
        <v>245</v>
      </c>
      <c r="K248">
        <v>2000</v>
      </c>
      <c r="L248">
        <v>1755</v>
      </c>
      <c r="M248">
        <v>0.87749999999999995</v>
      </c>
      <c r="N248" t="s">
        <v>21</v>
      </c>
    </row>
    <row r="249" spans="1:14">
      <c r="A249">
        <v>584</v>
      </c>
      <c r="B249" s="4">
        <v>44926</v>
      </c>
      <c r="C249" s="5">
        <v>0.43125000000000002</v>
      </c>
      <c r="D249" t="s">
        <v>109</v>
      </c>
      <c r="E249" t="s">
        <v>23</v>
      </c>
      <c r="F249">
        <v>27</v>
      </c>
      <c r="G249" t="s">
        <v>20</v>
      </c>
      <c r="H249">
        <v>4</v>
      </c>
      <c r="I249">
        <v>50</v>
      </c>
      <c r="J249">
        <v>16.5</v>
      </c>
      <c r="K249">
        <v>200</v>
      </c>
      <c r="L249">
        <v>183.5</v>
      </c>
      <c r="M249">
        <v>0.91749999999999998</v>
      </c>
      <c r="N249" t="s">
        <v>39</v>
      </c>
    </row>
    <row r="250" spans="1:14">
      <c r="A250">
        <v>861</v>
      </c>
      <c r="B250" s="4">
        <v>44834</v>
      </c>
      <c r="C250" s="5">
        <v>0.37291666666666667</v>
      </c>
      <c r="D250" t="s">
        <v>73</v>
      </c>
      <c r="E250" t="s">
        <v>23</v>
      </c>
      <c r="F250">
        <v>41</v>
      </c>
      <c r="G250" t="s">
        <v>17</v>
      </c>
      <c r="H250">
        <v>3</v>
      </c>
      <c r="I250">
        <v>30</v>
      </c>
      <c r="J250">
        <v>9.6</v>
      </c>
      <c r="K250">
        <v>90</v>
      </c>
      <c r="L250">
        <v>80.400000000000006</v>
      </c>
      <c r="M250">
        <v>0.89333333333333342</v>
      </c>
      <c r="N250" t="s">
        <v>18</v>
      </c>
    </row>
    <row r="251" spans="1:14">
      <c r="A251">
        <v>1016</v>
      </c>
      <c r="B251" s="4">
        <v>44907</v>
      </c>
      <c r="C251" s="5">
        <v>0.31874999999999998</v>
      </c>
      <c r="D251" t="s">
        <v>19</v>
      </c>
      <c r="E251" t="s">
        <v>16</v>
      </c>
      <c r="F251">
        <v>19</v>
      </c>
      <c r="G251" t="s">
        <v>17</v>
      </c>
      <c r="H251">
        <v>3</v>
      </c>
      <c r="I251">
        <v>500</v>
      </c>
      <c r="J251">
        <v>200</v>
      </c>
      <c r="K251">
        <v>1500</v>
      </c>
      <c r="L251">
        <v>1300</v>
      </c>
      <c r="M251">
        <v>0.8666666666666667</v>
      </c>
      <c r="N251" t="s">
        <v>31</v>
      </c>
    </row>
    <row r="252" spans="1:14">
      <c r="A252">
        <v>1042</v>
      </c>
      <c r="B252" s="4">
        <v>44603</v>
      </c>
      <c r="C252" s="5">
        <v>0.26458333333333334</v>
      </c>
      <c r="D252" t="s">
        <v>105</v>
      </c>
      <c r="E252" t="s">
        <v>16</v>
      </c>
      <c r="F252">
        <v>22</v>
      </c>
      <c r="G252" t="s">
        <v>17</v>
      </c>
      <c r="H252">
        <v>3</v>
      </c>
      <c r="I252">
        <v>300</v>
      </c>
      <c r="J252">
        <v>150</v>
      </c>
      <c r="K252">
        <v>900</v>
      </c>
      <c r="L252">
        <v>750</v>
      </c>
      <c r="M252">
        <v>0.83333333333333337</v>
      </c>
      <c r="N252" t="s">
        <v>31</v>
      </c>
    </row>
    <row r="253" spans="1:14">
      <c r="A253">
        <v>1292</v>
      </c>
      <c r="B253" s="4">
        <v>44696</v>
      </c>
      <c r="C253" s="5">
        <v>0.34722222222222221</v>
      </c>
      <c r="D253" t="s">
        <v>68</v>
      </c>
      <c r="E253" t="s">
        <v>16</v>
      </c>
      <c r="F253">
        <v>20</v>
      </c>
      <c r="G253" t="s">
        <v>20</v>
      </c>
      <c r="H253">
        <v>4</v>
      </c>
      <c r="I253">
        <v>300</v>
      </c>
      <c r="J253">
        <v>90</v>
      </c>
      <c r="K253">
        <v>1200</v>
      </c>
      <c r="L253">
        <v>1110</v>
      </c>
      <c r="M253">
        <v>0.92500000000000004</v>
      </c>
      <c r="N253" t="s">
        <v>31</v>
      </c>
    </row>
    <row r="254" spans="1:14">
      <c r="A254">
        <v>1416</v>
      </c>
      <c r="B254" s="4">
        <v>44924</v>
      </c>
      <c r="C254" s="5">
        <v>0.44930555555555557</v>
      </c>
      <c r="D254" t="s">
        <v>117</v>
      </c>
      <c r="E254" t="s">
        <v>16</v>
      </c>
      <c r="F254">
        <v>53</v>
      </c>
      <c r="G254" t="s">
        <v>30</v>
      </c>
      <c r="H254">
        <v>4</v>
      </c>
      <c r="I254">
        <v>500</v>
      </c>
      <c r="J254">
        <v>125</v>
      </c>
      <c r="K254">
        <v>2000</v>
      </c>
      <c r="L254">
        <v>1875</v>
      </c>
      <c r="M254">
        <v>0.9375</v>
      </c>
      <c r="N254" t="s">
        <v>21</v>
      </c>
    </row>
    <row r="255" spans="1:14">
      <c r="A255">
        <v>1584</v>
      </c>
      <c r="B255" s="4">
        <v>44807</v>
      </c>
      <c r="C255" s="5">
        <v>0.46319444444444446</v>
      </c>
      <c r="D255" t="s">
        <v>74</v>
      </c>
      <c r="E255" t="s">
        <v>23</v>
      </c>
      <c r="F255">
        <v>27</v>
      </c>
      <c r="G255" t="s">
        <v>20</v>
      </c>
      <c r="H255">
        <v>4</v>
      </c>
      <c r="I255">
        <v>50</v>
      </c>
      <c r="J255">
        <v>16.5</v>
      </c>
      <c r="K255">
        <v>200</v>
      </c>
      <c r="L255">
        <v>183.5</v>
      </c>
      <c r="M255">
        <v>0.91749999999999998</v>
      </c>
      <c r="N255" t="s">
        <v>39</v>
      </c>
    </row>
    <row r="256" spans="1:14">
      <c r="A256">
        <v>1861</v>
      </c>
      <c r="B256" s="4">
        <v>44746</v>
      </c>
      <c r="C256" s="5">
        <v>0.44513888888888886</v>
      </c>
      <c r="D256" t="s">
        <v>61</v>
      </c>
      <c r="E256" t="s">
        <v>23</v>
      </c>
      <c r="F256">
        <v>41</v>
      </c>
      <c r="G256" t="s">
        <v>17</v>
      </c>
      <c r="H256">
        <v>3</v>
      </c>
      <c r="I256">
        <v>30</v>
      </c>
      <c r="J256">
        <v>10.199999999999999</v>
      </c>
      <c r="K256">
        <v>90</v>
      </c>
      <c r="L256">
        <v>79.8</v>
      </c>
      <c r="M256">
        <v>0.8866666666666666</v>
      </c>
      <c r="N256" t="s">
        <v>18</v>
      </c>
    </row>
    <row r="257" spans="1:14">
      <c r="A257">
        <v>256</v>
      </c>
      <c r="B257" s="4">
        <v>44570</v>
      </c>
      <c r="C257" s="5">
        <v>0.33680555555555558</v>
      </c>
      <c r="D257" t="s">
        <v>81</v>
      </c>
      <c r="E257" t="s">
        <v>16</v>
      </c>
      <c r="F257">
        <v>23</v>
      </c>
      <c r="G257" t="s">
        <v>17</v>
      </c>
      <c r="H257">
        <v>2</v>
      </c>
      <c r="I257">
        <v>500</v>
      </c>
      <c r="J257">
        <v>270</v>
      </c>
      <c r="K257">
        <v>1000</v>
      </c>
      <c r="L257">
        <v>730</v>
      </c>
      <c r="M257">
        <v>0.73</v>
      </c>
      <c r="N257" t="s">
        <v>31</v>
      </c>
    </row>
    <row r="258" spans="1:14">
      <c r="A258">
        <v>1256</v>
      </c>
      <c r="B258" s="4">
        <v>44870</v>
      </c>
      <c r="C258" s="5">
        <v>0.4152777777777778</v>
      </c>
      <c r="D258" t="s">
        <v>91</v>
      </c>
      <c r="E258" t="s">
        <v>16</v>
      </c>
      <c r="F258">
        <v>23</v>
      </c>
      <c r="G258" t="s">
        <v>17</v>
      </c>
      <c r="H258">
        <v>2</v>
      </c>
      <c r="I258">
        <v>500</v>
      </c>
      <c r="J258">
        <v>190</v>
      </c>
      <c r="K258">
        <v>1000</v>
      </c>
      <c r="L258">
        <v>810</v>
      </c>
      <c r="M258">
        <v>0.81</v>
      </c>
      <c r="N258" t="s">
        <v>31</v>
      </c>
    </row>
    <row r="259" spans="1:14">
      <c r="A259">
        <v>44</v>
      </c>
      <c r="B259" s="4">
        <v>44623</v>
      </c>
      <c r="C259" s="5">
        <v>0.46319444444444446</v>
      </c>
      <c r="D259" t="s">
        <v>134</v>
      </c>
      <c r="E259" t="s">
        <v>23</v>
      </c>
      <c r="F259">
        <v>22</v>
      </c>
      <c r="G259" t="s">
        <v>17</v>
      </c>
      <c r="H259">
        <v>1</v>
      </c>
      <c r="I259">
        <v>25</v>
      </c>
      <c r="J259">
        <v>11.75</v>
      </c>
      <c r="K259">
        <v>25</v>
      </c>
      <c r="L259">
        <v>13.25</v>
      </c>
      <c r="M259">
        <v>0.53</v>
      </c>
      <c r="N259" t="s">
        <v>31</v>
      </c>
    </row>
    <row r="260" spans="1:14">
      <c r="A260">
        <v>257</v>
      </c>
      <c r="B260" s="4">
        <v>44905</v>
      </c>
      <c r="C260" s="5">
        <v>0.36736111111111114</v>
      </c>
      <c r="D260" t="s">
        <v>51</v>
      </c>
      <c r="E260" t="s">
        <v>16</v>
      </c>
      <c r="F260">
        <v>19</v>
      </c>
      <c r="G260" t="s">
        <v>20</v>
      </c>
      <c r="H260">
        <v>4</v>
      </c>
      <c r="I260">
        <v>500</v>
      </c>
      <c r="J260">
        <v>165</v>
      </c>
      <c r="K260">
        <v>2000</v>
      </c>
      <c r="L260">
        <v>1835</v>
      </c>
      <c r="M260">
        <v>0.91749999999999998</v>
      </c>
      <c r="N260" t="s">
        <v>31</v>
      </c>
    </row>
    <row r="261" spans="1:14">
      <c r="A261">
        <v>1044</v>
      </c>
      <c r="B261" s="4">
        <v>44612</v>
      </c>
      <c r="C261" s="5">
        <v>0.38055555555555554</v>
      </c>
      <c r="D261" t="s">
        <v>144</v>
      </c>
      <c r="E261" t="s">
        <v>23</v>
      </c>
      <c r="F261">
        <v>22</v>
      </c>
      <c r="G261" t="s">
        <v>17</v>
      </c>
      <c r="H261">
        <v>1</v>
      </c>
      <c r="I261">
        <v>25</v>
      </c>
      <c r="J261">
        <v>7.5</v>
      </c>
      <c r="K261">
        <v>25</v>
      </c>
      <c r="L261">
        <v>17.5</v>
      </c>
      <c r="M261">
        <v>0.7</v>
      </c>
      <c r="N261" t="s">
        <v>31</v>
      </c>
    </row>
    <row r="262" spans="1:14">
      <c r="A262">
        <v>1257</v>
      </c>
      <c r="B262" s="4">
        <v>44691</v>
      </c>
      <c r="C262" s="5">
        <v>0.49652777777777779</v>
      </c>
      <c r="D262" t="s">
        <v>91</v>
      </c>
      <c r="E262" t="s">
        <v>16</v>
      </c>
      <c r="F262">
        <v>19</v>
      </c>
      <c r="G262" t="s">
        <v>20</v>
      </c>
      <c r="H262">
        <v>4</v>
      </c>
      <c r="I262">
        <v>500</v>
      </c>
      <c r="J262">
        <v>255</v>
      </c>
      <c r="K262">
        <v>2000</v>
      </c>
      <c r="L262">
        <v>1745</v>
      </c>
      <c r="M262">
        <v>0.87250000000000005</v>
      </c>
      <c r="N262" t="s">
        <v>31</v>
      </c>
    </row>
    <row r="263" spans="1:14">
      <c r="A263">
        <v>268</v>
      </c>
      <c r="B263" s="4">
        <v>44665</v>
      </c>
      <c r="C263" s="5">
        <v>0.35138888888888886</v>
      </c>
      <c r="D263" t="s">
        <v>134</v>
      </c>
      <c r="E263" t="s">
        <v>23</v>
      </c>
      <c r="F263">
        <v>28</v>
      </c>
      <c r="G263" t="s">
        <v>30</v>
      </c>
      <c r="H263">
        <v>1</v>
      </c>
      <c r="I263">
        <v>30</v>
      </c>
      <c r="J263">
        <v>8.6999999999999993</v>
      </c>
      <c r="K263">
        <v>30</v>
      </c>
      <c r="L263">
        <v>21.3</v>
      </c>
      <c r="M263">
        <v>0.71000000000000008</v>
      </c>
      <c r="N263" t="s">
        <v>39</v>
      </c>
    </row>
    <row r="264" spans="1:14">
      <c r="A264">
        <v>287</v>
      </c>
      <c r="B264" s="4">
        <v>44799</v>
      </c>
      <c r="C264" s="5">
        <v>0.46319444444444446</v>
      </c>
      <c r="D264" t="s">
        <v>68</v>
      </c>
      <c r="E264" t="s">
        <v>16</v>
      </c>
      <c r="F264">
        <v>54</v>
      </c>
      <c r="G264" t="s">
        <v>17</v>
      </c>
      <c r="H264">
        <v>4</v>
      </c>
      <c r="I264">
        <v>25</v>
      </c>
      <c r="J264">
        <v>10</v>
      </c>
      <c r="K264">
        <v>100</v>
      </c>
      <c r="L264">
        <v>90</v>
      </c>
      <c r="M264">
        <v>0.9</v>
      </c>
      <c r="N264" t="s">
        <v>21</v>
      </c>
    </row>
    <row r="265" spans="1:14">
      <c r="A265">
        <v>966</v>
      </c>
      <c r="B265" s="4">
        <v>44872</v>
      </c>
      <c r="C265" s="5">
        <v>0.30694444444444446</v>
      </c>
      <c r="D265" t="s">
        <v>122</v>
      </c>
      <c r="E265" t="s">
        <v>16</v>
      </c>
      <c r="F265">
        <v>60</v>
      </c>
      <c r="G265" t="s">
        <v>30</v>
      </c>
      <c r="H265">
        <v>2</v>
      </c>
      <c r="I265">
        <v>500</v>
      </c>
      <c r="J265">
        <v>190</v>
      </c>
      <c r="K265">
        <v>1000</v>
      </c>
      <c r="L265">
        <v>810</v>
      </c>
      <c r="M265">
        <v>0.81</v>
      </c>
      <c r="N265" t="s">
        <v>28</v>
      </c>
    </row>
    <row r="266" spans="1:14">
      <c r="A266">
        <v>1268</v>
      </c>
      <c r="B266" s="4">
        <v>44721</v>
      </c>
      <c r="C266" s="5">
        <v>0.39791666666666664</v>
      </c>
      <c r="D266" t="s">
        <v>60</v>
      </c>
      <c r="E266" t="s">
        <v>23</v>
      </c>
      <c r="F266">
        <v>28</v>
      </c>
      <c r="G266" t="s">
        <v>30</v>
      </c>
      <c r="H266">
        <v>1</v>
      </c>
      <c r="I266">
        <v>30</v>
      </c>
      <c r="J266">
        <v>14.1</v>
      </c>
      <c r="K266">
        <v>30</v>
      </c>
      <c r="L266">
        <v>15.9</v>
      </c>
      <c r="M266">
        <v>0.53</v>
      </c>
      <c r="N266" t="s">
        <v>39</v>
      </c>
    </row>
    <row r="267" spans="1:14">
      <c r="A267">
        <v>1287</v>
      </c>
      <c r="B267" s="4">
        <v>44817</v>
      </c>
      <c r="C267" s="5">
        <v>0.33541666666666664</v>
      </c>
      <c r="D267" t="s">
        <v>34</v>
      </c>
      <c r="E267" t="s">
        <v>16</v>
      </c>
      <c r="F267">
        <v>54</v>
      </c>
      <c r="G267" t="s">
        <v>17</v>
      </c>
      <c r="H267">
        <v>4</v>
      </c>
      <c r="I267">
        <v>25</v>
      </c>
      <c r="J267">
        <v>7</v>
      </c>
      <c r="K267">
        <v>100</v>
      </c>
      <c r="L267">
        <v>93</v>
      </c>
      <c r="M267">
        <v>0.93</v>
      </c>
      <c r="N267" t="s">
        <v>21</v>
      </c>
    </row>
    <row r="268" spans="1:14">
      <c r="A268">
        <v>1966</v>
      </c>
      <c r="B268" s="4">
        <v>44762</v>
      </c>
      <c r="C268" s="5">
        <v>0.41111111111111109</v>
      </c>
      <c r="D268" t="s">
        <v>145</v>
      </c>
      <c r="E268" t="s">
        <v>16</v>
      </c>
      <c r="F268">
        <v>60</v>
      </c>
      <c r="G268" t="s">
        <v>30</v>
      </c>
      <c r="H268">
        <v>2</v>
      </c>
      <c r="I268">
        <v>500</v>
      </c>
      <c r="J268">
        <v>200</v>
      </c>
      <c r="K268">
        <v>1000</v>
      </c>
      <c r="L268">
        <v>800</v>
      </c>
      <c r="M268">
        <v>0.8</v>
      </c>
      <c r="N268" t="s">
        <v>28</v>
      </c>
    </row>
    <row r="269" spans="1:14">
      <c r="A269">
        <v>70</v>
      </c>
      <c r="B269" s="4">
        <v>44922</v>
      </c>
      <c r="C269" s="5">
        <v>0.45</v>
      </c>
      <c r="D269" t="s">
        <v>59</v>
      </c>
      <c r="E269" t="s">
        <v>23</v>
      </c>
      <c r="F269">
        <v>43</v>
      </c>
      <c r="G269" t="s">
        <v>17</v>
      </c>
      <c r="H269">
        <v>1</v>
      </c>
      <c r="I269">
        <v>300</v>
      </c>
      <c r="J269">
        <v>84</v>
      </c>
      <c r="K269">
        <v>300</v>
      </c>
      <c r="L269">
        <v>216</v>
      </c>
      <c r="M269">
        <v>0.72</v>
      </c>
      <c r="N269" t="s">
        <v>18</v>
      </c>
    </row>
    <row r="270" spans="1:14">
      <c r="A270">
        <v>371</v>
      </c>
      <c r="B270" s="4">
        <v>44913</v>
      </c>
      <c r="C270" s="5">
        <v>0.41736111111111113</v>
      </c>
      <c r="D270" t="s">
        <v>146</v>
      </c>
      <c r="E270" t="s">
        <v>23</v>
      </c>
      <c r="F270">
        <v>20</v>
      </c>
      <c r="G270" t="s">
        <v>20</v>
      </c>
      <c r="H270">
        <v>1</v>
      </c>
      <c r="I270">
        <v>25</v>
      </c>
      <c r="J270">
        <v>13</v>
      </c>
      <c r="K270">
        <v>25</v>
      </c>
      <c r="L270">
        <v>12</v>
      </c>
      <c r="M270">
        <v>0.48</v>
      </c>
      <c r="N270" t="s">
        <v>31</v>
      </c>
    </row>
    <row r="271" spans="1:14">
      <c r="A271">
        <v>900</v>
      </c>
      <c r="B271" s="4">
        <v>44875</v>
      </c>
      <c r="C271" s="5">
        <v>0.36180555555555555</v>
      </c>
      <c r="D271" t="s">
        <v>51</v>
      </c>
      <c r="E271" t="s">
        <v>16</v>
      </c>
      <c r="F271">
        <v>21</v>
      </c>
      <c r="G271" t="s">
        <v>17</v>
      </c>
      <c r="H271">
        <v>2</v>
      </c>
      <c r="I271">
        <v>30</v>
      </c>
      <c r="J271">
        <v>15.6</v>
      </c>
      <c r="K271">
        <v>60</v>
      </c>
      <c r="L271">
        <v>44.4</v>
      </c>
      <c r="M271">
        <v>0.74</v>
      </c>
      <c r="N271" t="s">
        <v>31</v>
      </c>
    </row>
    <row r="272" spans="1:14">
      <c r="A272">
        <v>1070</v>
      </c>
      <c r="B272" s="4">
        <v>44756</v>
      </c>
      <c r="C272" s="5">
        <v>0.46666666666666667</v>
      </c>
      <c r="D272" t="s">
        <v>37</v>
      </c>
      <c r="E272" t="s">
        <v>23</v>
      </c>
      <c r="F272">
        <v>43</v>
      </c>
      <c r="G272" t="s">
        <v>17</v>
      </c>
      <c r="H272">
        <v>1</v>
      </c>
      <c r="I272">
        <v>300</v>
      </c>
      <c r="J272">
        <v>120</v>
      </c>
      <c r="K272">
        <v>300</v>
      </c>
      <c r="L272">
        <v>180</v>
      </c>
      <c r="M272">
        <v>0.6</v>
      </c>
      <c r="N272" t="s">
        <v>18</v>
      </c>
    </row>
    <row r="273" spans="1:14">
      <c r="A273">
        <v>1371</v>
      </c>
      <c r="B273" s="4">
        <v>44687</v>
      </c>
      <c r="C273" s="5">
        <v>0.28611111111111109</v>
      </c>
      <c r="D273" t="s">
        <v>77</v>
      </c>
      <c r="E273" t="s">
        <v>23</v>
      </c>
      <c r="F273">
        <v>20</v>
      </c>
      <c r="G273" t="s">
        <v>20</v>
      </c>
      <c r="H273">
        <v>1</v>
      </c>
      <c r="I273">
        <v>25</v>
      </c>
      <c r="J273">
        <v>13.5</v>
      </c>
      <c r="K273">
        <v>25</v>
      </c>
      <c r="L273">
        <v>11.5</v>
      </c>
      <c r="M273">
        <v>0.46</v>
      </c>
      <c r="N273" t="s">
        <v>31</v>
      </c>
    </row>
    <row r="274" spans="1:14">
      <c r="A274">
        <v>1900</v>
      </c>
      <c r="B274" s="4">
        <v>44582</v>
      </c>
      <c r="C274" s="5">
        <v>0.27986111111111112</v>
      </c>
      <c r="D274" t="s">
        <v>88</v>
      </c>
      <c r="E274" t="s">
        <v>16</v>
      </c>
      <c r="F274">
        <v>21</v>
      </c>
      <c r="G274" t="s">
        <v>17</v>
      </c>
      <c r="H274">
        <v>2</v>
      </c>
      <c r="I274">
        <v>30</v>
      </c>
      <c r="J274">
        <v>10.8</v>
      </c>
      <c r="K274">
        <v>60</v>
      </c>
      <c r="L274">
        <v>49.2</v>
      </c>
      <c r="M274">
        <v>0.82000000000000006</v>
      </c>
      <c r="N274" t="s">
        <v>31</v>
      </c>
    </row>
    <row r="275" spans="1:14">
      <c r="A275">
        <v>8</v>
      </c>
      <c r="B275" s="4">
        <v>44922</v>
      </c>
      <c r="C275" s="5">
        <v>0.47152777777777777</v>
      </c>
      <c r="D275" t="s">
        <v>147</v>
      </c>
      <c r="E275" t="s">
        <v>16</v>
      </c>
      <c r="F275">
        <v>30</v>
      </c>
      <c r="G275" t="s">
        <v>30</v>
      </c>
      <c r="H275">
        <v>4</v>
      </c>
      <c r="I275">
        <v>25</v>
      </c>
      <c r="J275">
        <v>11</v>
      </c>
      <c r="K275">
        <v>100</v>
      </c>
      <c r="L275">
        <v>89</v>
      </c>
      <c r="M275">
        <v>0.89</v>
      </c>
      <c r="N275" t="s">
        <v>39</v>
      </c>
    </row>
    <row r="276" spans="1:14">
      <c r="A276">
        <v>41</v>
      </c>
      <c r="B276" s="4">
        <v>44845</v>
      </c>
      <c r="C276" s="5">
        <v>0.44166666666666665</v>
      </c>
      <c r="D276" t="s">
        <v>68</v>
      </c>
      <c r="E276" t="s">
        <v>16</v>
      </c>
      <c r="F276">
        <v>34</v>
      </c>
      <c r="G276" t="s">
        <v>17</v>
      </c>
      <c r="H276">
        <v>2</v>
      </c>
      <c r="I276">
        <v>25</v>
      </c>
      <c r="J276">
        <v>13.25</v>
      </c>
      <c r="K276">
        <v>50</v>
      </c>
      <c r="L276">
        <v>36.75</v>
      </c>
      <c r="M276">
        <v>0.73499999999999999</v>
      </c>
      <c r="N276" t="s">
        <v>39</v>
      </c>
    </row>
    <row r="277" spans="1:14">
      <c r="A277">
        <v>454</v>
      </c>
      <c r="B277" s="4">
        <v>44632</v>
      </c>
      <c r="C277" s="5">
        <v>0.30555555555555558</v>
      </c>
      <c r="D277" t="s">
        <v>120</v>
      </c>
      <c r="E277" t="s">
        <v>23</v>
      </c>
      <c r="F277">
        <v>46</v>
      </c>
      <c r="G277" t="s">
        <v>20</v>
      </c>
      <c r="H277">
        <v>1</v>
      </c>
      <c r="I277">
        <v>25</v>
      </c>
      <c r="J277">
        <v>13</v>
      </c>
      <c r="K277">
        <v>25</v>
      </c>
      <c r="L277">
        <v>12</v>
      </c>
      <c r="M277">
        <v>0.48</v>
      </c>
      <c r="N277" t="s">
        <v>21</v>
      </c>
    </row>
    <row r="278" spans="1:14">
      <c r="A278">
        <v>780</v>
      </c>
      <c r="B278" s="4">
        <v>44748</v>
      </c>
      <c r="C278" s="5">
        <v>0.47916666666666669</v>
      </c>
      <c r="D278" t="s">
        <v>148</v>
      </c>
      <c r="E278" t="s">
        <v>16</v>
      </c>
      <c r="F278">
        <v>52</v>
      </c>
      <c r="G278" t="s">
        <v>30</v>
      </c>
      <c r="H278">
        <v>2</v>
      </c>
      <c r="I278">
        <v>25</v>
      </c>
      <c r="J278">
        <v>13.25</v>
      </c>
      <c r="K278">
        <v>50</v>
      </c>
      <c r="L278">
        <v>36.75</v>
      </c>
      <c r="M278">
        <v>0.73499999999999999</v>
      </c>
      <c r="N278" t="s">
        <v>21</v>
      </c>
    </row>
    <row r="279" spans="1:14">
      <c r="A279">
        <v>920</v>
      </c>
      <c r="B279" s="4">
        <v>44793</v>
      </c>
      <c r="C279" s="5">
        <v>0.43402777777777779</v>
      </c>
      <c r="D279" t="s">
        <v>149</v>
      </c>
      <c r="E279" t="s">
        <v>23</v>
      </c>
      <c r="F279">
        <v>28</v>
      </c>
      <c r="G279" t="s">
        <v>20</v>
      </c>
      <c r="H279">
        <v>3</v>
      </c>
      <c r="I279">
        <v>25</v>
      </c>
      <c r="J279">
        <v>6.75</v>
      </c>
      <c r="K279">
        <v>75</v>
      </c>
      <c r="L279">
        <v>68.25</v>
      </c>
      <c r="M279">
        <v>0.91</v>
      </c>
      <c r="N279" t="s">
        <v>39</v>
      </c>
    </row>
    <row r="280" spans="1:14">
      <c r="A280">
        <v>1008</v>
      </c>
      <c r="B280" s="4">
        <v>44571</v>
      </c>
      <c r="C280" s="5">
        <v>0.36875000000000002</v>
      </c>
      <c r="D280" t="s">
        <v>57</v>
      </c>
      <c r="E280" t="s">
        <v>16</v>
      </c>
      <c r="F280">
        <v>30</v>
      </c>
      <c r="G280" t="s">
        <v>30</v>
      </c>
      <c r="H280">
        <v>4</v>
      </c>
      <c r="I280">
        <v>25</v>
      </c>
      <c r="J280">
        <v>13</v>
      </c>
      <c r="K280">
        <v>100</v>
      </c>
      <c r="L280">
        <v>87</v>
      </c>
      <c r="M280">
        <v>0.87</v>
      </c>
      <c r="N280" t="s">
        <v>39</v>
      </c>
    </row>
    <row r="281" spans="1:14">
      <c r="A281">
        <v>1041</v>
      </c>
      <c r="B281" s="4">
        <v>44691</v>
      </c>
      <c r="C281" s="5">
        <v>0.31041666666666667</v>
      </c>
      <c r="D281" t="s">
        <v>145</v>
      </c>
      <c r="E281" t="s">
        <v>16</v>
      </c>
      <c r="F281">
        <v>34</v>
      </c>
      <c r="G281" t="s">
        <v>17</v>
      </c>
      <c r="H281">
        <v>2</v>
      </c>
      <c r="I281">
        <v>25</v>
      </c>
      <c r="J281">
        <v>11</v>
      </c>
      <c r="K281">
        <v>50</v>
      </c>
      <c r="L281">
        <v>39</v>
      </c>
      <c r="M281">
        <v>0.78</v>
      </c>
      <c r="N281" t="s">
        <v>39</v>
      </c>
    </row>
    <row r="282" spans="1:14">
      <c r="A282">
        <v>1454</v>
      </c>
      <c r="B282" s="4">
        <v>44737</v>
      </c>
      <c r="C282" s="5">
        <v>0.47083333333333333</v>
      </c>
      <c r="D282" t="s">
        <v>73</v>
      </c>
      <c r="E282" t="s">
        <v>23</v>
      </c>
      <c r="F282">
        <v>46</v>
      </c>
      <c r="G282" t="s">
        <v>20</v>
      </c>
      <c r="H282">
        <v>1</v>
      </c>
      <c r="I282">
        <v>25</v>
      </c>
      <c r="J282">
        <v>6.75</v>
      </c>
      <c r="K282">
        <v>25</v>
      </c>
      <c r="L282">
        <v>18.25</v>
      </c>
      <c r="M282">
        <v>0.73</v>
      </c>
      <c r="N282" t="s">
        <v>21</v>
      </c>
    </row>
    <row r="283" spans="1:14">
      <c r="A283">
        <v>1780</v>
      </c>
      <c r="B283" s="4">
        <v>44906</v>
      </c>
      <c r="C283" s="5">
        <v>0.41666666666666669</v>
      </c>
      <c r="D283" t="s">
        <v>146</v>
      </c>
      <c r="E283" t="s">
        <v>16</v>
      </c>
      <c r="F283">
        <v>52</v>
      </c>
      <c r="G283" t="s">
        <v>30</v>
      </c>
      <c r="H283">
        <v>2</v>
      </c>
      <c r="I283">
        <v>25</v>
      </c>
      <c r="J283">
        <v>10.5</v>
      </c>
      <c r="K283">
        <v>50</v>
      </c>
      <c r="L283">
        <v>39.5</v>
      </c>
      <c r="M283">
        <v>0.79</v>
      </c>
      <c r="N283" t="s">
        <v>21</v>
      </c>
    </row>
    <row r="284" spans="1:14">
      <c r="A284">
        <v>1920</v>
      </c>
      <c r="B284" s="4">
        <v>44858</v>
      </c>
      <c r="C284" s="5">
        <v>0.35625000000000001</v>
      </c>
      <c r="D284" t="s">
        <v>66</v>
      </c>
      <c r="E284" t="s">
        <v>23</v>
      </c>
      <c r="F284">
        <v>28</v>
      </c>
      <c r="G284" t="s">
        <v>20</v>
      </c>
      <c r="H284">
        <v>3</v>
      </c>
      <c r="I284">
        <v>25</v>
      </c>
      <c r="J284">
        <v>9.25</v>
      </c>
      <c r="K284">
        <v>75</v>
      </c>
      <c r="L284">
        <v>65.75</v>
      </c>
      <c r="M284">
        <v>0.87666666666666671</v>
      </c>
      <c r="N284" t="s">
        <v>39</v>
      </c>
    </row>
    <row r="285" spans="1:14">
      <c r="A285">
        <v>396</v>
      </c>
      <c r="B285" s="4">
        <v>44910</v>
      </c>
      <c r="C285" s="5">
        <v>0.29930555555555555</v>
      </c>
      <c r="D285" t="s">
        <v>91</v>
      </c>
      <c r="E285" t="s">
        <v>23</v>
      </c>
      <c r="F285">
        <v>55</v>
      </c>
      <c r="G285" t="s">
        <v>20</v>
      </c>
      <c r="H285">
        <v>1</v>
      </c>
      <c r="I285">
        <v>30</v>
      </c>
      <c r="J285">
        <v>10.8</v>
      </c>
      <c r="K285">
        <v>30</v>
      </c>
      <c r="L285">
        <v>19.2</v>
      </c>
      <c r="M285">
        <v>0.64</v>
      </c>
      <c r="N285" t="s">
        <v>21</v>
      </c>
    </row>
    <row r="286" spans="1:14">
      <c r="A286">
        <v>1396</v>
      </c>
      <c r="B286" s="4">
        <v>44719</v>
      </c>
      <c r="C286" s="5">
        <v>0.26597222222222222</v>
      </c>
      <c r="D286" t="s">
        <v>150</v>
      </c>
      <c r="E286" t="s">
        <v>23</v>
      </c>
      <c r="F286">
        <v>55</v>
      </c>
      <c r="G286" t="s">
        <v>20</v>
      </c>
      <c r="H286">
        <v>1</v>
      </c>
      <c r="I286">
        <v>30</v>
      </c>
      <c r="J286">
        <v>8.4</v>
      </c>
      <c r="K286">
        <v>30</v>
      </c>
      <c r="L286">
        <v>21.6</v>
      </c>
      <c r="M286">
        <v>0.72000000000000008</v>
      </c>
      <c r="N286" t="s">
        <v>21</v>
      </c>
    </row>
    <row r="287" spans="1:14">
      <c r="A287">
        <v>168</v>
      </c>
      <c r="B287" s="4">
        <v>44680</v>
      </c>
      <c r="C287" s="5">
        <v>0.3888888888888889</v>
      </c>
      <c r="D287" t="s">
        <v>103</v>
      </c>
      <c r="E287" t="s">
        <v>16</v>
      </c>
      <c r="F287">
        <v>53</v>
      </c>
      <c r="G287" t="s">
        <v>17</v>
      </c>
      <c r="H287">
        <v>1</v>
      </c>
      <c r="I287">
        <v>300</v>
      </c>
      <c r="J287">
        <v>102</v>
      </c>
      <c r="K287">
        <v>300</v>
      </c>
      <c r="L287">
        <v>198</v>
      </c>
      <c r="M287">
        <v>0.66</v>
      </c>
      <c r="N287" t="s">
        <v>21</v>
      </c>
    </row>
    <row r="288" spans="1:14">
      <c r="A288">
        <v>400</v>
      </c>
      <c r="B288" s="4">
        <v>44628</v>
      </c>
      <c r="C288" s="5">
        <v>0.41111111111111109</v>
      </c>
      <c r="D288" t="s">
        <v>124</v>
      </c>
      <c r="E288" t="s">
        <v>16</v>
      </c>
      <c r="F288">
        <v>53</v>
      </c>
      <c r="G288" t="s">
        <v>17</v>
      </c>
      <c r="H288">
        <v>4</v>
      </c>
      <c r="I288">
        <v>50</v>
      </c>
      <c r="J288">
        <v>24</v>
      </c>
      <c r="K288">
        <v>200</v>
      </c>
      <c r="L288">
        <v>176</v>
      </c>
      <c r="M288">
        <v>0.88</v>
      </c>
      <c r="N288" t="s">
        <v>21</v>
      </c>
    </row>
    <row r="289" spans="1:14">
      <c r="A289">
        <v>611</v>
      </c>
      <c r="B289" s="4">
        <v>44763</v>
      </c>
      <c r="C289" s="5">
        <v>0.34236111111111112</v>
      </c>
      <c r="D289" t="s">
        <v>151</v>
      </c>
      <c r="E289" t="s">
        <v>16</v>
      </c>
      <c r="F289">
        <v>51</v>
      </c>
      <c r="G289" t="s">
        <v>20</v>
      </c>
      <c r="H289">
        <v>3</v>
      </c>
      <c r="I289">
        <v>500</v>
      </c>
      <c r="J289">
        <v>180</v>
      </c>
      <c r="K289">
        <v>1500</v>
      </c>
      <c r="L289">
        <v>1320</v>
      </c>
      <c r="M289">
        <v>0.88</v>
      </c>
      <c r="N289" t="s">
        <v>21</v>
      </c>
    </row>
    <row r="290" spans="1:14">
      <c r="A290">
        <v>800</v>
      </c>
      <c r="B290" s="4">
        <v>44823</v>
      </c>
      <c r="C290" s="5">
        <v>0.31458333333333333</v>
      </c>
      <c r="D290" t="s">
        <v>117</v>
      </c>
      <c r="E290" t="s">
        <v>16</v>
      </c>
      <c r="F290">
        <v>32</v>
      </c>
      <c r="G290" t="s">
        <v>17</v>
      </c>
      <c r="H290">
        <v>4</v>
      </c>
      <c r="I290">
        <v>300</v>
      </c>
      <c r="J290">
        <v>87</v>
      </c>
      <c r="K290">
        <v>1200</v>
      </c>
      <c r="L290">
        <v>1113</v>
      </c>
      <c r="M290">
        <v>0.92749999999999999</v>
      </c>
      <c r="N290" t="s">
        <v>39</v>
      </c>
    </row>
    <row r="291" spans="1:14">
      <c r="A291">
        <v>1168</v>
      </c>
      <c r="B291" s="4">
        <v>44752</v>
      </c>
      <c r="C291" s="5">
        <v>0.33055555555555555</v>
      </c>
      <c r="D291" t="s">
        <v>47</v>
      </c>
      <c r="E291" t="s">
        <v>16</v>
      </c>
      <c r="F291">
        <v>53</v>
      </c>
      <c r="G291" t="s">
        <v>17</v>
      </c>
      <c r="H291">
        <v>1</v>
      </c>
      <c r="I291">
        <v>300</v>
      </c>
      <c r="J291">
        <v>150</v>
      </c>
      <c r="K291">
        <v>300</v>
      </c>
      <c r="L291">
        <v>150</v>
      </c>
      <c r="M291">
        <v>0.5</v>
      </c>
      <c r="N291" t="s">
        <v>21</v>
      </c>
    </row>
    <row r="292" spans="1:14">
      <c r="A292">
        <v>1400</v>
      </c>
      <c r="B292" s="4">
        <v>44816</v>
      </c>
      <c r="C292" s="5">
        <v>0.49583333333333335</v>
      </c>
      <c r="D292" t="s">
        <v>63</v>
      </c>
      <c r="E292" t="s">
        <v>16</v>
      </c>
      <c r="F292">
        <v>53</v>
      </c>
      <c r="G292" t="s">
        <v>17</v>
      </c>
      <c r="H292">
        <v>4</v>
      </c>
      <c r="I292">
        <v>50</v>
      </c>
      <c r="J292">
        <v>20</v>
      </c>
      <c r="K292">
        <v>200</v>
      </c>
      <c r="L292">
        <v>180</v>
      </c>
      <c r="M292">
        <v>0.9</v>
      </c>
      <c r="N292" t="s">
        <v>21</v>
      </c>
    </row>
    <row r="293" spans="1:14">
      <c r="A293">
        <v>1611</v>
      </c>
      <c r="B293" s="4">
        <v>44882</v>
      </c>
      <c r="C293" s="5">
        <v>0.3125</v>
      </c>
      <c r="D293" t="s">
        <v>125</v>
      </c>
      <c r="E293" t="s">
        <v>16</v>
      </c>
      <c r="F293">
        <v>51</v>
      </c>
      <c r="G293" t="s">
        <v>20</v>
      </c>
      <c r="H293">
        <v>3</v>
      </c>
      <c r="I293">
        <v>500</v>
      </c>
      <c r="J293">
        <v>180</v>
      </c>
      <c r="K293">
        <v>1500</v>
      </c>
      <c r="L293">
        <v>1320</v>
      </c>
      <c r="M293">
        <v>0.88</v>
      </c>
      <c r="N293" t="s">
        <v>21</v>
      </c>
    </row>
    <row r="294" spans="1:14">
      <c r="A294">
        <v>1800</v>
      </c>
      <c r="B294" s="4">
        <v>44794</v>
      </c>
      <c r="C294" s="5">
        <v>0.45347222222222222</v>
      </c>
      <c r="D294" t="s">
        <v>40</v>
      </c>
      <c r="E294" t="s">
        <v>16</v>
      </c>
      <c r="F294">
        <v>32</v>
      </c>
      <c r="G294" t="s">
        <v>17</v>
      </c>
      <c r="H294">
        <v>4</v>
      </c>
      <c r="I294">
        <v>300</v>
      </c>
      <c r="J294">
        <v>111</v>
      </c>
      <c r="K294">
        <v>1200</v>
      </c>
      <c r="L294">
        <v>1089</v>
      </c>
      <c r="M294">
        <v>0.90749999999999997</v>
      </c>
      <c r="N294" t="s">
        <v>39</v>
      </c>
    </row>
    <row r="295" spans="1:14">
      <c r="A295">
        <v>272</v>
      </c>
      <c r="B295" s="4">
        <v>44722</v>
      </c>
      <c r="C295" s="5">
        <v>0.49791666666666667</v>
      </c>
      <c r="D295" t="s">
        <v>142</v>
      </c>
      <c r="E295" t="s">
        <v>23</v>
      </c>
      <c r="F295">
        <v>61</v>
      </c>
      <c r="G295" t="s">
        <v>30</v>
      </c>
      <c r="H295">
        <v>2</v>
      </c>
      <c r="I295">
        <v>50</v>
      </c>
      <c r="J295">
        <v>27.5</v>
      </c>
      <c r="K295">
        <v>100</v>
      </c>
      <c r="L295">
        <v>72.5</v>
      </c>
      <c r="M295">
        <v>0.72499999999999998</v>
      </c>
      <c r="N295" t="s">
        <v>28</v>
      </c>
    </row>
    <row r="296" spans="1:14">
      <c r="A296">
        <v>473</v>
      </c>
      <c r="B296" s="4">
        <v>44829</v>
      </c>
      <c r="C296" s="5">
        <v>0.42291666666666666</v>
      </c>
      <c r="D296" t="s">
        <v>40</v>
      </c>
      <c r="E296" t="s">
        <v>16</v>
      </c>
      <c r="F296">
        <v>64</v>
      </c>
      <c r="G296" t="s">
        <v>20</v>
      </c>
      <c r="H296">
        <v>1</v>
      </c>
      <c r="I296">
        <v>50</v>
      </c>
      <c r="J296">
        <v>14.5</v>
      </c>
      <c r="K296">
        <v>50</v>
      </c>
      <c r="L296">
        <v>35.5</v>
      </c>
      <c r="M296">
        <v>0.71</v>
      </c>
      <c r="N296" t="s">
        <v>28</v>
      </c>
    </row>
    <row r="297" spans="1:14">
      <c r="A297">
        <v>506</v>
      </c>
      <c r="B297" s="4">
        <v>44680</v>
      </c>
      <c r="C297" s="5">
        <v>0.30069444444444443</v>
      </c>
      <c r="D297" t="s">
        <v>150</v>
      </c>
      <c r="E297" t="s">
        <v>16</v>
      </c>
      <c r="F297">
        <v>34</v>
      </c>
      <c r="G297" t="s">
        <v>20</v>
      </c>
      <c r="H297">
        <v>3</v>
      </c>
      <c r="I297">
        <v>500</v>
      </c>
      <c r="J297">
        <v>200</v>
      </c>
      <c r="K297">
        <v>1500</v>
      </c>
      <c r="L297">
        <v>1300</v>
      </c>
      <c r="M297">
        <v>0.8666666666666667</v>
      </c>
      <c r="N297" t="s">
        <v>39</v>
      </c>
    </row>
    <row r="298" spans="1:14">
      <c r="A298">
        <v>766</v>
      </c>
      <c r="B298" s="4">
        <v>44565</v>
      </c>
      <c r="C298" s="5">
        <v>0.3347222222222222</v>
      </c>
      <c r="D298" t="s">
        <v>65</v>
      </c>
      <c r="E298" t="s">
        <v>16</v>
      </c>
      <c r="F298">
        <v>38</v>
      </c>
      <c r="G298" t="s">
        <v>30</v>
      </c>
      <c r="H298">
        <v>3</v>
      </c>
      <c r="I298">
        <v>300</v>
      </c>
      <c r="J298">
        <v>165</v>
      </c>
      <c r="K298">
        <v>900</v>
      </c>
      <c r="L298">
        <v>735</v>
      </c>
      <c r="M298">
        <v>0.81666666666666665</v>
      </c>
      <c r="N298" t="s">
        <v>18</v>
      </c>
    </row>
    <row r="299" spans="1:14">
      <c r="A299">
        <v>1272</v>
      </c>
      <c r="B299" s="4">
        <v>44665</v>
      </c>
      <c r="C299" s="5">
        <v>0.49930555555555556</v>
      </c>
      <c r="D299" t="s">
        <v>32</v>
      </c>
      <c r="E299" t="s">
        <v>23</v>
      </c>
      <c r="F299">
        <v>61</v>
      </c>
      <c r="G299" t="s">
        <v>30</v>
      </c>
      <c r="H299">
        <v>2</v>
      </c>
      <c r="I299">
        <v>50</v>
      </c>
      <c r="J299">
        <v>17</v>
      </c>
      <c r="K299">
        <v>100</v>
      </c>
      <c r="L299">
        <v>83</v>
      </c>
      <c r="M299">
        <v>0.83</v>
      </c>
      <c r="N299" t="s">
        <v>28</v>
      </c>
    </row>
    <row r="300" spans="1:14">
      <c r="A300">
        <v>1473</v>
      </c>
      <c r="B300" s="4">
        <v>44639</v>
      </c>
      <c r="C300" s="5">
        <v>0.37916666666666665</v>
      </c>
      <c r="D300" t="s">
        <v>152</v>
      </c>
      <c r="E300" t="s">
        <v>16</v>
      </c>
      <c r="F300">
        <v>64</v>
      </c>
      <c r="G300" t="s">
        <v>20</v>
      </c>
      <c r="H300">
        <v>1</v>
      </c>
      <c r="I300">
        <v>50</v>
      </c>
      <c r="J300">
        <v>13</v>
      </c>
      <c r="K300">
        <v>50</v>
      </c>
      <c r="L300">
        <v>37</v>
      </c>
      <c r="M300">
        <v>0.74</v>
      </c>
      <c r="N300" t="s">
        <v>28</v>
      </c>
    </row>
    <row r="301" spans="1:14">
      <c r="A301">
        <v>1506</v>
      </c>
      <c r="B301" s="4">
        <v>44570</v>
      </c>
      <c r="C301" s="5">
        <v>0.31319444444444444</v>
      </c>
      <c r="D301" t="s">
        <v>19</v>
      </c>
      <c r="E301" t="s">
        <v>16</v>
      </c>
      <c r="F301">
        <v>34</v>
      </c>
      <c r="G301" t="s">
        <v>20</v>
      </c>
      <c r="H301">
        <v>3</v>
      </c>
      <c r="I301">
        <v>500</v>
      </c>
      <c r="J301">
        <v>245</v>
      </c>
      <c r="K301">
        <v>1500</v>
      </c>
      <c r="L301">
        <v>1255</v>
      </c>
      <c r="M301">
        <v>0.83666666666666667</v>
      </c>
      <c r="N301" t="s">
        <v>39</v>
      </c>
    </row>
    <row r="302" spans="1:14">
      <c r="A302">
        <v>1766</v>
      </c>
      <c r="B302" s="4">
        <v>44887</v>
      </c>
      <c r="C302" s="5">
        <v>0.25555555555555554</v>
      </c>
      <c r="D302" t="s">
        <v>33</v>
      </c>
      <c r="E302" t="s">
        <v>16</v>
      </c>
      <c r="F302">
        <v>38</v>
      </c>
      <c r="G302" t="s">
        <v>30</v>
      </c>
      <c r="H302">
        <v>3</v>
      </c>
      <c r="I302">
        <v>300</v>
      </c>
      <c r="J302">
        <v>129</v>
      </c>
      <c r="K302">
        <v>900</v>
      </c>
      <c r="L302">
        <v>771</v>
      </c>
      <c r="M302">
        <v>0.85666666666666669</v>
      </c>
      <c r="N302" t="s">
        <v>18</v>
      </c>
    </row>
    <row r="303" spans="1:14">
      <c r="A303">
        <v>135</v>
      </c>
      <c r="B303" s="4">
        <v>44669</v>
      </c>
      <c r="C303" s="5">
        <v>0.30694444444444446</v>
      </c>
      <c r="D303" t="s">
        <v>100</v>
      </c>
      <c r="E303" t="s">
        <v>16</v>
      </c>
      <c r="F303">
        <v>20</v>
      </c>
      <c r="G303" t="s">
        <v>17</v>
      </c>
      <c r="H303">
        <v>2</v>
      </c>
      <c r="I303">
        <v>25</v>
      </c>
      <c r="J303">
        <v>13</v>
      </c>
      <c r="K303">
        <v>50</v>
      </c>
      <c r="L303">
        <v>37</v>
      </c>
      <c r="M303">
        <v>0.74</v>
      </c>
      <c r="N303" t="s">
        <v>31</v>
      </c>
    </row>
    <row r="304" spans="1:14">
      <c r="A304">
        <v>1135</v>
      </c>
      <c r="B304" s="4">
        <v>44575</v>
      </c>
      <c r="C304" s="5">
        <v>0.34444444444444444</v>
      </c>
      <c r="D304" t="s">
        <v>153</v>
      </c>
      <c r="E304" t="s">
        <v>16</v>
      </c>
      <c r="F304">
        <v>20</v>
      </c>
      <c r="G304" t="s">
        <v>17</v>
      </c>
      <c r="H304">
        <v>2</v>
      </c>
      <c r="I304">
        <v>25</v>
      </c>
      <c r="J304">
        <v>12.5</v>
      </c>
      <c r="K304">
        <v>50</v>
      </c>
      <c r="L304">
        <v>37.5</v>
      </c>
      <c r="M304">
        <v>0.75</v>
      </c>
      <c r="N304" t="s">
        <v>31</v>
      </c>
    </row>
    <row r="305" spans="1:14">
      <c r="A305">
        <v>2</v>
      </c>
      <c r="B305" s="4">
        <v>44736</v>
      </c>
      <c r="C305" s="5">
        <v>0.42152777777777778</v>
      </c>
      <c r="D305" t="s">
        <v>100</v>
      </c>
      <c r="E305" t="s">
        <v>23</v>
      </c>
      <c r="F305">
        <v>26</v>
      </c>
      <c r="G305" t="s">
        <v>17</v>
      </c>
      <c r="H305">
        <v>2</v>
      </c>
      <c r="I305">
        <v>500</v>
      </c>
      <c r="J305">
        <v>135</v>
      </c>
      <c r="K305">
        <v>1000</v>
      </c>
      <c r="L305">
        <v>865</v>
      </c>
      <c r="M305">
        <v>0.86499999999999999</v>
      </c>
      <c r="N305" t="s">
        <v>39</v>
      </c>
    </row>
    <row r="306" spans="1:14">
      <c r="A306">
        <v>158</v>
      </c>
      <c r="B306" s="4">
        <v>44582</v>
      </c>
      <c r="C306" s="5">
        <v>0.48472222222222222</v>
      </c>
      <c r="D306" t="s">
        <v>154</v>
      </c>
      <c r="E306" t="s">
        <v>23</v>
      </c>
      <c r="F306">
        <v>44</v>
      </c>
      <c r="G306" t="s">
        <v>30</v>
      </c>
      <c r="H306">
        <v>2</v>
      </c>
      <c r="I306">
        <v>300</v>
      </c>
      <c r="J306">
        <v>132</v>
      </c>
      <c r="K306">
        <v>600</v>
      </c>
      <c r="L306">
        <v>468</v>
      </c>
      <c r="M306">
        <v>0.78</v>
      </c>
      <c r="N306" t="s">
        <v>18</v>
      </c>
    </row>
    <row r="307" spans="1:14">
      <c r="A307">
        <v>185</v>
      </c>
      <c r="B307" s="4">
        <v>44739</v>
      </c>
      <c r="C307" s="5">
        <v>0.40833333333333333</v>
      </c>
      <c r="D307" t="s">
        <v>64</v>
      </c>
      <c r="E307" t="s">
        <v>16</v>
      </c>
      <c r="F307">
        <v>24</v>
      </c>
      <c r="G307" t="s">
        <v>17</v>
      </c>
      <c r="H307">
        <v>1</v>
      </c>
      <c r="I307">
        <v>25</v>
      </c>
      <c r="J307">
        <v>7</v>
      </c>
      <c r="K307">
        <v>25</v>
      </c>
      <c r="L307">
        <v>18</v>
      </c>
      <c r="M307">
        <v>0.72</v>
      </c>
      <c r="N307" t="s">
        <v>31</v>
      </c>
    </row>
    <row r="308" spans="1:14">
      <c r="A308">
        <v>433</v>
      </c>
      <c r="B308" s="4">
        <v>44771</v>
      </c>
      <c r="C308" s="5">
        <v>0.36666666666666664</v>
      </c>
      <c r="D308" t="s">
        <v>27</v>
      </c>
      <c r="E308" t="s">
        <v>16</v>
      </c>
      <c r="F308">
        <v>29</v>
      </c>
      <c r="G308" t="s">
        <v>20</v>
      </c>
      <c r="H308">
        <v>4</v>
      </c>
      <c r="I308">
        <v>50</v>
      </c>
      <c r="J308">
        <v>20</v>
      </c>
      <c r="K308">
        <v>200</v>
      </c>
      <c r="L308">
        <v>180</v>
      </c>
      <c r="M308">
        <v>0.9</v>
      </c>
      <c r="N308" t="s">
        <v>39</v>
      </c>
    </row>
    <row r="309" spans="1:14">
      <c r="A309">
        <v>1002</v>
      </c>
      <c r="B309" s="4">
        <v>44622</v>
      </c>
      <c r="C309" s="5">
        <v>0.39166666666666666</v>
      </c>
      <c r="D309" t="s">
        <v>95</v>
      </c>
      <c r="E309" t="s">
        <v>23</v>
      </c>
      <c r="F309">
        <v>26</v>
      </c>
      <c r="G309" t="s">
        <v>17</v>
      </c>
      <c r="H309">
        <v>2</v>
      </c>
      <c r="I309">
        <v>500</v>
      </c>
      <c r="J309">
        <v>270</v>
      </c>
      <c r="K309">
        <v>1000</v>
      </c>
      <c r="L309">
        <v>730</v>
      </c>
      <c r="M309">
        <v>0.73</v>
      </c>
      <c r="N309" t="s">
        <v>39</v>
      </c>
    </row>
    <row r="310" spans="1:14">
      <c r="A310">
        <v>1158</v>
      </c>
      <c r="B310" s="4">
        <v>44616</v>
      </c>
      <c r="C310" s="5">
        <v>0.39513888888888887</v>
      </c>
      <c r="D310" t="s">
        <v>55</v>
      </c>
      <c r="E310" t="s">
        <v>23</v>
      </c>
      <c r="F310">
        <v>44</v>
      </c>
      <c r="G310" t="s">
        <v>30</v>
      </c>
      <c r="H310">
        <v>2</v>
      </c>
      <c r="I310">
        <v>300</v>
      </c>
      <c r="J310">
        <v>138</v>
      </c>
      <c r="K310">
        <v>600</v>
      </c>
      <c r="L310">
        <v>462</v>
      </c>
      <c r="M310">
        <v>0.77</v>
      </c>
      <c r="N310" t="s">
        <v>18</v>
      </c>
    </row>
    <row r="311" spans="1:14">
      <c r="A311">
        <v>1185</v>
      </c>
      <c r="B311" s="4">
        <v>44838</v>
      </c>
      <c r="C311" s="5">
        <v>0.43611111111111112</v>
      </c>
      <c r="D311" t="s">
        <v>155</v>
      </c>
      <c r="E311" t="s">
        <v>16</v>
      </c>
      <c r="F311">
        <v>24</v>
      </c>
      <c r="G311" t="s">
        <v>17</v>
      </c>
      <c r="H311">
        <v>1</v>
      </c>
      <c r="I311">
        <v>25</v>
      </c>
      <c r="J311">
        <v>10.25</v>
      </c>
      <c r="K311">
        <v>25</v>
      </c>
      <c r="L311">
        <v>14.75</v>
      </c>
      <c r="M311">
        <v>0.59</v>
      </c>
      <c r="N311" t="s">
        <v>31</v>
      </c>
    </row>
    <row r="312" spans="1:14">
      <c r="A312">
        <v>1433</v>
      </c>
      <c r="B312" s="4">
        <v>44577</v>
      </c>
      <c r="C312" s="5">
        <v>0.48680555555555555</v>
      </c>
      <c r="D312" t="s">
        <v>156</v>
      </c>
      <c r="E312" t="s">
        <v>16</v>
      </c>
      <c r="F312">
        <v>29</v>
      </c>
      <c r="G312" t="s">
        <v>20</v>
      </c>
      <c r="H312">
        <v>4</v>
      </c>
      <c r="I312">
        <v>50</v>
      </c>
      <c r="J312">
        <v>15.5</v>
      </c>
      <c r="K312">
        <v>200</v>
      </c>
      <c r="L312">
        <v>184.5</v>
      </c>
      <c r="M312">
        <v>0.92249999999999999</v>
      </c>
      <c r="N312" t="s">
        <v>39</v>
      </c>
    </row>
    <row r="313" spans="1:14">
      <c r="A313">
        <v>152</v>
      </c>
      <c r="B313" s="4">
        <v>44728</v>
      </c>
      <c r="C313" s="5">
        <v>0.49861111111111112</v>
      </c>
      <c r="D313" t="s">
        <v>34</v>
      </c>
      <c r="E313" t="s">
        <v>16</v>
      </c>
      <c r="F313">
        <v>43</v>
      </c>
      <c r="G313" t="s">
        <v>30</v>
      </c>
      <c r="H313">
        <v>4</v>
      </c>
      <c r="I313">
        <v>500</v>
      </c>
      <c r="J313">
        <v>210</v>
      </c>
      <c r="K313">
        <v>2000</v>
      </c>
      <c r="L313">
        <v>1790</v>
      </c>
      <c r="M313">
        <v>0.89500000000000002</v>
      </c>
      <c r="N313" t="s">
        <v>18</v>
      </c>
    </row>
    <row r="314" spans="1:14">
      <c r="A314">
        <v>753</v>
      </c>
      <c r="B314" s="4">
        <v>44748</v>
      </c>
      <c r="C314" s="5">
        <v>0.42152777777777778</v>
      </c>
      <c r="D314" t="s">
        <v>144</v>
      </c>
      <c r="E314" t="s">
        <v>23</v>
      </c>
      <c r="F314">
        <v>32</v>
      </c>
      <c r="G314" t="s">
        <v>17</v>
      </c>
      <c r="H314">
        <v>1</v>
      </c>
      <c r="I314">
        <v>30</v>
      </c>
      <c r="J314">
        <v>15.9</v>
      </c>
      <c r="K314">
        <v>30</v>
      </c>
      <c r="L314">
        <v>14.1</v>
      </c>
      <c r="M314">
        <v>0.47</v>
      </c>
      <c r="N314" t="s">
        <v>39</v>
      </c>
    </row>
    <row r="315" spans="1:14">
      <c r="A315">
        <v>763</v>
      </c>
      <c r="B315" s="4">
        <v>44674</v>
      </c>
      <c r="C315" s="5">
        <v>0.40486111111111112</v>
      </c>
      <c r="D315" t="s">
        <v>35</v>
      </c>
      <c r="E315" t="s">
        <v>16</v>
      </c>
      <c r="F315">
        <v>34</v>
      </c>
      <c r="G315" t="s">
        <v>17</v>
      </c>
      <c r="H315">
        <v>2</v>
      </c>
      <c r="I315">
        <v>25</v>
      </c>
      <c r="J315">
        <v>11.5</v>
      </c>
      <c r="K315">
        <v>50</v>
      </c>
      <c r="L315">
        <v>38.5</v>
      </c>
      <c r="M315">
        <v>0.77</v>
      </c>
      <c r="N315" t="s">
        <v>39</v>
      </c>
    </row>
    <row r="316" spans="1:14">
      <c r="A316">
        <v>932</v>
      </c>
      <c r="B316" s="4">
        <v>44842</v>
      </c>
      <c r="C316" s="5">
        <v>0.35625000000000001</v>
      </c>
      <c r="D316" t="s">
        <v>34</v>
      </c>
      <c r="E316" t="s">
        <v>23</v>
      </c>
      <c r="F316">
        <v>45</v>
      </c>
      <c r="G316" t="s">
        <v>20</v>
      </c>
      <c r="H316">
        <v>4</v>
      </c>
      <c r="I316">
        <v>25</v>
      </c>
      <c r="J316">
        <v>7.75</v>
      </c>
      <c r="K316">
        <v>100</v>
      </c>
      <c r="L316">
        <v>92.25</v>
      </c>
      <c r="M316">
        <v>0.92249999999999999</v>
      </c>
      <c r="N316" t="s">
        <v>18</v>
      </c>
    </row>
    <row r="317" spans="1:14">
      <c r="A317">
        <v>1152</v>
      </c>
      <c r="B317" s="4">
        <v>44921</v>
      </c>
      <c r="C317" s="5">
        <v>0.32500000000000001</v>
      </c>
      <c r="D317" t="s">
        <v>116</v>
      </c>
      <c r="E317" t="s">
        <v>16</v>
      </c>
      <c r="F317">
        <v>43</v>
      </c>
      <c r="G317" t="s">
        <v>30</v>
      </c>
      <c r="H317">
        <v>4</v>
      </c>
      <c r="I317">
        <v>500</v>
      </c>
      <c r="J317">
        <v>170</v>
      </c>
      <c r="K317">
        <v>2000</v>
      </c>
      <c r="L317">
        <v>1830</v>
      </c>
      <c r="M317">
        <v>0.91500000000000004</v>
      </c>
      <c r="N317" t="s">
        <v>18</v>
      </c>
    </row>
    <row r="318" spans="1:14">
      <c r="A318">
        <v>1753</v>
      </c>
      <c r="B318" s="4">
        <v>44759</v>
      </c>
      <c r="C318" s="5">
        <v>0.31944444444444442</v>
      </c>
      <c r="D318" t="s">
        <v>101</v>
      </c>
      <c r="E318" t="s">
        <v>23</v>
      </c>
      <c r="F318">
        <v>32</v>
      </c>
      <c r="G318" t="s">
        <v>17</v>
      </c>
      <c r="H318">
        <v>1</v>
      </c>
      <c r="I318">
        <v>30</v>
      </c>
      <c r="J318">
        <v>10.5</v>
      </c>
      <c r="K318">
        <v>30</v>
      </c>
      <c r="L318">
        <v>19.5</v>
      </c>
      <c r="M318">
        <v>0.65</v>
      </c>
      <c r="N318" t="s">
        <v>39</v>
      </c>
    </row>
    <row r="319" spans="1:14">
      <c r="A319">
        <v>1763</v>
      </c>
      <c r="B319" s="4">
        <v>44742</v>
      </c>
      <c r="C319" s="5">
        <v>0.48402777777777778</v>
      </c>
      <c r="D319" t="s">
        <v>134</v>
      </c>
      <c r="E319" t="s">
        <v>16</v>
      </c>
      <c r="F319">
        <v>34</v>
      </c>
      <c r="G319" t="s">
        <v>17</v>
      </c>
      <c r="H319">
        <v>2</v>
      </c>
      <c r="I319">
        <v>25</v>
      </c>
      <c r="J319">
        <v>13.5</v>
      </c>
      <c r="K319">
        <v>50</v>
      </c>
      <c r="L319">
        <v>36.5</v>
      </c>
      <c r="M319">
        <v>0.73</v>
      </c>
      <c r="N319" t="s">
        <v>39</v>
      </c>
    </row>
    <row r="320" spans="1:14">
      <c r="A320">
        <v>1932</v>
      </c>
      <c r="B320" s="4">
        <v>44873</v>
      </c>
      <c r="C320" s="5">
        <v>0.29652777777777778</v>
      </c>
      <c r="D320" t="s">
        <v>157</v>
      </c>
      <c r="E320" t="s">
        <v>23</v>
      </c>
      <c r="F320">
        <v>45</v>
      </c>
      <c r="G320" t="s">
        <v>20</v>
      </c>
      <c r="H320">
        <v>4</v>
      </c>
      <c r="I320">
        <v>25</v>
      </c>
      <c r="J320">
        <v>6.25</v>
      </c>
      <c r="K320">
        <v>100</v>
      </c>
      <c r="L320">
        <v>93.75</v>
      </c>
      <c r="M320">
        <v>0.9375</v>
      </c>
      <c r="N320" t="s">
        <v>18</v>
      </c>
    </row>
    <row r="321" spans="1:14">
      <c r="A321">
        <v>399</v>
      </c>
      <c r="B321" s="4">
        <v>44902</v>
      </c>
      <c r="C321" s="5">
        <v>0.3923611111111111</v>
      </c>
      <c r="D321" t="s">
        <v>113</v>
      </c>
      <c r="E321" t="s">
        <v>23</v>
      </c>
      <c r="F321">
        <v>64</v>
      </c>
      <c r="G321" t="s">
        <v>20</v>
      </c>
      <c r="H321">
        <v>2</v>
      </c>
      <c r="I321">
        <v>30</v>
      </c>
      <c r="J321">
        <v>12.9</v>
      </c>
      <c r="K321">
        <v>60</v>
      </c>
      <c r="L321">
        <v>47.1</v>
      </c>
      <c r="M321">
        <v>0.78500000000000003</v>
      </c>
      <c r="N321" t="s">
        <v>28</v>
      </c>
    </row>
    <row r="322" spans="1:14">
      <c r="A322">
        <v>500</v>
      </c>
      <c r="B322" s="4">
        <v>44848</v>
      </c>
      <c r="C322" s="5">
        <v>0.25763888888888886</v>
      </c>
      <c r="D322" t="s">
        <v>34</v>
      </c>
      <c r="E322" t="s">
        <v>23</v>
      </c>
      <c r="F322">
        <v>60</v>
      </c>
      <c r="G322" t="s">
        <v>20</v>
      </c>
      <c r="H322">
        <v>4</v>
      </c>
      <c r="I322">
        <v>25</v>
      </c>
      <c r="J322">
        <v>11.5</v>
      </c>
      <c r="K322">
        <v>100</v>
      </c>
      <c r="L322">
        <v>88.5</v>
      </c>
      <c r="M322">
        <v>0.88500000000000001</v>
      </c>
      <c r="N322" t="s">
        <v>28</v>
      </c>
    </row>
    <row r="323" spans="1:14">
      <c r="A323">
        <v>514</v>
      </c>
      <c r="B323" s="4">
        <v>44869</v>
      </c>
      <c r="C323" s="5">
        <v>0.3576388888888889</v>
      </c>
      <c r="D323" t="s">
        <v>104</v>
      </c>
      <c r="E323" t="s">
        <v>23</v>
      </c>
      <c r="F323">
        <v>18</v>
      </c>
      <c r="G323" t="s">
        <v>30</v>
      </c>
      <c r="H323">
        <v>1</v>
      </c>
      <c r="I323">
        <v>300</v>
      </c>
      <c r="J323">
        <v>96</v>
      </c>
      <c r="K323">
        <v>300</v>
      </c>
      <c r="L323">
        <v>204</v>
      </c>
      <c r="M323">
        <v>0.68</v>
      </c>
      <c r="N323" t="s">
        <v>31</v>
      </c>
    </row>
    <row r="324" spans="1:14">
      <c r="A324">
        <v>1399</v>
      </c>
      <c r="B324" s="4">
        <v>44589</v>
      </c>
      <c r="C324" s="5">
        <v>0.3972222222222222</v>
      </c>
      <c r="D324" t="s">
        <v>60</v>
      </c>
      <c r="E324" t="s">
        <v>23</v>
      </c>
      <c r="F324">
        <v>64</v>
      </c>
      <c r="G324" t="s">
        <v>20</v>
      </c>
      <c r="H324">
        <v>2</v>
      </c>
      <c r="I324">
        <v>30</v>
      </c>
      <c r="J324">
        <v>16.2</v>
      </c>
      <c r="K324">
        <v>60</v>
      </c>
      <c r="L324">
        <v>43.8</v>
      </c>
      <c r="M324">
        <v>0.73</v>
      </c>
      <c r="N324" t="s">
        <v>28</v>
      </c>
    </row>
    <row r="325" spans="1:14">
      <c r="A325">
        <v>1500</v>
      </c>
      <c r="B325" s="4">
        <v>44671</v>
      </c>
      <c r="C325" s="5">
        <v>0.35833333333333334</v>
      </c>
      <c r="D325" t="s">
        <v>158</v>
      </c>
      <c r="E325" t="s">
        <v>23</v>
      </c>
      <c r="F325">
        <v>60</v>
      </c>
      <c r="G325" t="s">
        <v>20</v>
      </c>
      <c r="H325">
        <v>4</v>
      </c>
      <c r="I325">
        <v>25</v>
      </c>
      <c r="J325">
        <v>8.5</v>
      </c>
      <c r="K325">
        <v>100</v>
      </c>
      <c r="L325">
        <v>91.5</v>
      </c>
      <c r="M325">
        <v>0.91500000000000004</v>
      </c>
      <c r="N325" t="s">
        <v>28</v>
      </c>
    </row>
    <row r="326" spans="1:14">
      <c r="A326">
        <v>1514</v>
      </c>
      <c r="B326" s="4">
        <v>44754</v>
      </c>
      <c r="C326" s="5">
        <v>0.4548611111111111</v>
      </c>
      <c r="D326" t="s">
        <v>36</v>
      </c>
      <c r="E326" t="s">
        <v>23</v>
      </c>
      <c r="F326">
        <v>18</v>
      </c>
      <c r="G326" t="s">
        <v>30</v>
      </c>
      <c r="H326">
        <v>1</v>
      </c>
      <c r="I326">
        <v>300</v>
      </c>
      <c r="J326">
        <v>75</v>
      </c>
      <c r="K326">
        <v>300</v>
      </c>
      <c r="L326">
        <v>225</v>
      </c>
      <c r="M326">
        <v>0.75</v>
      </c>
      <c r="N326" t="s">
        <v>31</v>
      </c>
    </row>
    <row r="327" spans="1:14">
      <c r="A327">
        <v>947</v>
      </c>
      <c r="B327" s="4">
        <v>44773</v>
      </c>
      <c r="C327" s="5">
        <v>0.29791666666666666</v>
      </c>
      <c r="D327" t="s">
        <v>159</v>
      </c>
      <c r="E327" t="s">
        <v>16</v>
      </c>
      <c r="F327">
        <v>50</v>
      </c>
      <c r="G327" t="s">
        <v>20</v>
      </c>
      <c r="H327">
        <v>1</v>
      </c>
      <c r="I327">
        <v>300</v>
      </c>
      <c r="J327">
        <v>129</v>
      </c>
      <c r="K327">
        <v>300</v>
      </c>
      <c r="L327">
        <v>171</v>
      </c>
      <c r="M327">
        <v>0.56999999999999995</v>
      </c>
      <c r="N327" t="s">
        <v>21</v>
      </c>
    </row>
    <row r="328" spans="1:14">
      <c r="A328">
        <v>1947</v>
      </c>
      <c r="B328" s="4">
        <v>44625</v>
      </c>
      <c r="C328" s="5">
        <v>0.26874999999999999</v>
      </c>
      <c r="D328" t="s">
        <v>136</v>
      </c>
      <c r="E328" t="s">
        <v>16</v>
      </c>
      <c r="F328">
        <v>50</v>
      </c>
      <c r="G328" t="s">
        <v>20</v>
      </c>
      <c r="H328">
        <v>1</v>
      </c>
      <c r="I328">
        <v>300</v>
      </c>
      <c r="J328">
        <v>75</v>
      </c>
      <c r="K328">
        <v>300</v>
      </c>
      <c r="L328">
        <v>225</v>
      </c>
      <c r="M328">
        <v>0.75</v>
      </c>
      <c r="N328" t="s">
        <v>21</v>
      </c>
    </row>
    <row r="329" spans="1:14">
      <c r="A329">
        <v>220</v>
      </c>
      <c r="B329" s="4">
        <v>44688</v>
      </c>
      <c r="C329" s="5">
        <v>0.28055555555555556</v>
      </c>
      <c r="D329" t="s">
        <v>103</v>
      </c>
      <c r="E329" t="s">
        <v>16</v>
      </c>
      <c r="F329">
        <v>64</v>
      </c>
      <c r="G329" t="s">
        <v>20</v>
      </c>
      <c r="H329">
        <v>1</v>
      </c>
      <c r="I329">
        <v>500</v>
      </c>
      <c r="J329">
        <v>140</v>
      </c>
      <c r="K329">
        <v>500</v>
      </c>
      <c r="L329">
        <v>360</v>
      </c>
      <c r="M329">
        <v>0.72</v>
      </c>
      <c r="N329" t="s">
        <v>28</v>
      </c>
    </row>
    <row r="330" spans="1:14">
      <c r="A330">
        <v>339</v>
      </c>
      <c r="B330" s="4">
        <v>44791</v>
      </c>
      <c r="C330" s="5">
        <v>0.43541666666666667</v>
      </c>
      <c r="D330" t="s">
        <v>86</v>
      </c>
      <c r="E330" t="s">
        <v>23</v>
      </c>
      <c r="F330">
        <v>22</v>
      </c>
      <c r="G330" t="s">
        <v>30</v>
      </c>
      <c r="H330">
        <v>2</v>
      </c>
      <c r="I330">
        <v>25</v>
      </c>
      <c r="J330">
        <v>10.25</v>
      </c>
      <c r="K330">
        <v>50</v>
      </c>
      <c r="L330">
        <v>39.75</v>
      </c>
      <c r="M330">
        <v>0.79500000000000004</v>
      </c>
      <c r="N330" t="s">
        <v>31</v>
      </c>
    </row>
    <row r="331" spans="1:14">
      <c r="A331">
        <v>785</v>
      </c>
      <c r="B331" s="4">
        <v>44853</v>
      </c>
      <c r="C331" s="5">
        <v>0.25624999999999998</v>
      </c>
      <c r="D331" t="s">
        <v>68</v>
      </c>
      <c r="E331" t="s">
        <v>23</v>
      </c>
      <c r="F331">
        <v>31</v>
      </c>
      <c r="G331" t="s">
        <v>20</v>
      </c>
      <c r="H331">
        <v>4</v>
      </c>
      <c r="I331">
        <v>50</v>
      </c>
      <c r="J331">
        <v>13</v>
      </c>
      <c r="K331">
        <v>200</v>
      </c>
      <c r="L331">
        <v>187</v>
      </c>
      <c r="M331">
        <v>0.93500000000000005</v>
      </c>
      <c r="N331" t="s">
        <v>39</v>
      </c>
    </row>
    <row r="332" spans="1:14">
      <c r="A332">
        <v>885</v>
      </c>
      <c r="B332" s="4">
        <v>44821</v>
      </c>
      <c r="C332" s="5">
        <v>0.4236111111111111</v>
      </c>
      <c r="D332" t="s">
        <v>126</v>
      </c>
      <c r="E332" t="s">
        <v>23</v>
      </c>
      <c r="F332">
        <v>52</v>
      </c>
      <c r="G332" t="s">
        <v>17</v>
      </c>
      <c r="H332">
        <v>4</v>
      </c>
      <c r="I332">
        <v>30</v>
      </c>
      <c r="J332">
        <v>14.4</v>
      </c>
      <c r="K332">
        <v>120</v>
      </c>
      <c r="L332">
        <v>105.6</v>
      </c>
      <c r="M332">
        <v>0.88</v>
      </c>
      <c r="N332" t="s">
        <v>21</v>
      </c>
    </row>
    <row r="333" spans="1:14">
      <c r="A333">
        <v>888</v>
      </c>
      <c r="B333" s="4">
        <v>44896</v>
      </c>
      <c r="C333" s="5">
        <v>0.25208333333333333</v>
      </c>
      <c r="D333" t="s">
        <v>138</v>
      </c>
      <c r="E333" t="s">
        <v>23</v>
      </c>
      <c r="F333">
        <v>52</v>
      </c>
      <c r="G333" t="s">
        <v>30</v>
      </c>
      <c r="H333">
        <v>4</v>
      </c>
      <c r="I333">
        <v>25</v>
      </c>
      <c r="J333">
        <v>12.75</v>
      </c>
      <c r="K333">
        <v>100</v>
      </c>
      <c r="L333">
        <v>87.25</v>
      </c>
      <c r="M333">
        <v>0.87250000000000005</v>
      </c>
      <c r="N333" t="s">
        <v>21</v>
      </c>
    </row>
    <row r="334" spans="1:14">
      <c r="A334">
        <v>1220</v>
      </c>
      <c r="B334" s="4">
        <v>44741</v>
      </c>
      <c r="C334" s="5">
        <v>0.46944444444444444</v>
      </c>
      <c r="D334" t="s">
        <v>84</v>
      </c>
      <c r="E334" t="s">
        <v>16</v>
      </c>
      <c r="F334">
        <v>64</v>
      </c>
      <c r="G334" t="s">
        <v>20</v>
      </c>
      <c r="H334">
        <v>1</v>
      </c>
      <c r="I334">
        <v>500</v>
      </c>
      <c r="J334">
        <v>240</v>
      </c>
      <c r="K334">
        <v>500</v>
      </c>
      <c r="L334">
        <v>260</v>
      </c>
      <c r="M334">
        <v>0.52</v>
      </c>
      <c r="N334" t="s">
        <v>28</v>
      </c>
    </row>
    <row r="335" spans="1:14">
      <c r="A335">
        <v>1339</v>
      </c>
      <c r="B335" s="4">
        <v>44875</v>
      </c>
      <c r="C335" s="5">
        <v>0.44027777777777777</v>
      </c>
      <c r="D335" t="s">
        <v>94</v>
      </c>
      <c r="E335" t="s">
        <v>23</v>
      </c>
      <c r="F335">
        <v>22</v>
      </c>
      <c r="G335" t="s">
        <v>30</v>
      </c>
      <c r="H335">
        <v>2</v>
      </c>
      <c r="I335">
        <v>25</v>
      </c>
      <c r="J335">
        <v>7.5</v>
      </c>
      <c r="K335">
        <v>50</v>
      </c>
      <c r="L335">
        <v>42.5</v>
      </c>
      <c r="M335">
        <v>0.85</v>
      </c>
      <c r="N335" t="s">
        <v>31</v>
      </c>
    </row>
    <row r="336" spans="1:14">
      <c r="A336">
        <v>1785</v>
      </c>
      <c r="B336" s="4">
        <v>44612</v>
      </c>
      <c r="C336" s="5">
        <v>0.47013888888888888</v>
      </c>
      <c r="D336" t="s">
        <v>27</v>
      </c>
      <c r="E336" t="s">
        <v>23</v>
      </c>
      <c r="F336">
        <v>31</v>
      </c>
      <c r="G336" t="s">
        <v>20</v>
      </c>
      <c r="H336">
        <v>4</v>
      </c>
      <c r="I336">
        <v>50</v>
      </c>
      <c r="J336">
        <v>17</v>
      </c>
      <c r="K336">
        <v>200</v>
      </c>
      <c r="L336">
        <v>183</v>
      </c>
      <c r="M336">
        <v>0.91500000000000004</v>
      </c>
      <c r="N336" t="s">
        <v>39</v>
      </c>
    </row>
    <row r="337" spans="1:14">
      <c r="A337">
        <v>1885</v>
      </c>
      <c r="B337" s="4">
        <v>44874</v>
      </c>
      <c r="C337" s="5">
        <v>0.31388888888888888</v>
      </c>
      <c r="D337" t="s">
        <v>147</v>
      </c>
      <c r="E337" t="s">
        <v>23</v>
      </c>
      <c r="F337">
        <v>52</v>
      </c>
      <c r="G337" t="s">
        <v>17</v>
      </c>
      <c r="H337">
        <v>4</v>
      </c>
      <c r="I337">
        <v>30</v>
      </c>
      <c r="J337">
        <v>10.8</v>
      </c>
      <c r="K337">
        <v>120</v>
      </c>
      <c r="L337">
        <v>109.2</v>
      </c>
      <c r="M337">
        <v>0.91</v>
      </c>
      <c r="N337" t="s">
        <v>21</v>
      </c>
    </row>
    <row r="338" spans="1:14">
      <c r="A338">
        <v>1888</v>
      </c>
      <c r="B338" s="4">
        <v>44726</v>
      </c>
      <c r="C338" s="5">
        <v>0.34027777777777779</v>
      </c>
      <c r="D338" t="s">
        <v>26</v>
      </c>
      <c r="E338" t="s">
        <v>23</v>
      </c>
      <c r="F338">
        <v>52</v>
      </c>
      <c r="G338" t="s">
        <v>30</v>
      </c>
      <c r="H338">
        <v>4</v>
      </c>
      <c r="I338">
        <v>25</v>
      </c>
      <c r="J338">
        <v>12.5</v>
      </c>
      <c r="K338">
        <v>100</v>
      </c>
      <c r="L338">
        <v>87.5</v>
      </c>
      <c r="M338">
        <v>0.875</v>
      </c>
      <c r="N338" t="s">
        <v>21</v>
      </c>
    </row>
    <row r="339" spans="1:14">
      <c r="A339">
        <v>621</v>
      </c>
      <c r="B339" s="4">
        <v>44664</v>
      </c>
      <c r="C339" s="5">
        <v>0.41319444444444442</v>
      </c>
      <c r="D339" t="s">
        <v>103</v>
      </c>
      <c r="E339" t="s">
        <v>23</v>
      </c>
      <c r="F339">
        <v>40</v>
      </c>
      <c r="G339" t="s">
        <v>20</v>
      </c>
      <c r="H339">
        <v>2</v>
      </c>
      <c r="I339">
        <v>500</v>
      </c>
      <c r="J339">
        <v>275</v>
      </c>
      <c r="K339">
        <v>1000</v>
      </c>
      <c r="L339">
        <v>725</v>
      </c>
      <c r="M339">
        <v>0.72499999999999998</v>
      </c>
      <c r="N339" t="s">
        <v>18</v>
      </c>
    </row>
    <row r="340" spans="1:14">
      <c r="A340">
        <v>1621</v>
      </c>
      <c r="B340" s="4">
        <v>44826</v>
      </c>
      <c r="C340" s="5">
        <v>0.45069444444444445</v>
      </c>
      <c r="D340" t="s">
        <v>124</v>
      </c>
      <c r="E340" t="s">
        <v>23</v>
      </c>
      <c r="F340">
        <v>40</v>
      </c>
      <c r="G340" t="s">
        <v>20</v>
      </c>
      <c r="H340">
        <v>2</v>
      </c>
      <c r="I340">
        <v>500</v>
      </c>
      <c r="J340">
        <v>160</v>
      </c>
      <c r="K340">
        <v>1000</v>
      </c>
      <c r="L340">
        <v>840</v>
      </c>
      <c r="M340">
        <v>0.84</v>
      </c>
      <c r="N340" t="s">
        <v>18</v>
      </c>
    </row>
    <row r="341" spans="1:14">
      <c r="A341">
        <v>52</v>
      </c>
      <c r="B341" s="4">
        <v>44823</v>
      </c>
      <c r="C341" s="5">
        <v>0.40416666666666667</v>
      </c>
      <c r="D341" t="s">
        <v>83</v>
      </c>
      <c r="E341" t="s">
        <v>23</v>
      </c>
      <c r="F341">
        <v>36</v>
      </c>
      <c r="G341" t="s">
        <v>20</v>
      </c>
      <c r="H341">
        <v>1</v>
      </c>
      <c r="I341">
        <v>300</v>
      </c>
      <c r="J341">
        <v>111</v>
      </c>
      <c r="K341">
        <v>300</v>
      </c>
      <c r="L341">
        <v>189</v>
      </c>
      <c r="M341">
        <v>0.63</v>
      </c>
      <c r="N341" t="s">
        <v>18</v>
      </c>
    </row>
    <row r="342" spans="1:14">
      <c r="A342">
        <v>536</v>
      </c>
      <c r="B342" s="4">
        <v>44793</v>
      </c>
      <c r="C342" s="5">
        <v>0.2673611111111111</v>
      </c>
      <c r="D342" t="s">
        <v>48</v>
      </c>
      <c r="E342" t="s">
        <v>23</v>
      </c>
      <c r="F342">
        <v>55</v>
      </c>
      <c r="G342" t="s">
        <v>20</v>
      </c>
      <c r="H342">
        <v>4</v>
      </c>
      <c r="I342">
        <v>30</v>
      </c>
      <c r="J342">
        <v>8.6999999999999993</v>
      </c>
      <c r="K342">
        <v>120</v>
      </c>
      <c r="L342">
        <v>111.3</v>
      </c>
      <c r="M342">
        <v>0.92749999999999999</v>
      </c>
      <c r="N342" t="s">
        <v>21</v>
      </c>
    </row>
    <row r="343" spans="1:14">
      <c r="A343">
        <v>1052</v>
      </c>
      <c r="B343" s="4">
        <v>44604</v>
      </c>
      <c r="C343" s="5">
        <v>0.25833333333333336</v>
      </c>
      <c r="D343" t="s">
        <v>56</v>
      </c>
      <c r="E343" t="s">
        <v>23</v>
      </c>
      <c r="F343">
        <v>36</v>
      </c>
      <c r="G343" t="s">
        <v>20</v>
      </c>
      <c r="H343">
        <v>1</v>
      </c>
      <c r="I343">
        <v>300</v>
      </c>
      <c r="J343">
        <v>120</v>
      </c>
      <c r="K343">
        <v>300</v>
      </c>
      <c r="L343">
        <v>180</v>
      </c>
      <c r="M343">
        <v>0.6</v>
      </c>
      <c r="N343" t="s">
        <v>18</v>
      </c>
    </row>
    <row r="344" spans="1:14">
      <c r="A344">
        <v>1536</v>
      </c>
      <c r="B344" s="4">
        <v>44692</v>
      </c>
      <c r="C344" s="5">
        <v>0.30763888888888891</v>
      </c>
      <c r="D344" t="s">
        <v>160</v>
      </c>
      <c r="E344" t="s">
        <v>23</v>
      </c>
      <c r="F344">
        <v>55</v>
      </c>
      <c r="G344" t="s">
        <v>20</v>
      </c>
      <c r="H344">
        <v>4</v>
      </c>
      <c r="I344">
        <v>30</v>
      </c>
      <c r="J344">
        <v>13.5</v>
      </c>
      <c r="K344">
        <v>120</v>
      </c>
      <c r="L344">
        <v>106.5</v>
      </c>
      <c r="M344">
        <v>0.88749999999999996</v>
      </c>
      <c r="N344" t="s">
        <v>21</v>
      </c>
    </row>
    <row r="345" spans="1:14">
      <c r="A345">
        <v>197</v>
      </c>
      <c r="B345" s="4">
        <v>44654</v>
      </c>
      <c r="C345" s="5">
        <v>0.49791666666666667</v>
      </c>
      <c r="D345" t="s">
        <v>160</v>
      </c>
      <c r="E345" t="s">
        <v>23</v>
      </c>
      <c r="F345">
        <v>42</v>
      </c>
      <c r="G345" t="s">
        <v>17</v>
      </c>
      <c r="H345">
        <v>4</v>
      </c>
      <c r="I345">
        <v>50</v>
      </c>
      <c r="J345">
        <v>25.5</v>
      </c>
      <c r="K345">
        <v>200</v>
      </c>
      <c r="L345">
        <v>174.5</v>
      </c>
      <c r="M345">
        <v>0.87250000000000005</v>
      </c>
      <c r="N345" t="s">
        <v>18</v>
      </c>
    </row>
    <row r="346" spans="1:14">
      <c r="A346">
        <v>750</v>
      </c>
      <c r="B346" s="4">
        <v>44878</v>
      </c>
      <c r="C346" s="5">
        <v>0.31458333333333333</v>
      </c>
      <c r="D346" t="s">
        <v>95</v>
      </c>
      <c r="E346" t="s">
        <v>23</v>
      </c>
      <c r="F346">
        <v>35</v>
      </c>
      <c r="G346" t="s">
        <v>17</v>
      </c>
      <c r="H346">
        <v>3</v>
      </c>
      <c r="I346">
        <v>25</v>
      </c>
      <c r="J346">
        <v>8.75</v>
      </c>
      <c r="K346">
        <v>75</v>
      </c>
      <c r="L346">
        <v>66.25</v>
      </c>
      <c r="M346">
        <v>0.8833333333333333</v>
      </c>
      <c r="N346" t="s">
        <v>39</v>
      </c>
    </row>
    <row r="347" spans="1:14">
      <c r="A347">
        <v>910</v>
      </c>
      <c r="B347" s="4">
        <v>44794</v>
      </c>
      <c r="C347" s="5">
        <v>0.27013888888888887</v>
      </c>
      <c r="D347" t="s">
        <v>103</v>
      </c>
      <c r="E347" t="s">
        <v>23</v>
      </c>
      <c r="F347">
        <v>20</v>
      </c>
      <c r="G347" t="s">
        <v>20</v>
      </c>
      <c r="H347">
        <v>3</v>
      </c>
      <c r="I347">
        <v>50</v>
      </c>
      <c r="J347">
        <v>22.5</v>
      </c>
      <c r="K347">
        <v>150</v>
      </c>
      <c r="L347">
        <v>127.5</v>
      </c>
      <c r="M347">
        <v>0.85</v>
      </c>
      <c r="N347" t="s">
        <v>31</v>
      </c>
    </row>
    <row r="348" spans="1:14">
      <c r="A348">
        <v>917</v>
      </c>
      <c r="B348" s="4">
        <v>44607</v>
      </c>
      <c r="C348" s="5">
        <v>0.49305555555555558</v>
      </c>
      <c r="D348" t="s">
        <v>34</v>
      </c>
      <c r="E348" t="s">
        <v>23</v>
      </c>
      <c r="F348">
        <v>57</v>
      </c>
      <c r="G348" t="s">
        <v>30</v>
      </c>
      <c r="H348">
        <v>4</v>
      </c>
      <c r="I348">
        <v>50</v>
      </c>
      <c r="J348">
        <v>16.5</v>
      </c>
      <c r="K348">
        <v>200</v>
      </c>
      <c r="L348">
        <v>183.5</v>
      </c>
      <c r="M348">
        <v>0.91749999999999998</v>
      </c>
      <c r="N348" t="s">
        <v>28</v>
      </c>
    </row>
    <row r="349" spans="1:14">
      <c r="A349">
        <v>1197</v>
      </c>
      <c r="B349" s="4">
        <v>44786</v>
      </c>
      <c r="C349" s="5">
        <v>0.42152777777777778</v>
      </c>
      <c r="D349" t="s">
        <v>55</v>
      </c>
      <c r="E349" t="s">
        <v>23</v>
      </c>
      <c r="F349">
        <v>42</v>
      </c>
      <c r="G349" t="s">
        <v>17</v>
      </c>
      <c r="H349">
        <v>4</v>
      </c>
      <c r="I349">
        <v>50</v>
      </c>
      <c r="J349">
        <v>19</v>
      </c>
      <c r="K349">
        <v>200</v>
      </c>
      <c r="L349">
        <v>181</v>
      </c>
      <c r="M349">
        <v>0.90500000000000003</v>
      </c>
      <c r="N349" t="s">
        <v>18</v>
      </c>
    </row>
    <row r="350" spans="1:14">
      <c r="A350">
        <v>1750</v>
      </c>
      <c r="B350" s="4">
        <v>44581</v>
      </c>
      <c r="C350" s="5">
        <v>0.4236111111111111</v>
      </c>
      <c r="D350" t="s">
        <v>103</v>
      </c>
      <c r="E350" t="s">
        <v>23</v>
      </c>
      <c r="F350">
        <v>35</v>
      </c>
      <c r="G350" t="s">
        <v>17</v>
      </c>
      <c r="H350">
        <v>3</v>
      </c>
      <c r="I350">
        <v>25</v>
      </c>
      <c r="J350">
        <v>7.25</v>
      </c>
      <c r="K350">
        <v>75</v>
      </c>
      <c r="L350">
        <v>67.75</v>
      </c>
      <c r="M350">
        <v>0.90333333333333332</v>
      </c>
      <c r="N350" t="s">
        <v>39</v>
      </c>
    </row>
    <row r="351" spans="1:14">
      <c r="A351">
        <v>1910</v>
      </c>
      <c r="B351" s="4">
        <v>44843</v>
      </c>
      <c r="C351" s="5">
        <v>0.26527777777777778</v>
      </c>
      <c r="D351" t="s">
        <v>154</v>
      </c>
      <c r="E351" t="s">
        <v>23</v>
      </c>
      <c r="F351">
        <v>20</v>
      </c>
      <c r="G351" t="s">
        <v>20</v>
      </c>
      <c r="H351">
        <v>3</v>
      </c>
      <c r="I351">
        <v>50</v>
      </c>
      <c r="J351">
        <v>18</v>
      </c>
      <c r="K351">
        <v>150</v>
      </c>
      <c r="L351">
        <v>132</v>
      </c>
      <c r="M351">
        <v>0.88</v>
      </c>
      <c r="N351" t="s">
        <v>31</v>
      </c>
    </row>
    <row r="352" spans="1:14">
      <c r="A352">
        <v>1917</v>
      </c>
      <c r="B352" s="4">
        <v>44683</v>
      </c>
      <c r="C352" s="5">
        <v>0.3034722222222222</v>
      </c>
      <c r="D352" t="s">
        <v>19</v>
      </c>
      <c r="E352" t="s">
        <v>23</v>
      </c>
      <c r="F352">
        <v>57</v>
      </c>
      <c r="G352" t="s">
        <v>30</v>
      </c>
      <c r="H352">
        <v>4</v>
      </c>
      <c r="I352">
        <v>50</v>
      </c>
      <c r="J352">
        <v>24</v>
      </c>
      <c r="K352">
        <v>200</v>
      </c>
      <c r="L352">
        <v>176</v>
      </c>
      <c r="M352">
        <v>0.88</v>
      </c>
      <c r="N352" t="s">
        <v>28</v>
      </c>
    </row>
    <row r="353" spans="1:14">
      <c r="A353">
        <v>198</v>
      </c>
      <c r="B353" s="4">
        <v>44702</v>
      </c>
      <c r="C353" s="5">
        <v>0.48749999999999999</v>
      </c>
      <c r="D353" t="s">
        <v>152</v>
      </c>
      <c r="E353" t="s">
        <v>23</v>
      </c>
      <c r="F353">
        <v>54</v>
      </c>
      <c r="G353" t="s">
        <v>20</v>
      </c>
      <c r="H353">
        <v>3</v>
      </c>
      <c r="I353">
        <v>300</v>
      </c>
      <c r="J353">
        <v>114</v>
      </c>
      <c r="K353">
        <v>900</v>
      </c>
      <c r="L353">
        <v>786</v>
      </c>
      <c r="M353">
        <v>0.87333333333333329</v>
      </c>
      <c r="N353" t="s">
        <v>21</v>
      </c>
    </row>
    <row r="354" spans="1:14">
      <c r="A354">
        <v>444</v>
      </c>
      <c r="B354" s="4">
        <v>44840</v>
      </c>
      <c r="C354" s="5">
        <v>0.29583333333333334</v>
      </c>
      <c r="D354" t="s">
        <v>97</v>
      </c>
      <c r="E354" t="s">
        <v>23</v>
      </c>
      <c r="F354">
        <v>61</v>
      </c>
      <c r="G354" t="s">
        <v>17</v>
      </c>
      <c r="H354">
        <v>3</v>
      </c>
      <c r="I354">
        <v>30</v>
      </c>
      <c r="J354">
        <v>15.9</v>
      </c>
      <c r="K354">
        <v>90</v>
      </c>
      <c r="L354">
        <v>74.099999999999994</v>
      </c>
      <c r="M354">
        <v>0.82333333333333325</v>
      </c>
      <c r="N354" t="s">
        <v>28</v>
      </c>
    </row>
    <row r="355" spans="1:14">
      <c r="A355">
        <v>547</v>
      </c>
      <c r="B355" s="4">
        <v>44879</v>
      </c>
      <c r="C355" s="5">
        <v>0.31666666666666665</v>
      </c>
      <c r="D355" t="s">
        <v>81</v>
      </c>
      <c r="E355" t="s">
        <v>16</v>
      </c>
      <c r="F355">
        <v>63</v>
      </c>
      <c r="G355" t="s">
        <v>17</v>
      </c>
      <c r="H355">
        <v>4</v>
      </c>
      <c r="I355">
        <v>500</v>
      </c>
      <c r="J355">
        <v>250</v>
      </c>
      <c r="K355">
        <v>2000</v>
      </c>
      <c r="L355">
        <v>1750</v>
      </c>
      <c r="M355">
        <v>0.875</v>
      </c>
      <c r="N355" t="s">
        <v>28</v>
      </c>
    </row>
    <row r="356" spans="1:14">
      <c r="A356">
        <v>705</v>
      </c>
      <c r="B356" s="4">
        <v>44834</v>
      </c>
      <c r="C356" s="5">
        <v>0.31111111111111112</v>
      </c>
      <c r="D356" t="s">
        <v>96</v>
      </c>
      <c r="E356" t="s">
        <v>16</v>
      </c>
      <c r="F356">
        <v>60</v>
      </c>
      <c r="G356" t="s">
        <v>30</v>
      </c>
      <c r="H356">
        <v>2</v>
      </c>
      <c r="I356">
        <v>25</v>
      </c>
      <c r="J356">
        <v>6.25</v>
      </c>
      <c r="K356">
        <v>50</v>
      </c>
      <c r="L356">
        <v>43.75</v>
      </c>
      <c r="M356">
        <v>0.875</v>
      </c>
      <c r="N356" t="s">
        <v>28</v>
      </c>
    </row>
    <row r="357" spans="1:14">
      <c r="A357">
        <v>1198</v>
      </c>
      <c r="B357" s="4">
        <v>44780</v>
      </c>
      <c r="C357" s="5">
        <v>0.4465277777777778</v>
      </c>
      <c r="D357" t="s">
        <v>59</v>
      </c>
      <c r="E357" t="s">
        <v>23</v>
      </c>
      <c r="F357">
        <v>54</v>
      </c>
      <c r="G357" t="s">
        <v>20</v>
      </c>
      <c r="H357">
        <v>3</v>
      </c>
      <c r="I357">
        <v>300</v>
      </c>
      <c r="J357">
        <v>159</v>
      </c>
      <c r="K357">
        <v>900</v>
      </c>
      <c r="L357">
        <v>741</v>
      </c>
      <c r="M357">
        <v>0.82333333333333336</v>
      </c>
      <c r="N357" t="s">
        <v>21</v>
      </c>
    </row>
    <row r="358" spans="1:14">
      <c r="A358">
        <v>1444</v>
      </c>
      <c r="B358" s="4">
        <v>44680</v>
      </c>
      <c r="C358" s="5">
        <v>0.26250000000000001</v>
      </c>
      <c r="D358" t="s">
        <v>71</v>
      </c>
      <c r="E358" t="s">
        <v>23</v>
      </c>
      <c r="F358">
        <v>61</v>
      </c>
      <c r="G358" t="s">
        <v>17</v>
      </c>
      <c r="H358">
        <v>3</v>
      </c>
      <c r="I358">
        <v>30</v>
      </c>
      <c r="J358">
        <v>14.1</v>
      </c>
      <c r="K358">
        <v>90</v>
      </c>
      <c r="L358">
        <v>75.900000000000006</v>
      </c>
      <c r="M358">
        <v>0.84333333333333338</v>
      </c>
      <c r="N358" t="s">
        <v>28</v>
      </c>
    </row>
    <row r="359" spans="1:14">
      <c r="A359">
        <v>1547</v>
      </c>
      <c r="B359" s="4">
        <v>44784</v>
      </c>
      <c r="C359" s="5">
        <v>0.27708333333333335</v>
      </c>
      <c r="D359" t="s">
        <v>139</v>
      </c>
      <c r="E359" t="s">
        <v>16</v>
      </c>
      <c r="F359">
        <v>63</v>
      </c>
      <c r="G359" t="s">
        <v>17</v>
      </c>
      <c r="H359">
        <v>4</v>
      </c>
      <c r="I359">
        <v>500</v>
      </c>
      <c r="J359">
        <v>235</v>
      </c>
      <c r="K359">
        <v>2000</v>
      </c>
      <c r="L359">
        <v>1765</v>
      </c>
      <c r="M359">
        <v>0.88249999999999995</v>
      </c>
      <c r="N359" t="s">
        <v>28</v>
      </c>
    </row>
    <row r="360" spans="1:14">
      <c r="A360">
        <v>1705</v>
      </c>
      <c r="B360" s="4">
        <v>44787</v>
      </c>
      <c r="C360" s="5">
        <v>0.35555555555555557</v>
      </c>
      <c r="D360" t="s">
        <v>56</v>
      </c>
      <c r="E360" t="s">
        <v>16</v>
      </c>
      <c r="F360">
        <v>60</v>
      </c>
      <c r="G360" t="s">
        <v>30</v>
      </c>
      <c r="H360">
        <v>2</v>
      </c>
      <c r="I360">
        <v>25</v>
      </c>
      <c r="J360">
        <v>8.75</v>
      </c>
      <c r="K360">
        <v>50</v>
      </c>
      <c r="L360">
        <v>41.25</v>
      </c>
      <c r="M360">
        <v>0.82499999999999996</v>
      </c>
      <c r="N360" t="s">
        <v>28</v>
      </c>
    </row>
    <row r="361" spans="1:14">
      <c r="A361">
        <v>423</v>
      </c>
      <c r="B361" s="4">
        <v>44760</v>
      </c>
      <c r="C361" s="5">
        <v>0.25416666666666665</v>
      </c>
      <c r="D361" t="s">
        <v>77</v>
      </c>
      <c r="E361" t="s">
        <v>23</v>
      </c>
      <c r="F361">
        <v>27</v>
      </c>
      <c r="G361" t="s">
        <v>17</v>
      </c>
      <c r="H361">
        <v>1</v>
      </c>
      <c r="I361">
        <v>25</v>
      </c>
      <c r="J361">
        <v>11.75</v>
      </c>
      <c r="K361">
        <v>25</v>
      </c>
      <c r="L361">
        <v>13.25</v>
      </c>
      <c r="M361">
        <v>0.53</v>
      </c>
      <c r="N361" t="s">
        <v>39</v>
      </c>
    </row>
    <row r="362" spans="1:14">
      <c r="A362">
        <v>1423</v>
      </c>
      <c r="B362" s="4">
        <v>44727</v>
      </c>
      <c r="C362" s="5">
        <v>0.33055555555555555</v>
      </c>
      <c r="D362" t="s">
        <v>161</v>
      </c>
      <c r="E362" t="s">
        <v>23</v>
      </c>
      <c r="F362">
        <v>27</v>
      </c>
      <c r="G362" t="s">
        <v>17</v>
      </c>
      <c r="H362">
        <v>1</v>
      </c>
      <c r="I362">
        <v>25</v>
      </c>
      <c r="J362">
        <v>11</v>
      </c>
      <c r="K362">
        <v>25</v>
      </c>
      <c r="L362">
        <v>14</v>
      </c>
      <c r="M362">
        <v>0.56000000000000005</v>
      </c>
      <c r="N362" t="s">
        <v>39</v>
      </c>
    </row>
    <row r="363" spans="1:14">
      <c r="A363">
        <v>248</v>
      </c>
      <c r="B363" s="4">
        <v>44744</v>
      </c>
      <c r="C363" s="5">
        <v>0.29930555555555555</v>
      </c>
      <c r="D363" t="s">
        <v>22</v>
      </c>
      <c r="E363" t="s">
        <v>16</v>
      </c>
      <c r="F363">
        <v>26</v>
      </c>
      <c r="G363" t="s">
        <v>17</v>
      </c>
      <c r="H363">
        <v>3</v>
      </c>
      <c r="I363">
        <v>300</v>
      </c>
      <c r="J363">
        <v>126</v>
      </c>
      <c r="K363">
        <v>900</v>
      </c>
      <c r="L363">
        <v>774</v>
      </c>
      <c r="M363">
        <v>0.86</v>
      </c>
      <c r="N363" t="s">
        <v>39</v>
      </c>
    </row>
    <row r="364" spans="1:14">
      <c r="A364">
        <v>360</v>
      </c>
      <c r="B364" s="4">
        <v>44813</v>
      </c>
      <c r="C364" s="5">
        <v>0.37777777777777777</v>
      </c>
      <c r="D364" t="s">
        <v>112</v>
      </c>
      <c r="E364" t="s">
        <v>16</v>
      </c>
      <c r="F364">
        <v>42</v>
      </c>
      <c r="G364" t="s">
        <v>17</v>
      </c>
      <c r="H364">
        <v>4</v>
      </c>
      <c r="I364">
        <v>25</v>
      </c>
      <c r="J364">
        <v>10.5</v>
      </c>
      <c r="K364">
        <v>100</v>
      </c>
      <c r="L364">
        <v>89.5</v>
      </c>
      <c r="M364">
        <v>0.89500000000000002</v>
      </c>
      <c r="N364" t="s">
        <v>18</v>
      </c>
    </row>
    <row r="365" spans="1:14">
      <c r="A365">
        <v>377</v>
      </c>
      <c r="B365" s="4">
        <v>44817</v>
      </c>
      <c r="C365" s="5">
        <v>0.35416666666666669</v>
      </c>
      <c r="D365" t="s">
        <v>154</v>
      </c>
      <c r="E365" t="s">
        <v>23</v>
      </c>
      <c r="F365">
        <v>46</v>
      </c>
      <c r="G365" t="s">
        <v>17</v>
      </c>
      <c r="H365">
        <v>4</v>
      </c>
      <c r="I365">
        <v>50</v>
      </c>
      <c r="J365">
        <v>18</v>
      </c>
      <c r="K365">
        <v>200</v>
      </c>
      <c r="L365">
        <v>182</v>
      </c>
      <c r="M365">
        <v>0.91</v>
      </c>
      <c r="N365" t="s">
        <v>21</v>
      </c>
    </row>
    <row r="366" spans="1:14">
      <c r="A366">
        <v>1248</v>
      </c>
      <c r="B366" s="4">
        <v>44812</v>
      </c>
      <c r="C366" s="5">
        <v>0.34722222222222221</v>
      </c>
      <c r="D366" t="s">
        <v>47</v>
      </c>
      <c r="E366" t="s">
        <v>16</v>
      </c>
      <c r="F366">
        <v>26</v>
      </c>
      <c r="G366" t="s">
        <v>17</v>
      </c>
      <c r="H366">
        <v>3</v>
      </c>
      <c r="I366">
        <v>300</v>
      </c>
      <c r="J366">
        <v>111</v>
      </c>
      <c r="K366">
        <v>900</v>
      </c>
      <c r="L366">
        <v>789</v>
      </c>
      <c r="M366">
        <v>0.87666666666666671</v>
      </c>
      <c r="N366" t="s">
        <v>39</v>
      </c>
    </row>
    <row r="367" spans="1:14">
      <c r="A367">
        <v>1360</v>
      </c>
      <c r="B367" s="4">
        <v>44730</v>
      </c>
      <c r="C367" s="5">
        <v>0.39652777777777776</v>
      </c>
      <c r="D367" t="s">
        <v>134</v>
      </c>
      <c r="E367" t="s">
        <v>16</v>
      </c>
      <c r="F367">
        <v>42</v>
      </c>
      <c r="G367" t="s">
        <v>17</v>
      </c>
      <c r="H367">
        <v>4</v>
      </c>
      <c r="I367">
        <v>25</v>
      </c>
      <c r="J367">
        <v>6.25</v>
      </c>
      <c r="K367">
        <v>100</v>
      </c>
      <c r="L367">
        <v>93.75</v>
      </c>
      <c r="M367">
        <v>0.9375</v>
      </c>
      <c r="N367" t="s">
        <v>18</v>
      </c>
    </row>
    <row r="368" spans="1:14">
      <c r="A368">
        <v>1377</v>
      </c>
      <c r="B368" s="4">
        <v>44641</v>
      </c>
      <c r="C368" s="5">
        <v>0.32777777777777778</v>
      </c>
      <c r="D368" t="s">
        <v>67</v>
      </c>
      <c r="E368" t="s">
        <v>23</v>
      </c>
      <c r="F368">
        <v>46</v>
      </c>
      <c r="G368" t="s">
        <v>17</v>
      </c>
      <c r="H368">
        <v>4</v>
      </c>
      <c r="I368">
        <v>50</v>
      </c>
      <c r="J368">
        <v>14</v>
      </c>
      <c r="K368">
        <v>200</v>
      </c>
      <c r="L368">
        <v>186</v>
      </c>
      <c r="M368">
        <v>0.93</v>
      </c>
      <c r="N368" t="s">
        <v>21</v>
      </c>
    </row>
    <row r="369" spans="1:14">
      <c r="A369">
        <v>397</v>
      </c>
      <c r="B369" s="4">
        <v>45225</v>
      </c>
      <c r="C369" s="5">
        <v>0.33750000000000002</v>
      </c>
      <c r="D369" t="s">
        <v>36</v>
      </c>
      <c r="E369" t="s">
        <v>23</v>
      </c>
      <c r="F369">
        <v>30</v>
      </c>
      <c r="G369" t="s">
        <v>20</v>
      </c>
      <c r="H369">
        <v>1</v>
      </c>
      <c r="I369">
        <v>25</v>
      </c>
      <c r="J369">
        <v>10.5</v>
      </c>
      <c r="K369">
        <v>25</v>
      </c>
      <c r="L369">
        <v>14.5</v>
      </c>
      <c r="M369">
        <v>0.57999999999999996</v>
      </c>
      <c r="N369" t="s">
        <v>39</v>
      </c>
    </row>
    <row r="370" spans="1:14">
      <c r="A370">
        <v>623</v>
      </c>
      <c r="B370" s="4">
        <v>45245</v>
      </c>
      <c r="C370" s="5">
        <v>0.41666666666666669</v>
      </c>
      <c r="D370" t="s">
        <v>75</v>
      </c>
      <c r="E370" t="s">
        <v>16</v>
      </c>
      <c r="F370">
        <v>34</v>
      </c>
      <c r="G370" t="s">
        <v>17</v>
      </c>
      <c r="H370">
        <v>3</v>
      </c>
      <c r="I370">
        <v>50</v>
      </c>
      <c r="J370">
        <v>26</v>
      </c>
      <c r="K370">
        <v>150</v>
      </c>
      <c r="L370">
        <v>124</v>
      </c>
      <c r="M370">
        <v>0.82666666666666666</v>
      </c>
      <c r="N370" t="s">
        <v>39</v>
      </c>
    </row>
    <row r="371" spans="1:14">
      <c r="A371">
        <v>1397</v>
      </c>
      <c r="B371" s="4">
        <v>44927</v>
      </c>
      <c r="C371" s="5">
        <v>0.46180555555555558</v>
      </c>
      <c r="D371" t="s">
        <v>33</v>
      </c>
      <c r="E371" t="s">
        <v>23</v>
      </c>
      <c r="F371">
        <v>30</v>
      </c>
      <c r="G371" t="s">
        <v>20</v>
      </c>
      <c r="H371">
        <v>1</v>
      </c>
      <c r="I371">
        <v>25</v>
      </c>
      <c r="J371">
        <v>11.75</v>
      </c>
      <c r="K371">
        <v>25</v>
      </c>
      <c r="L371">
        <v>13.25</v>
      </c>
      <c r="M371">
        <v>0.53</v>
      </c>
      <c r="N371" t="s">
        <v>39</v>
      </c>
    </row>
    <row r="372" spans="1:14">
      <c r="A372">
        <v>1623</v>
      </c>
      <c r="B372" s="4">
        <v>44990</v>
      </c>
      <c r="C372" s="5">
        <v>0.25972222222222224</v>
      </c>
      <c r="D372" t="s">
        <v>130</v>
      </c>
      <c r="E372" t="s">
        <v>16</v>
      </c>
      <c r="F372">
        <v>34</v>
      </c>
      <c r="G372" t="s">
        <v>17</v>
      </c>
      <c r="H372">
        <v>3</v>
      </c>
      <c r="I372">
        <v>50</v>
      </c>
      <c r="J372">
        <v>22</v>
      </c>
      <c r="K372">
        <v>150</v>
      </c>
      <c r="L372">
        <v>128</v>
      </c>
      <c r="M372">
        <v>0.85333333333333339</v>
      </c>
      <c r="N372" t="s">
        <v>39</v>
      </c>
    </row>
    <row r="373" spans="1:14">
      <c r="A373">
        <v>717</v>
      </c>
      <c r="B373" s="4">
        <v>45260</v>
      </c>
      <c r="C373" s="5">
        <v>0.34375</v>
      </c>
      <c r="D373" t="s">
        <v>85</v>
      </c>
      <c r="E373" t="s">
        <v>16</v>
      </c>
      <c r="F373">
        <v>57</v>
      </c>
      <c r="G373" t="s">
        <v>17</v>
      </c>
      <c r="H373">
        <v>1</v>
      </c>
      <c r="I373">
        <v>500</v>
      </c>
      <c r="J373">
        <v>190</v>
      </c>
      <c r="K373">
        <v>500</v>
      </c>
      <c r="L373">
        <v>310</v>
      </c>
      <c r="M373">
        <v>0.62</v>
      </c>
      <c r="N373" t="s">
        <v>28</v>
      </c>
    </row>
    <row r="374" spans="1:14">
      <c r="A374">
        <v>1717</v>
      </c>
      <c r="B374" s="4">
        <v>44938</v>
      </c>
      <c r="C374" s="5">
        <v>0.40277777777777779</v>
      </c>
      <c r="D374" t="s">
        <v>129</v>
      </c>
      <c r="E374" t="s">
        <v>16</v>
      </c>
      <c r="F374">
        <v>57</v>
      </c>
      <c r="G374" t="s">
        <v>17</v>
      </c>
      <c r="H374">
        <v>1</v>
      </c>
      <c r="I374">
        <v>500</v>
      </c>
      <c r="J374">
        <v>175</v>
      </c>
      <c r="K374">
        <v>500</v>
      </c>
      <c r="L374">
        <v>325</v>
      </c>
      <c r="M374">
        <v>0.65</v>
      </c>
      <c r="N374" t="s">
        <v>28</v>
      </c>
    </row>
    <row r="375" spans="1:14">
      <c r="A375">
        <v>130</v>
      </c>
      <c r="B375" s="4">
        <v>45096</v>
      </c>
      <c r="C375" s="5">
        <v>0.26458333333333334</v>
      </c>
      <c r="D375" t="s">
        <v>69</v>
      </c>
      <c r="E375" t="s">
        <v>23</v>
      </c>
      <c r="F375">
        <v>57</v>
      </c>
      <c r="G375" t="s">
        <v>17</v>
      </c>
      <c r="H375">
        <v>1</v>
      </c>
      <c r="I375">
        <v>500</v>
      </c>
      <c r="J375">
        <v>125</v>
      </c>
      <c r="K375">
        <v>500</v>
      </c>
      <c r="L375">
        <v>375</v>
      </c>
      <c r="M375">
        <v>0.75</v>
      </c>
      <c r="N375" t="s">
        <v>28</v>
      </c>
    </row>
    <row r="376" spans="1:14">
      <c r="A376">
        <v>658</v>
      </c>
      <c r="B376" s="4">
        <v>45229</v>
      </c>
      <c r="C376" s="5">
        <v>0.32430555555555557</v>
      </c>
      <c r="D376" t="s">
        <v>134</v>
      </c>
      <c r="E376" t="s">
        <v>16</v>
      </c>
      <c r="F376">
        <v>59</v>
      </c>
      <c r="G376" t="s">
        <v>17</v>
      </c>
      <c r="H376">
        <v>1</v>
      </c>
      <c r="I376">
        <v>25</v>
      </c>
      <c r="J376">
        <v>6.5</v>
      </c>
      <c r="K376">
        <v>25</v>
      </c>
      <c r="L376">
        <v>18.5</v>
      </c>
      <c r="M376">
        <v>0.74</v>
      </c>
      <c r="N376" t="s">
        <v>28</v>
      </c>
    </row>
    <row r="377" spans="1:14">
      <c r="A377">
        <v>1130</v>
      </c>
      <c r="B377" s="4">
        <v>44977</v>
      </c>
      <c r="C377" s="5">
        <v>0.37708333333333333</v>
      </c>
      <c r="D377" t="s">
        <v>101</v>
      </c>
      <c r="E377" t="s">
        <v>23</v>
      </c>
      <c r="F377">
        <v>57</v>
      </c>
      <c r="G377" t="s">
        <v>17</v>
      </c>
      <c r="H377">
        <v>1</v>
      </c>
      <c r="I377">
        <v>500</v>
      </c>
      <c r="J377">
        <v>180</v>
      </c>
      <c r="K377">
        <v>500</v>
      </c>
      <c r="L377">
        <v>320</v>
      </c>
      <c r="M377">
        <v>0.64</v>
      </c>
      <c r="N377" t="s">
        <v>28</v>
      </c>
    </row>
    <row r="378" spans="1:14">
      <c r="A378">
        <v>1658</v>
      </c>
      <c r="B378" s="4">
        <v>45026</v>
      </c>
      <c r="C378" s="5">
        <v>0.25555555555555554</v>
      </c>
      <c r="D378" t="s">
        <v>147</v>
      </c>
      <c r="E378" t="s">
        <v>16</v>
      </c>
      <c r="F378">
        <v>59</v>
      </c>
      <c r="G378" t="s">
        <v>17</v>
      </c>
      <c r="H378">
        <v>1</v>
      </c>
      <c r="I378">
        <v>25</v>
      </c>
      <c r="J378">
        <v>12.25</v>
      </c>
      <c r="K378">
        <v>25</v>
      </c>
      <c r="L378">
        <v>12.75</v>
      </c>
      <c r="M378">
        <v>0.51</v>
      </c>
      <c r="N378" t="s">
        <v>28</v>
      </c>
    </row>
    <row r="379" spans="1:14">
      <c r="A379">
        <v>7</v>
      </c>
      <c r="B379" s="4">
        <v>45113</v>
      </c>
      <c r="C379" s="5">
        <v>0.26666666666666666</v>
      </c>
      <c r="D379" t="s">
        <v>140</v>
      </c>
      <c r="E379" t="s">
        <v>16</v>
      </c>
      <c r="F379">
        <v>46</v>
      </c>
      <c r="G379" t="s">
        <v>17</v>
      </c>
      <c r="H379">
        <v>2</v>
      </c>
      <c r="I379">
        <v>25</v>
      </c>
      <c r="J379">
        <v>13.25</v>
      </c>
      <c r="K379">
        <v>50</v>
      </c>
      <c r="L379">
        <v>36.75</v>
      </c>
      <c r="M379">
        <v>0.73499999999999999</v>
      </c>
      <c r="N379" t="s">
        <v>21</v>
      </c>
    </row>
    <row r="380" spans="1:14">
      <c r="A380">
        <v>119</v>
      </c>
      <c r="B380" s="4">
        <v>45170</v>
      </c>
      <c r="C380" s="5">
        <v>0.38263888888888886</v>
      </c>
      <c r="D380" t="s">
        <v>128</v>
      </c>
      <c r="E380" t="s">
        <v>23</v>
      </c>
      <c r="F380">
        <v>60</v>
      </c>
      <c r="G380" t="s">
        <v>17</v>
      </c>
      <c r="H380">
        <v>3</v>
      </c>
      <c r="I380">
        <v>50</v>
      </c>
      <c r="J380">
        <v>27.5</v>
      </c>
      <c r="K380">
        <v>150</v>
      </c>
      <c r="L380">
        <v>122.5</v>
      </c>
      <c r="M380">
        <v>0.81666666666666665</v>
      </c>
      <c r="N380" t="s">
        <v>28</v>
      </c>
    </row>
    <row r="381" spans="1:14">
      <c r="A381">
        <v>278</v>
      </c>
      <c r="B381" s="4">
        <v>45282</v>
      </c>
      <c r="C381" s="5">
        <v>0.48749999999999999</v>
      </c>
      <c r="D381" t="s">
        <v>67</v>
      </c>
      <c r="E381" t="s">
        <v>23</v>
      </c>
      <c r="F381">
        <v>37</v>
      </c>
      <c r="G381" t="s">
        <v>17</v>
      </c>
      <c r="H381">
        <v>4</v>
      </c>
      <c r="I381">
        <v>25</v>
      </c>
      <c r="J381">
        <v>13.5</v>
      </c>
      <c r="K381">
        <v>100</v>
      </c>
      <c r="L381">
        <v>86.5</v>
      </c>
      <c r="M381">
        <v>0.86499999999999999</v>
      </c>
      <c r="N381" t="s">
        <v>18</v>
      </c>
    </row>
    <row r="382" spans="1:14">
      <c r="A382">
        <v>1007</v>
      </c>
      <c r="B382" s="4">
        <v>45086</v>
      </c>
      <c r="C382" s="5">
        <v>0.42291666666666666</v>
      </c>
      <c r="D382" t="s">
        <v>60</v>
      </c>
      <c r="E382" t="s">
        <v>16</v>
      </c>
      <c r="F382">
        <v>46</v>
      </c>
      <c r="G382" t="s">
        <v>17</v>
      </c>
      <c r="H382">
        <v>2</v>
      </c>
      <c r="I382">
        <v>25</v>
      </c>
      <c r="J382">
        <v>11.5</v>
      </c>
      <c r="K382">
        <v>50</v>
      </c>
      <c r="L382">
        <v>38.5</v>
      </c>
      <c r="M382">
        <v>0.77</v>
      </c>
      <c r="N382" t="s">
        <v>21</v>
      </c>
    </row>
    <row r="383" spans="1:14">
      <c r="A383">
        <v>1119</v>
      </c>
      <c r="B383" s="4">
        <v>45249</v>
      </c>
      <c r="C383" s="5">
        <v>0.4</v>
      </c>
      <c r="D383" t="s">
        <v>40</v>
      </c>
      <c r="E383" t="s">
        <v>23</v>
      </c>
      <c r="F383">
        <v>60</v>
      </c>
      <c r="G383" t="s">
        <v>17</v>
      </c>
      <c r="H383">
        <v>3</v>
      </c>
      <c r="I383">
        <v>50</v>
      </c>
      <c r="J383">
        <v>25.5</v>
      </c>
      <c r="K383">
        <v>150</v>
      </c>
      <c r="L383">
        <v>124.5</v>
      </c>
      <c r="M383">
        <v>0.83</v>
      </c>
      <c r="N383" t="s">
        <v>28</v>
      </c>
    </row>
    <row r="384" spans="1:14">
      <c r="A384">
        <v>1278</v>
      </c>
      <c r="B384" s="4">
        <v>45126</v>
      </c>
      <c r="C384" s="5">
        <v>0.26319444444444445</v>
      </c>
      <c r="D384" t="s">
        <v>101</v>
      </c>
      <c r="E384" t="s">
        <v>23</v>
      </c>
      <c r="F384">
        <v>37</v>
      </c>
      <c r="G384" t="s">
        <v>17</v>
      </c>
      <c r="H384">
        <v>4</v>
      </c>
      <c r="I384">
        <v>25</v>
      </c>
      <c r="J384">
        <v>6.75</v>
      </c>
      <c r="K384">
        <v>100</v>
      </c>
      <c r="L384">
        <v>93.25</v>
      </c>
      <c r="M384">
        <v>0.9325</v>
      </c>
      <c r="N384" t="s">
        <v>18</v>
      </c>
    </row>
    <row r="385" spans="1:14">
      <c r="A385">
        <v>117</v>
      </c>
      <c r="B385" s="4">
        <v>45142</v>
      </c>
      <c r="C385" s="5">
        <v>0.48472222222222222</v>
      </c>
      <c r="D385" t="s">
        <v>85</v>
      </c>
      <c r="E385" t="s">
        <v>16</v>
      </c>
      <c r="F385">
        <v>19</v>
      </c>
      <c r="G385" t="s">
        <v>30</v>
      </c>
      <c r="H385">
        <v>2</v>
      </c>
      <c r="I385">
        <v>500</v>
      </c>
      <c r="J385">
        <v>230</v>
      </c>
      <c r="K385">
        <v>1000</v>
      </c>
      <c r="L385">
        <v>770</v>
      </c>
      <c r="M385">
        <v>0.77</v>
      </c>
      <c r="N385" t="s">
        <v>31</v>
      </c>
    </row>
    <row r="386" spans="1:14">
      <c r="A386">
        <v>1117</v>
      </c>
      <c r="B386" s="4">
        <v>45180</v>
      </c>
      <c r="C386" s="5">
        <v>0.32500000000000001</v>
      </c>
      <c r="D386" t="s">
        <v>27</v>
      </c>
      <c r="E386" t="s">
        <v>16</v>
      </c>
      <c r="F386">
        <v>19</v>
      </c>
      <c r="G386" t="s">
        <v>30</v>
      </c>
      <c r="H386">
        <v>2</v>
      </c>
      <c r="I386">
        <v>500</v>
      </c>
      <c r="J386">
        <v>210</v>
      </c>
      <c r="K386">
        <v>1000</v>
      </c>
      <c r="L386">
        <v>790</v>
      </c>
      <c r="M386">
        <v>0.79</v>
      </c>
      <c r="N386" t="s">
        <v>31</v>
      </c>
    </row>
    <row r="387" spans="1:14">
      <c r="A387">
        <v>442</v>
      </c>
      <c r="B387" s="4">
        <v>45107</v>
      </c>
      <c r="C387" s="5">
        <v>0.46319444444444446</v>
      </c>
      <c r="D387" t="s">
        <v>70</v>
      </c>
      <c r="E387" t="s">
        <v>23</v>
      </c>
      <c r="F387">
        <v>60</v>
      </c>
      <c r="G387" t="s">
        <v>17</v>
      </c>
      <c r="H387">
        <v>4</v>
      </c>
      <c r="I387">
        <v>25</v>
      </c>
      <c r="J387">
        <v>13.25</v>
      </c>
      <c r="K387">
        <v>100</v>
      </c>
      <c r="L387">
        <v>86.75</v>
      </c>
      <c r="M387">
        <v>0.86750000000000005</v>
      </c>
      <c r="N387" t="s">
        <v>28</v>
      </c>
    </row>
    <row r="388" spans="1:14">
      <c r="A388">
        <v>590</v>
      </c>
      <c r="B388" s="4">
        <v>45050</v>
      </c>
      <c r="C388" s="5">
        <v>0.49444444444444446</v>
      </c>
      <c r="D388" t="s">
        <v>132</v>
      </c>
      <c r="E388" t="s">
        <v>16</v>
      </c>
      <c r="F388">
        <v>36</v>
      </c>
      <c r="G388" t="s">
        <v>17</v>
      </c>
      <c r="H388">
        <v>3</v>
      </c>
      <c r="I388">
        <v>300</v>
      </c>
      <c r="J388">
        <v>135</v>
      </c>
      <c r="K388">
        <v>900</v>
      </c>
      <c r="L388">
        <v>765</v>
      </c>
      <c r="M388">
        <v>0.85</v>
      </c>
      <c r="N388" t="s">
        <v>18</v>
      </c>
    </row>
    <row r="389" spans="1:14">
      <c r="A389">
        <v>607</v>
      </c>
      <c r="B389" s="4">
        <v>45051</v>
      </c>
      <c r="C389" s="5">
        <v>0.39791666666666664</v>
      </c>
      <c r="D389" t="s">
        <v>162</v>
      </c>
      <c r="E389" t="s">
        <v>16</v>
      </c>
      <c r="F389">
        <v>54</v>
      </c>
      <c r="G389" t="s">
        <v>17</v>
      </c>
      <c r="H389">
        <v>3</v>
      </c>
      <c r="I389">
        <v>25</v>
      </c>
      <c r="J389">
        <v>13.25</v>
      </c>
      <c r="K389">
        <v>75</v>
      </c>
      <c r="L389">
        <v>61.75</v>
      </c>
      <c r="M389">
        <v>0.82333333333333336</v>
      </c>
      <c r="N389" t="s">
        <v>21</v>
      </c>
    </row>
    <row r="390" spans="1:14">
      <c r="A390">
        <v>1442</v>
      </c>
      <c r="B390" s="4">
        <v>44973</v>
      </c>
      <c r="C390" s="5">
        <v>0.4597222222222222</v>
      </c>
      <c r="D390" t="s">
        <v>157</v>
      </c>
      <c r="E390" t="s">
        <v>23</v>
      </c>
      <c r="F390">
        <v>60</v>
      </c>
      <c r="G390" t="s">
        <v>17</v>
      </c>
      <c r="H390">
        <v>4</v>
      </c>
      <c r="I390">
        <v>25</v>
      </c>
      <c r="J390">
        <v>11.25</v>
      </c>
      <c r="K390">
        <v>100</v>
      </c>
      <c r="L390">
        <v>88.75</v>
      </c>
      <c r="M390">
        <v>0.88749999999999996</v>
      </c>
      <c r="N390" t="s">
        <v>28</v>
      </c>
    </row>
    <row r="391" spans="1:14">
      <c r="A391">
        <v>1590</v>
      </c>
      <c r="B391" s="4">
        <v>45148</v>
      </c>
      <c r="C391" s="5">
        <v>0.40208333333333335</v>
      </c>
      <c r="D391" t="s">
        <v>139</v>
      </c>
      <c r="E391" t="s">
        <v>16</v>
      </c>
      <c r="F391">
        <v>36</v>
      </c>
      <c r="G391" t="s">
        <v>17</v>
      </c>
      <c r="H391">
        <v>3</v>
      </c>
      <c r="I391">
        <v>300</v>
      </c>
      <c r="J391">
        <v>147</v>
      </c>
      <c r="K391">
        <v>900</v>
      </c>
      <c r="L391">
        <v>753</v>
      </c>
      <c r="M391">
        <v>0.83666666666666667</v>
      </c>
      <c r="N391" t="s">
        <v>18</v>
      </c>
    </row>
    <row r="392" spans="1:14">
      <c r="A392">
        <v>1607</v>
      </c>
      <c r="B392" s="4">
        <v>44942</v>
      </c>
      <c r="C392" s="5">
        <v>0.42916666666666664</v>
      </c>
      <c r="D392" t="s">
        <v>158</v>
      </c>
      <c r="E392" t="s">
        <v>16</v>
      </c>
      <c r="F392">
        <v>54</v>
      </c>
      <c r="G392" t="s">
        <v>17</v>
      </c>
      <c r="H392">
        <v>3</v>
      </c>
      <c r="I392">
        <v>25</v>
      </c>
      <c r="J392">
        <v>7.75</v>
      </c>
      <c r="K392">
        <v>75</v>
      </c>
      <c r="L392">
        <v>67.25</v>
      </c>
      <c r="M392">
        <v>0.89666666666666661</v>
      </c>
      <c r="N392" t="s">
        <v>21</v>
      </c>
    </row>
    <row r="393" spans="1:14">
      <c r="A393">
        <v>436</v>
      </c>
      <c r="B393" s="4">
        <v>45221</v>
      </c>
      <c r="C393" s="5">
        <v>0.49583333333333335</v>
      </c>
      <c r="D393" t="s">
        <v>129</v>
      </c>
      <c r="E393" t="s">
        <v>23</v>
      </c>
      <c r="F393">
        <v>57</v>
      </c>
      <c r="G393" t="s">
        <v>17</v>
      </c>
      <c r="H393">
        <v>4</v>
      </c>
      <c r="I393">
        <v>30</v>
      </c>
      <c r="J393">
        <v>13.5</v>
      </c>
      <c r="K393">
        <v>120</v>
      </c>
      <c r="L393">
        <v>106.5</v>
      </c>
      <c r="M393">
        <v>0.88749999999999996</v>
      </c>
      <c r="N393" t="s">
        <v>28</v>
      </c>
    </row>
    <row r="394" spans="1:14">
      <c r="A394">
        <v>942</v>
      </c>
      <c r="B394" s="4">
        <v>45261</v>
      </c>
      <c r="C394" s="5">
        <v>0.39027777777777778</v>
      </c>
      <c r="D394" t="s">
        <v>163</v>
      </c>
      <c r="E394" t="s">
        <v>16</v>
      </c>
      <c r="F394">
        <v>51</v>
      </c>
      <c r="G394" t="s">
        <v>17</v>
      </c>
      <c r="H394">
        <v>3</v>
      </c>
      <c r="I394">
        <v>500</v>
      </c>
      <c r="J394">
        <v>160</v>
      </c>
      <c r="K394">
        <v>1500</v>
      </c>
      <c r="L394">
        <v>1340</v>
      </c>
      <c r="M394">
        <v>0.89333333333333331</v>
      </c>
      <c r="N394" t="s">
        <v>21</v>
      </c>
    </row>
    <row r="395" spans="1:14">
      <c r="A395">
        <v>1436</v>
      </c>
      <c r="B395" s="4">
        <v>44946</v>
      </c>
      <c r="C395" s="5">
        <v>0.47847222222222224</v>
      </c>
      <c r="D395" t="s">
        <v>40</v>
      </c>
      <c r="E395" t="s">
        <v>23</v>
      </c>
      <c r="F395">
        <v>57</v>
      </c>
      <c r="G395" t="s">
        <v>17</v>
      </c>
      <c r="H395">
        <v>4</v>
      </c>
      <c r="I395">
        <v>30</v>
      </c>
      <c r="J395">
        <v>9.9</v>
      </c>
      <c r="K395">
        <v>120</v>
      </c>
      <c r="L395">
        <v>110.1</v>
      </c>
      <c r="M395">
        <v>0.91749999999999998</v>
      </c>
      <c r="N395" t="s">
        <v>28</v>
      </c>
    </row>
    <row r="396" spans="1:14">
      <c r="A396">
        <v>1942</v>
      </c>
      <c r="B396" s="4">
        <v>45185</v>
      </c>
      <c r="C396" s="5">
        <v>0.49513888888888891</v>
      </c>
      <c r="D396" t="s">
        <v>142</v>
      </c>
      <c r="E396" t="s">
        <v>16</v>
      </c>
      <c r="F396">
        <v>51</v>
      </c>
      <c r="G396" t="s">
        <v>17</v>
      </c>
      <c r="H396">
        <v>3</v>
      </c>
      <c r="I396">
        <v>500</v>
      </c>
      <c r="J396">
        <v>265</v>
      </c>
      <c r="K396">
        <v>1500</v>
      </c>
      <c r="L396">
        <v>1235</v>
      </c>
      <c r="M396">
        <v>0.82333333333333336</v>
      </c>
      <c r="N396" t="s">
        <v>21</v>
      </c>
    </row>
    <row r="397" spans="1:14">
      <c r="A397">
        <v>659</v>
      </c>
      <c r="B397" s="4">
        <v>45086</v>
      </c>
      <c r="C397" s="5">
        <v>0.25555555555555554</v>
      </c>
      <c r="D397" t="s">
        <v>82</v>
      </c>
      <c r="E397" t="s">
        <v>23</v>
      </c>
      <c r="F397">
        <v>39</v>
      </c>
      <c r="G397" t="s">
        <v>30</v>
      </c>
      <c r="H397">
        <v>1</v>
      </c>
      <c r="I397">
        <v>30</v>
      </c>
      <c r="J397">
        <v>8.1</v>
      </c>
      <c r="K397">
        <v>30</v>
      </c>
      <c r="L397">
        <v>21.9</v>
      </c>
      <c r="M397">
        <v>0.73</v>
      </c>
      <c r="N397" t="s">
        <v>18</v>
      </c>
    </row>
    <row r="398" spans="1:14">
      <c r="A398">
        <v>941</v>
      </c>
      <c r="B398" s="4">
        <v>45044</v>
      </c>
      <c r="C398" s="5">
        <v>0.4152777777777778</v>
      </c>
      <c r="D398" t="s">
        <v>75</v>
      </c>
      <c r="E398" t="s">
        <v>23</v>
      </c>
      <c r="F398">
        <v>57</v>
      </c>
      <c r="G398" t="s">
        <v>17</v>
      </c>
      <c r="H398">
        <v>2</v>
      </c>
      <c r="I398">
        <v>25</v>
      </c>
      <c r="J398">
        <v>6.5</v>
      </c>
      <c r="K398">
        <v>50</v>
      </c>
      <c r="L398">
        <v>43.5</v>
      </c>
      <c r="M398">
        <v>0.87</v>
      </c>
      <c r="N398" t="s">
        <v>28</v>
      </c>
    </row>
    <row r="399" spans="1:14">
      <c r="A399">
        <v>1659</v>
      </c>
      <c r="B399" s="4">
        <v>45134</v>
      </c>
      <c r="C399" s="5">
        <v>0.39513888888888887</v>
      </c>
      <c r="D399" t="s">
        <v>73</v>
      </c>
      <c r="E399" t="s">
        <v>23</v>
      </c>
      <c r="F399">
        <v>39</v>
      </c>
      <c r="G399" t="s">
        <v>30</v>
      </c>
      <c r="H399">
        <v>1</v>
      </c>
      <c r="I399">
        <v>30</v>
      </c>
      <c r="J399">
        <v>9</v>
      </c>
      <c r="K399">
        <v>30</v>
      </c>
      <c r="L399">
        <v>21</v>
      </c>
      <c r="M399">
        <v>0.7</v>
      </c>
      <c r="N399" t="s">
        <v>18</v>
      </c>
    </row>
    <row r="400" spans="1:14">
      <c r="A400">
        <v>1941</v>
      </c>
      <c r="B400" s="4">
        <v>44932</v>
      </c>
      <c r="C400" s="5">
        <v>0.25972222222222224</v>
      </c>
      <c r="D400" t="s">
        <v>25</v>
      </c>
      <c r="E400" t="s">
        <v>23</v>
      </c>
      <c r="F400">
        <v>57</v>
      </c>
      <c r="G400" t="s">
        <v>17</v>
      </c>
      <c r="H400">
        <v>2</v>
      </c>
      <c r="I400">
        <v>25</v>
      </c>
      <c r="J400">
        <v>12</v>
      </c>
      <c r="K400">
        <v>50</v>
      </c>
      <c r="L400">
        <v>38</v>
      </c>
      <c r="M400">
        <v>0.76</v>
      </c>
      <c r="N400" t="s">
        <v>28</v>
      </c>
    </row>
    <row r="401" spans="1:14">
      <c r="A401">
        <v>136</v>
      </c>
      <c r="B401" s="4">
        <v>45286</v>
      </c>
      <c r="C401" s="5">
        <v>0.37430555555555556</v>
      </c>
      <c r="D401" t="s">
        <v>54</v>
      </c>
      <c r="E401" t="s">
        <v>16</v>
      </c>
      <c r="F401">
        <v>44</v>
      </c>
      <c r="G401" t="s">
        <v>30</v>
      </c>
      <c r="H401">
        <v>2</v>
      </c>
      <c r="I401">
        <v>300</v>
      </c>
      <c r="J401">
        <v>141</v>
      </c>
      <c r="K401">
        <v>600</v>
      </c>
      <c r="L401">
        <v>459</v>
      </c>
      <c r="M401">
        <v>0.76500000000000001</v>
      </c>
      <c r="N401" t="s">
        <v>18</v>
      </c>
    </row>
    <row r="402" spans="1:14">
      <c r="A402">
        <v>175</v>
      </c>
      <c r="B402" s="4">
        <v>44951</v>
      </c>
      <c r="C402" s="5">
        <v>0.41805555555555557</v>
      </c>
      <c r="D402" t="s">
        <v>66</v>
      </c>
      <c r="E402" t="s">
        <v>23</v>
      </c>
      <c r="F402">
        <v>31</v>
      </c>
      <c r="G402" t="s">
        <v>30</v>
      </c>
      <c r="H402">
        <v>4</v>
      </c>
      <c r="I402">
        <v>25</v>
      </c>
      <c r="J402">
        <v>12.5</v>
      </c>
      <c r="K402">
        <v>100</v>
      </c>
      <c r="L402">
        <v>87.5</v>
      </c>
      <c r="M402">
        <v>0.875</v>
      </c>
      <c r="N402" t="s">
        <v>39</v>
      </c>
    </row>
    <row r="403" spans="1:14">
      <c r="A403">
        <v>663</v>
      </c>
      <c r="B403" s="4">
        <v>45154</v>
      </c>
      <c r="C403" s="5">
        <v>0.2722222222222222</v>
      </c>
      <c r="D403" t="s">
        <v>164</v>
      </c>
      <c r="E403" t="s">
        <v>16</v>
      </c>
      <c r="F403">
        <v>23</v>
      </c>
      <c r="G403" t="s">
        <v>17</v>
      </c>
      <c r="H403">
        <v>4</v>
      </c>
      <c r="I403">
        <v>300</v>
      </c>
      <c r="J403">
        <v>87</v>
      </c>
      <c r="K403">
        <v>1200</v>
      </c>
      <c r="L403">
        <v>1113</v>
      </c>
      <c r="M403">
        <v>0.92749999999999999</v>
      </c>
      <c r="N403" t="s">
        <v>31</v>
      </c>
    </row>
    <row r="404" spans="1:14">
      <c r="A404">
        <v>748</v>
      </c>
      <c r="B404" s="4">
        <v>44986</v>
      </c>
      <c r="C404" s="5">
        <v>0.39930555555555558</v>
      </c>
      <c r="D404" t="s">
        <v>94</v>
      </c>
      <c r="E404" t="s">
        <v>16</v>
      </c>
      <c r="F404">
        <v>25</v>
      </c>
      <c r="G404" t="s">
        <v>17</v>
      </c>
      <c r="H404">
        <v>3</v>
      </c>
      <c r="I404">
        <v>50</v>
      </c>
      <c r="J404">
        <v>24</v>
      </c>
      <c r="K404">
        <v>150</v>
      </c>
      <c r="L404">
        <v>126</v>
      </c>
      <c r="M404">
        <v>0.84</v>
      </c>
      <c r="N404" t="s">
        <v>31</v>
      </c>
    </row>
    <row r="405" spans="1:14">
      <c r="A405">
        <v>806</v>
      </c>
      <c r="B405" s="4">
        <v>44948</v>
      </c>
      <c r="C405" s="5">
        <v>0.33888888888888891</v>
      </c>
      <c r="D405" t="s">
        <v>160</v>
      </c>
      <c r="E405" t="s">
        <v>23</v>
      </c>
      <c r="F405">
        <v>35</v>
      </c>
      <c r="G405" t="s">
        <v>20</v>
      </c>
      <c r="H405">
        <v>3</v>
      </c>
      <c r="I405">
        <v>300</v>
      </c>
      <c r="J405">
        <v>165</v>
      </c>
      <c r="K405">
        <v>900</v>
      </c>
      <c r="L405">
        <v>735</v>
      </c>
      <c r="M405">
        <v>0.81666666666666665</v>
      </c>
      <c r="N405" t="s">
        <v>39</v>
      </c>
    </row>
    <row r="406" spans="1:14">
      <c r="A406">
        <v>1136</v>
      </c>
      <c r="B406" s="4">
        <v>45109</v>
      </c>
      <c r="C406" s="5">
        <v>0.36180555555555555</v>
      </c>
      <c r="D406" t="s">
        <v>134</v>
      </c>
      <c r="E406" t="s">
        <v>16</v>
      </c>
      <c r="F406">
        <v>44</v>
      </c>
      <c r="G406" t="s">
        <v>30</v>
      </c>
      <c r="H406">
        <v>2</v>
      </c>
      <c r="I406">
        <v>300</v>
      </c>
      <c r="J406">
        <v>81</v>
      </c>
      <c r="K406">
        <v>600</v>
      </c>
      <c r="L406">
        <v>519</v>
      </c>
      <c r="M406">
        <v>0.86499999999999999</v>
      </c>
      <c r="N406" t="s">
        <v>18</v>
      </c>
    </row>
    <row r="407" spans="1:14">
      <c r="A407">
        <v>1175</v>
      </c>
      <c r="B407" s="4">
        <v>45079</v>
      </c>
      <c r="C407" s="5">
        <v>0.27638888888888891</v>
      </c>
      <c r="D407" t="s">
        <v>165</v>
      </c>
      <c r="E407" t="s">
        <v>23</v>
      </c>
      <c r="F407">
        <v>31</v>
      </c>
      <c r="G407" t="s">
        <v>30</v>
      </c>
      <c r="H407">
        <v>4</v>
      </c>
      <c r="I407">
        <v>25</v>
      </c>
      <c r="J407">
        <v>11.5</v>
      </c>
      <c r="K407">
        <v>100</v>
      </c>
      <c r="L407">
        <v>88.5</v>
      </c>
      <c r="M407">
        <v>0.88500000000000001</v>
      </c>
      <c r="N407" t="s">
        <v>39</v>
      </c>
    </row>
    <row r="408" spans="1:14">
      <c r="A408">
        <v>1663</v>
      </c>
      <c r="B408" s="4">
        <v>45267</v>
      </c>
      <c r="C408" s="5">
        <v>0.29444444444444445</v>
      </c>
      <c r="D408" t="s">
        <v>86</v>
      </c>
      <c r="E408" t="s">
        <v>16</v>
      </c>
      <c r="F408">
        <v>23</v>
      </c>
      <c r="G408" t="s">
        <v>17</v>
      </c>
      <c r="H408">
        <v>4</v>
      </c>
      <c r="I408">
        <v>300</v>
      </c>
      <c r="J408">
        <v>81</v>
      </c>
      <c r="K408">
        <v>1200</v>
      </c>
      <c r="L408">
        <v>1119</v>
      </c>
      <c r="M408">
        <v>0.9325</v>
      </c>
      <c r="N408" t="s">
        <v>31</v>
      </c>
    </row>
    <row r="409" spans="1:14">
      <c r="A409">
        <v>1748</v>
      </c>
      <c r="B409" s="4">
        <v>44987</v>
      </c>
      <c r="C409" s="5">
        <v>0.43333333333333335</v>
      </c>
      <c r="D409" t="s">
        <v>122</v>
      </c>
      <c r="E409" t="s">
        <v>16</v>
      </c>
      <c r="F409">
        <v>25</v>
      </c>
      <c r="G409" t="s">
        <v>17</v>
      </c>
      <c r="H409">
        <v>3</v>
      </c>
      <c r="I409">
        <v>50</v>
      </c>
      <c r="J409">
        <v>15.5</v>
      </c>
      <c r="K409">
        <v>150</v>
      </c>
      <c r="L409">
        <v>134.5</v>
      </c>
      <c r="M409">
        <v>0.89666666666666661</v>
      </c>
      <c r="N409" t="s">
        <v>31</v>
      </c>
    </row>
    <row r="410" spans="1:14">
      <c r="A410">
        <v>1806</v>
      </c>
      <c r="B410" s="4">
        <v>45091</v>
      </c>
      <c r="C410" s="5">
        <v>0.42569444444444443</v>
      </c>
      <c r="D410" t="s">
        <v>89</v>
      </c>
      <c r="E410" t="s">
        <v>23</v>
      </c>
      <c r="F410">
        <v>35</v>
      </c>
      <c r="G410" t="s">
        <v>20</v>
      </c>
      <c r="H410">
        <v>3</v>
      </c>
      <c r="I410">
        <v>300</v>
      </c>
      <c r="J410">
        <v>102</v>
      </c>
      <c r="K410">
        <v>900</v>
      </c>
      <c r="L410">
        <v>798</v>
      </c>
      <c r="M410">
        <v>0.88666666666666671</v>
      </c>
      <c r="N410" t="s">
        <v>39</v>
      </c>
    </row>
    <row r="411" spans="1:14">
      <c r="A411">
        <v>38</v>
      </c>
      <c r="B411" s="4">
        <v>44982</v>
      </c>
      <c r="C411" s="5">
        <v>0.48541666666666666</v>
      </c>
      <c r="D411" t="s">
        <v>59</v>
      </c>
      <c r="E411" t="s">
        <v>16</v>
      </c>
      <c r="F411">
        <v>38</v>
      </c>
      <c r="G411" t="s">
        <v>20</v>
      </c>
      <c r="H411">
        <v>4</v>
      </c>
      <c r="I411">
        <v>50</v>
      </c>
      <c r="J411">
        <v>26</v>
      </c>
      <c r="K411">
        <v>200</v>
      </c>
      <c r="L411">
        <v>174</v>
      </c>
      <c r="M411">
        <v>0.87</v>
      </c>
      <c r="N411" t="s">
        <v>18</v>
      </c>
    </row>
    <row r="412" spans="1:14">
      <c r="A412">
        <v>313</v>
      </c>
      <c r="B412" s="4">
        <v>45276</v>
      </c>
      <c r="C412" s="5">
        <v>0.41875000000000001</v>
      </c>
      <c r="D412" t="s">
        <v>151</v>
      </c>
      <c r="E412" t="s">
        <v>23</v>
      </c>
      <c r="F412">
        <v>55</v>
      </c>
      <c r="G412" t="s">
        <v>20</v>
      </c>
      <c r="H412">
        <v>3</v>
      </c>
      <c r="I412">
        <v>500</v>
      </c>
      <c r="J412">
        <v>140</v>
      </c>
      <c r="K412">
        <v>1500</v>
      </c>
      <c r="L412">
        <v>1360</v>
      </c>
      <c r="M412">
        <v>0.90666666666666662</v>
      </c>
      <c r="N412" t="s">
        <v>21</v>
      </c>
    </row>
    <row r="413" spans="1:14">
      <c r="A413">
        <v>402</v>
      </c>
      <c r="B413" s="4">
        <v>45119</v>
      </c>
      <c r="C413" s="5">
        <v>0.36458333333333331</v>
      </c>
      <c r="D413" t="s">
        <v>138</v>
      </c>
      <c r="E413" t="s">
        <v>23</v>
      </c>
      <c r="F413">
        <v>41</v>
      </c>
      <c r="G413" t="s">
        <v>17</v>
      </c>
      <c r="H413">
        <v>2</v>
      </c>
      <c r="I413">
        <v>300</v>
      </c>
      <c r="J413">
        <v>135</v>
      </c>
      <c r="K413">
        <v>600</v>
      </c>
      <c r="L413">
        <v>465</v>
      </c>
      <c r="M413">
        <v>0.77500000000000002</v>
      </c>
      <c r="N413" t="s">
        <v>18</v>
      </c>
    </row>
    <row r="414" spans="1:14">
      <c r="A414">
        <v>459</v>
      </c>
      <c r="B414" s="4">
        <v>45069</v>
      </c>
      <c r="C414" s="5">
        <v>0.3</v>
      </c>
      <c r="D414" t="s">
        <v>106</v>
      </c>
      <c r="E414" t="s">
        <v>16</v>
      </c>
      <c r="F414">
        <v>28</v>
      </c>
      <c r="G414" t="s">
        <v>17</v>
      </c>
      <c r="H414">
        <v>4</v>
      </c>
      <c r="I414">
        <v>300</v>
      </c>
      <c r="J414">
        <v>75</v>
      </c>
      <c r="K414">
        <v>1200</v>
      </c>
      <c r="L414">
        <v>1125</v>
      </c>
      <c r="M414">
        <v>0.9375</v>
      </c>
      <c r="N414" t="s">
        <v>39</v>
      </c>
    </row>
    <row r="415" spans="1:14">
      <c r="A415">
        <v>1038</v>
      </c>
      <c r="B415" s="4">
        <v>45290</v>
      </c>
      <c r="C415" s="5">
        <v>0.38124999999999998</v>
      </c>
      <c r="D415" t="s">
        <v>151</v>
      </c>
      <c r="E415" t="s">
        <v>16</v>
      </c>
      <c r="F415">
        <v>38</v>
      </c>
      <c r="G415" t="s">
        <v>20</v>
      </c>
      <c r="H415">
        <v>4</v>
      </c>
      <c r="I415">
        <v>50</v>
      </c>
      <c r="J415">
        <v>20.5</v>
      </c>
      <c r="K415">
        <v>200</v>
      </c>
      <c r="L415">
        <v>179.5</v>
      </c>
      <c r="M415">
        <v>0.89749999999999996</v>
      </c>
      <c r="N415" t="s">
        <v>18</v>
      </c>
    </row>
    <row r="416" spans="1:14">
      <c r="A416">
        <v>1313</v>
      </c>
      <c r="B416" s="4">
        <v>45081</v>
      </c>
      <c r="C416" s="5">
        <v>0.39027777777777778</v>
      </c>
      <c r="D416" t="s">
        <v>121</v>
      </c>
      <c r="E416" t="s">
        <v>23</v>
      </c>
      <c r="F416">
        <v>55</v>
      </c>
      <c r="G416" t="s">
        <v>20</v>
      </c>
      <c r="H416">
        <v>3</v>
      </c>
      <c r="I416">
        <v>500</v>
      </c>
      <c r="J416">
        <v>170</v>
      </c>
      <c r="K416">
        <v>1500</v>
      </c>
      <c r="L416">
        <v>1330</v>
      </c>
      <c r="M416">
        <v>0.88666666666666671</v>
      </c>
      <c r="N416" t="s">
        <v>21</v>
      </c>
    </row>
    <row r="417" spans="1:14">
      <c r="A417">
        <v>1402</v>
      </c>
      <c r="B417" s="4">
        <v>45101</v>
      </c>
      <c r="C417" s="5">
        <v>0.28263888888888888</v>
      </c>
      <c r="D417" t="s">
        <v>166</v>
      </c>
      <c r="E417" t="s">
        <v>23</v>
      </c>
      <c r="F417">
        <v>41</v>
      </c>
      <c r="G417" t="s">
        <v>17</v>
      </c>
      <c r="H417">
        <v>2</v>
      </c>
      <c r="I417">
        <v>300</v>
      </c>
      <c r="J417">
        <v>156</v>
      </c>
      <c r="K417">
        <v>600</v>
      </c>
      <c r="L417">
        <v>444</v>
      </c>
      <c r="M417">
        <v>0.74</v>
      </c>
      <c r="N417" t="s">
        <v>18</v>
      </c>
    </row>
    <row r="418" spans="1:14">
      <c r="A418">
        <v>1459</v>
      </c>
      <c r="B418" s="4">
        <v>45240</v>
      </c>
      <c r="C418" s="5">
        <v>0.28194444444444444</v>
      </c>
      <c r="D418" t="s">
        <v>120</v>
      </c>
      <c r="E418" t="s">
        <v>16</v>
      </c>
      <c r="F418">
        <v>28</v>
      </c>
      <c r="G418" t="s">
        <v>17</v>
      </c>
      <c r="H418">
        <v>4</v>
      </c>
      <c r="I418">
        <v>300</v>
      </c>
      <c r="J418">
        <v>144</v>
      </c>
      <c r="K418">
        <v>1200</v>
      </c>
      <c r="L418">
        <v>1056</v>
      </c>
      <c r="M418">
        <v>0.88</v>
      </c>
      <c r="N418" t="s">
        <v>39</v>
      </c>
    </row>
    <row r="419" spans="1:14">
      <c r="A419">
        <v>161</v>
      </c>
      <c r="B419" s="4">
        <v>45108</v>
      </c>
      <c r="C419" s="5">
        <v>0.2902777777777778</v>
      </c>
      <c r="D419" t="s">
        <v>100</v>
      </c>
      <c r="E419" t="s">
        <v>16</v>
      </c>
      <c r="F419">
        <v>64</v>
      </c>
      <c r="G419" t="s">
        <v>20</v>
      </c>
      <c r="H419">
        <v>2</v>
      </c>
      <c r="I419">
        <v>500</v>
      </c>
      <c r="J419">
        <v>195</v>
      </c>
      <c r="K419">
        <v>1000</v>
      </c>
      <c r="L419">
        <v>805</v>
      </c>
      <c r="M419">
        <v>0.80500000000000005</v>
      </c>
      <c r="N419" t="s">
        <v>28</v>
      </c>
    </row>
    <row r="420" spans="1:14">
      <c r="A420">
        <v>328</v>
      </c>
      <c r="B420" s="4">
        <v>45228</v>
      </c>
      <c r="C420" s="5">
        <v>0.28888888888888886</v>
      </c>
      <c r="D420" t="s">
        <v>150</v>
      </c>
      <c r="E420" t="s">
        <v>16</v>
      </c>
      <c r="F420">
        <v>39</v>
      </c>
      <c r="G420" t="s">
        <v>20</v>
      </c>
      <c r="H420">
        <v>2</v>
      </c>
      <c r="I420">
        <v>50</v>
      </c>
      <c r="J420">
        <v>27</v>
      </c>
      <c r="K420">
        <v>100</v>
      </c>
      <c r="L420">
        <v>73</v>
      </c>
      <c r="M420">
        <v>0.73</v>
      </c>
      <c r="N420" t="s">
        <v>18</v>
      </c>
    </row>
    <row r="421" spans="1:14">
      <c r="A421">
        <v>383</v>
      </c>
      <c r="B421" s="4">
        <v>45009</v>
      </c>
      <c r="C421" s="5">
        <v>0.37013888888888891</v>
      </c>
      <c r="D421" t="s">
        <v>167</v>
      </c>
      <c r="E421" t="s">
        <v>23</v>
      </c>
      <c r="F421">
        <v>46</v>
      </c>
      <c r="G421" t="s">
        <v>20</v>
      </c>
      <c r="H421">
        <v>3</v>
      </c>
      <c r="I421">
        <v>30</v>
      </c>
      <c r="J421">
        <v>7.8</v>
      </c>
      <c r="K421">
        <v>90</v>
      </c>
      <c r="L421">
        <v>82.2</v>
      </c>
      <c r="M421">
        <v>0.91333333333333333</v>
      </c>
      <c r="N421" t="s">
        <v>21</v>
      </c>
    </row>
    <row r="422" spans="1:14">
      <c r="A422">
        <v>973</v>
      </c>
      <c r="B422" s="4">
        <v>45172</v>
      </c>
      <c r="C422" s="5">
        <v>0.36388888888888887</v>
      </c>
      <c r="D422" t="s">
        <v>97</v>
      </c>
      <c r="E422" t="s">
        <v>16</v>
      </c>
      <c r="F422">
        <v>60</v>
      </c>
      <c r="G422" t="s">
        <v>17</v>
      </c>
      <c r="H422">
        <v>1</v>
      </c>
      <c r="I422">
        <v>50</v>
      </c>
      <c r="J422">
        <v>13</v>
      </c>
      <c r="K422">
        <v>50</v>
      </c>
      <c r="L422">
        <v>37</v>
      </c>
      <c r="M422">
        <v>0.74</v>
      </c>
      <c r="N422" t="s">
        <v>28</v>
      </c>
    </row>
    <row r="423" spans="1:14">
      <c r="A423">
        <v>978</v>
      </c>
      <c r="B423" s="4">
        <v>45134</v>
      </c>
      <c r="C423" s="5">
        <v>0.4152777777777778</v>
      </c>
      <c r="D423" t="s">
        <v>50</v>
      </c>
      <c r="E423" t="s">
        <v>23</v>
      </c>
      <c r="F423">
        <v>53</v>
      </c>
      <c r="G423" t="s">
        <v>17</v>
      </c>
      <c r="H423">
        <v>3</v>
      </c>
      <c r="I423">
        <v>50</v>
      </c>
      <c r="J423">
        <v>19</v>
      </c>
      <c r="K423">
        <v>150</v>
      </c>
      <c r="L423">
        <v>131</v>
      </c>
      <c r="M423">
        <v>0.87333333333333329</v>
      </c>
      <c r="N423" t="s">
        <v>21</v>
      </c>
    </row>
    <row r="424" spans="1:14">
      <c r="A424">
        <v>1161</v>
      </c>
      <c r="B424" s="4">
        <v>45106</v>
      </c>
      <c r="C424" s="5">
        <v>0.46250000000000002</v>
      </c>
      <c r="D424" t="s">
        <v>152</v>
      </c>
      <c r="E424" t="s">
        <v>16</v>
      </c>
      <c r="F424">
        <v>64</v>
      </c>
      <c r="G424" t="s">
        <v>20</v>
      </c>
      <c r="H424">
        <v>2</v>
      </c>
      <c r="I424">
        <v>500</v>
      </c>
      <c r="J424">
        <v>160</v>
      </c>
      <c r="K424">
        <v>1000</v>
      </c>
      <c r="L424">
        <v>840</v>
      </c>
      <c r="M424">
        <v>0.84</v>
      </c>
      <c r="N424" t="s">
        <v>28</v>
      </c>
    </row>
    <row r="425" spans="1:14">
      <c r="A425">
        <v>1328</v>
      </c>
      <c r="B425" s="4">
        <v>45270</v>
      </c>
      <c r="C425" s="5">
        <v>0.32569444444444445</v>
      </c>
      <c r="D425" t="s">
        <v>137</v>
      </c>
      <c r="E425" t="s">
        <v>16</v>
      </c>
      <c r="F425">
        <v>39</v>
      </c>
      <c r="G425" t="s">
        <v>20</v>
      </c>
      <c r="H425">
        <v>2</v>
      </c>
      <c r="I425">
        <v>50</v>
      </c>
      <c r="J425">
        <v>24.5</v>
      </c>
      <c r="K425">
        <v>100</v>
      </c>
      <c r="L425">
        <v>75.5</v>
      </c>
      <c r="M425">
        <v>0.755</v>
      </c>
      <c r="N425" t="s">
        <v>18</v>
      </c>
    </row>
    <row r="426" spans="1:14">
      <c r="A426">
        <v>1383</v>
      </c>
      <c r="B426" s="4">
        <v>45175</v>
      </c>
      <c r="C426" s="5">
        <v>0.3840277777777778</v>
      </c>
      <c r="D426" t="s">
        <v>47</v>
      </c>
      <c r="E426" t="s">
        <v>23</v>
      </c>
      <c r="F426">
        <v>46</v>
      </c>
      <c r="G426" t="s">
        <v>20</v>
      </c>
      <c r="H426">
        <v>3</v>
      </c>
      <c r="I426">
        <v>30</v>
      </c>
      <c r="J426">
        <v>14.1</v>
      </c>
      <c r="K426">
        <v>90</v>
      </c>
      <c r="L426">
        <v>75.900000000000006</v>
      </c>
      <c r="M426">
        <v>0.84333333333333338</v>
      </c>
      <c r="N426" t="s">
        <v>21</v>
      </c>
    </row>
    <row r="427" spans="1:14">
      <c r="A427">
        <v>1973</v>
      </c>
      <c r="B427" s="4">
        <v>45157</v>
      </c>
      <c r="C427" s="5">
        <v>0.4236111111111111</v>
      </c>
      <c r="D427" t="s">
        <v>73</v>
      </c>
      <c r="E427" t="s">
        <v>16</v>
      </c>
      <c r="F427">
        <v>60</v>
      </c>
      <c r="G427" t="s">
        <v>17</v>
      </c>
      <c r="H427">
        <v>1</v>
      </c>
      <c r="I427">
        <v>50</v>
      </c>
      <c r="J427">
        <v>21.5</v>
      </c>
      <c r="K427">
        <v>50</v>
      </c>
      <c r="L427">
        <v>28.5</v>
      </c>
      <c r="M427">
        <v>0.56999999999999995</v>
      </c>
      <c r="N427" t="s">
        <v>28</v>
      </c>
    </row>
    <row r="428" spans="1:14">
      <c r="A428">
        <v>1978</v>
      </c>
      <c r="B428" s="4">
        <v>45169</v>
      </c>
      <c r="C428" s="5">
        <v>0.49930555555555556</v>
      </c>
      <c r="D428" t="s">
        <v>77</v>
      </c>
      <c r="E428" t="s">
        <v>23</v>
      </c>
      <c r="F428">
        <v>53</v>
      </c>
      <c r="G428" t="s">
        <v>17</v>
      </c>
      <c r="H428">
        <v>3</v>
      </c>
      <c r="I428">
        <v>50</v>
      </c>
      <c r="J428">
        <v>15.5</v>
      </c>
      <c r="K428">
        <v>150</v>
      </c>
      <c r="L428">
        <v>134.5</v>
      </c>
      <c r="M428">
        <v>0.89666666666666661</v>
      </c>
      <c r="N428" t="s">
        <v>21</v>
      </c>
    </row>
    <row r="429" spans="1:14">
      <c r="A429">
        <v>33</v>
      </c>
      <c r="B429" s="4">
        <v>45284</v>
      </c>
      <c r="C429" s="5">
        <v>0.31944444444444442</v>
      </c>
      <c r="D429" t="s">
        <v>86</v>
      </c>
      <c r="E429" t="s">
        <v>23</v>
      </c>
      <c r="F429">
        <v>50</v>
      </c>
      <c r="G429" t="s">
        <v>30</v>
      </c>
      <c r="H429">
        <v>2</v>
      </c>
      <c r="I429">
        <v>50</v>
      </c>
      <c r="J429">
        <v>21</v>
      </c>
      <c r="K429">
        <v>100</v>
      </c>
      <c r="L429">
        <v>79</v>
      </c>
      <c r="M429">
        <v>0.79</v>
      </c>
      <c r="N429" t="s">
        <v>21</v>
      </c>
    </row>
    <row r="430" spans="1:14">
      <c r="A430">
        <v>138</v>
      </c>
      <c r="B430" s="4">
        <v>45043</v>
      </c>
      <c r="C430" s="5">
        <v>0.45555555555555555</v>
      </c>
      <c r="D430" t="s">
        <v>128</v>
      </c>
      <c r="E430" t="s">
        <v>16</v>
      </c>
      <c r="F430">
        <v>49</v>
      </c>
      <c r="G430" t="s">
        <v>17</v>
      </c>
      <c r="H430">
        <v>4</v>
      </c>
      <c r="I430">
        <v>50</v>
      </c>
      <c r="J430">
        <v>26.5</v>
      </c>
      <c r="K430">
        <v>200</v>
      </c>
      <c r="L430">
        <v>173.5</v>
      </c>
      <c r="M430">
        <v>0.86750000000000005</v>
      </c>
      <c r="N430" t="s">
        <v>21</v>
      </c>
    </row>
    <row r="431" spans="1:14">
      <c r="A431">
        <v>471</v>
      </c>
      <c r="B431" s="4">
        <v>44993</v>
      </c>
      <c r="C431" s="5">
        <v>0.43125000000000002</v>
      </c>
      <c r="D431" t="s">
        <v>113</v>
      </c>
      <c r="E431" t="s">
        <v>16</v>
      </c>
      <c r="F431">
        <v>32</v>
      </c>
      <c r="G431" t="s">
        <v>17</v>
      </c>
      <c r="H431">
        <v>3</v>
      </c>
      <c r="I431">
        <v>50</v>
      </c>
      <c r="J431">
        <v>13</v>
      </c>
      <c r="K431">
        <v>150</v>
      </c>
      <c r="L431">
        <v>137</v>
      </c>
      <c r="M431">
        <v>0.91333333333333333</v>
      </c>
      <c r="N431" t="s">
        <v>39</v>
      </c>
    </row>
    <row r="432" spans="1:14">
      <c r="A432">
        <v>636</v>
      </c>
      <c r="B432" s="4">
        <v>45055</v>
      </c>
      <c r="C432" s="5">
        <v>0.26041666666666669</v>
      </c>
      <c r="D432" t="s">
        <v>137</v>
      </c>
      <c r="E432" t="s">
        <v>23</v>
      </c>
      <c r="F432">
        <v>21</v>
      </c>
      <c r="G432" t="s">
        <v>20</v>
      </c>
      <c r="H432">
        <v>3</v>
      </c>
      <c r="I432">
        <v>500</v>
      </c>
      <c r="J432">
        <v>230</v>
      </c>
      <c r="K432">
        <v>1500</v>
      </c>
      <c r="L432">
        <v>1270</v>
      </c>
      <c r="M432">
        <v>0.84666666666666668</v>
      </c>
      <c r="N432" t="s">
        <v>31</v>
      </c>
    </row>
    <row r="433" spans="1:14">
      <c r="A433">
        <v>1033</v>
      </c>
      <c r="B433" s="4">
        <v>45028</v>
      </c>
      <c r="C433" s="5">
        <v>0.28611111111111109</v>
      </c>
      <c r="D433" t="s">
        <v>146</v>
      </c>
      <c r="E433" t="s">
        <v>23</v>
      </c>
      <c r="F433">
        <v>50</v>
      </c>
      <c r="G433" t="s">
        <v>30</v>
      </c>
      <c r="H433">
        <v>2</v>
      </c>
      <c r="I433">
        <v>50</v>
      </c>
      <c r="J433">
        <v>19</v>
      </c>
      <c r="K433">
        <v>100</v>
      </c>
      <c r="L433">
        <v>81</v>
      </c>
      <c r="M433">
        <v>0.81</v>
      </c>
      <c r="N433" t="s">
        <v>21</v>
      </c>
    </row>
    <row r="434" spans="1:14">
      <c r="A434">
        <v>1138</v>
      </c>
      <c r="B434" s="4">
        <v>45215</v>
      </c>
      <c r="C434" s="5">
        <v>0.49930555555555556</v>
      </c>
      <c r="D434" t="s">
        <v>110</v>
      </c>
      <c r="E434" t="s">
        <v>16</v>
      </c>
      <c r="F434">
        <v>49</v>
      </c>
      <c r="G434" t="s">
        <v>17</v>
      </c>
      <c r="H434">
        <v>4</v>
      </c>
      <c r="I434">
        <v>50</v>
      </c>
      <c r="J434">
        <v>14.5</v>
      </c>
      <c r="K434">
        <v>200</v>
      </c>
      <c r="L434">
        <v>185.5</v>
      </c>
      <c r="M434">
        <v>0.92749999999999999</v>
      </c>
      <c r="N434" t="s">
        <v>21</v>
      </c>
    </row>
    <row r="435" spans="1:14">
      <c r="A435">
        <v>1471</v>
      </c>
      <c r="B435" s="4">
        <v>45102</v>
      </c>
      <c r="C435" s="5">
        <v>0.44027777777777777</v>
      </c>
      <c r="D435" t="s">
        <v>152</v>
      </c>
      <c r="E435" t="s">
        <v>16</v>
      </c>
      <c r="F435">
        <v>32</v>
      </c>
      <c r="G435" t="s">
        <v>17</v>
      </c>
      <c r="H435">
        <v>3</v>
      </c>
      <c r="I435">
        <v>50</v>
      </c>
      <c r="J435">
        <v>13</v>
      </c>
      <c r="K435">
        <v>150</v>
      </c>
      <c r="L435">
        <v>137</v>
      </c>
      <c r="M435">
        <v>0.91333333333333333</v>
      </c>
      <c r="N435" t="s">
        <v>39</v>
      </c>
    </row>
    <row r="436" spans="1:14">
      <c r="A436">
        <v>1636</v>
      </c>
      <c r="B436" s="4">
        <v>45129</v>
      </c>
      <c r="C436" s="5">
        <v>0.47638888888888886</v>
      </c>
      <c r="D436" t="s">
        <v>42</v>
      </c>
      <c r="E436" t="s">
        <v>23</v>
      </c>
      <c r="F436">
        <v>21</v>
      </c>
      <c r="G436" t="s">
        <v>20</v>
      </c>
      <c r="H436">
        <v>3</v>
      </c>
      <c r="I436">
        <v>500</v>
      </c>
      <c r="J436">
        <v>150</v>
      </c>
      <c r="K436">
        <v>1500</v>
      </c>
      <c r="L436">
        <v>1350</v>
      </c>
      <c r="M436">
        <v>0.9</v>
      </c>
      <c r="N436" t="s">
        <v>31</v>
      </c>
    </row>
    <row r="437" spans="1:14">
      <c r="A437">
        <v>177</v>
      </c>
      <c r="B437" s="4">
        <v>45009</v>
      </c>
      <c r="C437" s="5">
        <v>0.3611111111111111</v>
      </c>
      <c r="D437" t="s">
        <v>152</v>
      </c>
      <c r="E437" t="s">
        <v>16</v>
      </c>
      <c r="F437">
        <v>45</v>
      </c>
      <c r="G437" t="s">
        <v>20</v>
      </c>
      <c r="H437">
        <v>2</v>
      </c>
      <c r="I437">
        <v>50</v>
      </c>
      <c r="J437">
        <v>26.5</v>
      </c>
      <c r="K437">
        <v>100</v>
      </c>
      <c r="L437">
        <v>73.5</v>
      </c>
      <c r="M437">
        <v>0.73499999999999999</v>
      </c>
      <c r="N437" t="s">
        <v>18</v>
      </c>
    </row>
    <row r="438" spans="1:14">
      <c r="A438">
        <v>426</v>
      </c>
      <c r="B438" s="4">
        <v>45273</v>
      </c>
      <c r="C438" s="5">
        <v>0.34097222222222223</v>
      </c>
      <c r="D438" t="s">
        <v>38</v>
      </c>
      <c r="E438" t="s">
        <v>16</v>
      </c>
      <c r="F438">
        <v>23</v>
      </c>
      <c r="G438" t="s">
        <v>30</v>
      </c>
      <c r="H438">
        <v>3</v>
      </c>
      <c r="I438">
        <v>50</v>
      </c>
      <c r="J438">
        <v>12.5</v>
      </c>
      <c r="K438">
        <v>150</v>
      </c>
      <c r="L438">
        <v>137.5</v>
      </c>
      <c r="M438">
        <v>0.91666666666666663</v>
      </c>
      <c r="N438" t="s">
        <v>31</v>
      </c>
    </row>
    <row r="439" spans="1:14">
      <c r="A439">
        <v>1177</v>
      </c>
      <c r="B439" s="4">
        <v>44977</v>
      </c>
      <c r="C439" s="5">
        <v>0.38819444444444445</v>
      </c>
      <c r="D439" t="s">
        <v>53</v>
      </c>
      <c r="E439" t="s">
        <v>16</v>
      </c>
      <c r="F439">
        <v>45</v>
      </c>
      <c r="G439" t="s">
        <v>20</v>
      </c>
      <c r="H439">
        <v>2</v>
      </c>
      <c r="I439">
        <v>50</v>
      </c>
      <c r="J439">
        <v>15</v>
      </c>
      <c r="K439">
        <v>100</v>
      </c>
      <c r="L439">
        <v>85</v>
      </c>
      <c r="M439">
        <v>0.85</v>
      </c>
      <c r="N439" t="s">
        <v>18</v>
      </c>
    </row>
    <row r="440" spans="1:14">
      <c r="A440">
        <v>1426</v>
      </c>
      <c r="B440" s="4">
        <v>45272</v>
      </c>
      <c r="C440" s="5">
        <v>0.48055555555555557</v>
      </c>
      <c r="D440" t="s">
        <v>69</v>
      </c>
      <c r="E440" t="s">
        <v>16</v>
      </c>
      <c r="F440">
        <v>23</v>
      </c>
      <c r="G440" t="s">
        <v>30</v>
      </c>
      <c r="H440">
        <v>3</v>
      </c>
      <c r="I440">
        <v>50</v>
      </c>
      <c r="J440">
        <v>25</v>
      </c>
      <c r="K440">
        <v>150</v>
      </c>
      <c r="L440">
        <v>125</v>
      </c>
      <c r="M440">
        <v>0.83333333333333337</v>
      </c>
      <c r="N440" t="s">
        <v>31</v>
      </c>
    </row>
    <row r="441" spans="1:14">
      <c r="A441">
        <v>76</v>
      </c>
      <c r="B441" s="4">
        <v>45178</v>
      </c>
      <c r="C441" s="5">
        <v>0.31458333333333333</v>
      </c>
      <c r="D441" t="s">
        <v>144</v>
      </c>
      <c r="E441" t="s">
        <v>23</v>
      </c>
      <c r="F441">
        <v>22</v>
      </c>
      <c r="G441" t="s">
        <v>30</v>
      </c>
      <c r="H441">
        <v>2</v>
      </c>
      <c r="I441">
        <v>50</v>
      </c>
      <c r="J441">
        <v>14.5</v>
      </c>
      <c r="K441">
        <v>100</v>
      </c>
      <c r="L441">
        <v>85.5</v>
      </c>
      <c r="M441">
        <v>0.85499999999999998</v>
      </c>
      <c r="N441" t="s">
        <v>31</v>
      </c>
    </row>
    <row r="442" spans="1:14">
      <c r="A442">
        <v>91</v>
      </c>
      <c r="B442" s="4">
        <v>45030</v>
      </c>
      <c r="C442" s="5">
        <v>0.27152777777777776</v>
      </c>
      <c r="D442" t="s">
        <v>79</v>
      </c>
      <c r="E442" t="s">
        <v>23</v>
      </c>
      <c r="F442">
        <v>55</v>
      </c>
      <c r="G442" t="s">
        <v>30</v>
      </c>
      <c r="H442">
        <v>1</v>
      </c>
      <c r="I442">
        <v>500</v>
      </c>
      <c r="J442">
        <v>235</v>
      </c>
      <c r="K442">
        <v>500</v>
      </c>
      <c r="L442">
        <v>265</v>
      </c>
      <c r="M442">
        <v>0.53</v>
      </c>
      <c r="N442" t="s">
        <v>21</v>
      </c>
    </row>
    <row r="443" spans="1:14">
      <c r="A443">
        <v>461</v>
      </c>
      <c r="B443" s="4">
        <v>45125</v>
      </c>
      <c r="C443" s="5">
        <v>0.43958333333333333</v>
      </c>
      <c r="D443" t="s">
        <v>129</v>
      </c>
      <c r="E443" t="s">
        <v>23</v>
      </c>
      <c r="F443">
        <v>18</v>
      </c>
      <c r="G443" t="s">
        <v>20</v>
      </c>
      <c r="H443">
        <v>2</v>
      </c>
      <c r="I443">
        <v>500</v>
      </c>
      <c r="J443">
        <v>265</v>
      </c>
      <c r="K443">
        <v>1000</v>
      </c>
      <c r="L443">
        <v>735</v>
      </c>
      <c r="M443">
        <v>0.73499999999999999</v>
      </c>
      <c r="N443" t="s">
        <v>31</v>
      </c>
    </row>
    <row r="444" spans="1:14">
      <c r="A444">
        <v>764</v>
      </c>
      <c r="B444" s="4">
        <v>45237</v>
      </c>
      <c r="C444" s="5">
        <v>0.36527777777777776</v>
      </c>
      <c r="D444" t="s">
        <v>84</v>
      </c>
      <c r="E444" t="s">
        <v>23</v>
      </c>
      <c r="F444">
        <v>40</v>
      </c>
      <c r="G444" t="s">
        <v>17</v>
      </c>
      <c r="H444">
        <v>1</v>
      </c>
      <c r="I444">
        <v>25</v>
      </c>
      <c r="J444">
        <v>11.25</v>
      </c>
      <c r="K444">
        <v>25</v>
      </c>
      <c r="L444">
        <v>13.75</v>
      </c>
      <c r="M444">
        <v>0.55000000000000004</v>
      </c>
      <c r="N444" t="s">
        <v>18</v>
      </c>
    </row>
    <row r="445" spans="1:14">
      <c r="A445">
        <v>1076</v>
      </c>
      <c r="B445" s="4">
        <v>45121</v>
      </c>
      <c r="C445" s="5">
        <v>0.46458333333333335</v>
      </c>
      <c r="D445" t="s">
        <v>149</v>
      </c>
      <c r="E445" t="s">
        <v>23</v>
      </c>
      <c r="F445">
        <v>22</v>
      </c>
      <c r="G445" t="s">
        <v>30</v>
      </c>
      <c r="H445">
        <v>2</v>
      </c>
      <c r="I445">
        <v>50</v>
      </c>
      <c r="J445">
        <v>15</v>
      </c>
      <c r="K445">
        <v>100</v>
      </c>
      <c r="L445">
        <v>85</v>
      </c>
      <c r="M445">
        <v>0.85</v>
      </c>
      <c r="N445" t="s">
        <v>31</v>
      </c>
    </row>
    <row r="446" spans="1:14">
      <c r="A446">
        <v>1091</v>
      </c>
      <c r="B446" s="4">
        <v>45122</v>
      </c>
      <c r="C446" s="5">
        <v>0.36527777777777776</v>
      </c>
      <c r="D446" t="s">
        <v>104</v>
      </c>
      <c r="E446" t="s">
        <v>23</v>
      </c>
      <c r="F446">
        <v>55</v>
      </c>
      <c r="G446" t="s">
        <v>30</v>
      </c>
      <c r="H446">
        <v>1</v>
      </c>
      <c r="I446">
        <v>500</v>
      </c>
      <c r="J446">
        <v>235</v>
      </c>
      <c r="K446">
        <v>500</v>
      </c>
      <c r="L446">
        <v>265</v>
      </c>
      <c r="M446">
        <v>0.53</v>
      </c>
      <c r="N446" t="s">
        <v>21</v>
      </c>
    </row>
    <row r="447" spans="1:14">
      <c r="A447">
        <v>1461</v>
      </c>
      <c r="B447" s="4">
        <v>45047</v>
      </c>
      <c r="C447" s="5">
        <v>0.36319444444444443</v>
      </c>
      <c r="D447" t="s">
        <v>138</v>
      </c>
      <c r="E447" t="s">
        <v>23</v>
      </c>
      <c r="F447">
        <v>18</v>
      </c>
      <c r="G447" t="s">
        <v>20</v>
      </c>
      <c r="H447">
        <v>2</v>
      </c>
      <c r="I447">
        <v>500</v>
      </c>
      <c r="J447">
        <v>180</v>
      </c>
      <c r="K447">
        <v>1000</v>
      </c>
      <c r="L447">
        <v>820</v>
      </c>
      <c r="M447">
        <v>0.82</v>
      </c>
      <c r="N447" t="s">
        <v>31</v>
      </c>
    </row>
    <row r="448" spans="1:14">
      <c r="A448">
        <v>1764</v>
      </c>
      <c r="B448" s="4">
        <v>45232</v>
      </c>
      <c r="C448" s="5">
        <v>0.46111111111111114</v>
      </c>
      <c r="D448" t="s">
        <v>120</v>
      </c>
      <c r="E448" t="s">
        <v>23</v>
      </c>
      <c r="F448">
        <v>40</v>
      </c>
      <c r="G448" t="s">
        <v>17</v>
      </c>
      <c r="H448">
        <v>1</v>
      </c>
      <c r="I448">
        <v>25</v>
      </c>
      <c r="J448">
        <v>11.75</v>
      </c>
      <c r="K448">
        <v>25</v>
      </c>
      <c r="L448">
        <v>13.25</v>
      </c>
      <c r="M448">
        <v>0.53</v>
      </c>
      <c r="N448" t="s">
        <v>18</v>
      </c>
    </row>
    <row r="449" spans="1:14">
      <c r="A449">
        <v>202</v>
      </c>
      <c r="B449" s="4">
        <v>44951</v>
      </c>
      <c r="C449" s="5">
        <v>0.26666666666666666</v>
      </c>
      <c r="D449" t="s">
        <v>89</v>
      </c>
      <c r="E449" t="s">
        <v>23</v>
      </c>
      <c r="F449">
        <v>34</v>
      </c>
      <c r="G449" t="s">
        <v>17</v>
      </c>
      <c r="H449">
        <v>4</v>
      </c>
      <c r="I449">
        <v>300</v>
      </c>
      <c r="J449">
        <v>120</v>
      </c>
      <c r="K449">
        <v>1200</v>
      </c>
      <c r="L449">
        <v>1080</v>
      </c>
      <c r="M449">
        <v>0.9</v>
      </c>
      <c r="N449" t="s">
        <v>39</v>
      </c>
    </row>
    <row r="450" spans="1:14">
      <c r="A450">
        <v>301</v>
      </c>
      <c r="B450" s="4">
        <v>45137</v>
      </c>
      <c r="C450" s="5">
        <v>0.45694444444444443</v>
      </c>
      <c r="D450" t="s">
        <v>100</v>
      </c>
      <c r="E450" t="s">
        <v>16</v>
      </c>
      <c r="F450">
        <v>30</v>
      </c>
      <c r="G450" t="s">
        <v>17</v>
      </c>
      <c r="H450">
        <v>4</v>
      </c>
      <c r="I450">
        <v>30</v>
      </c>
      <c r="J450">
        <v>9.6</v>
      </c>
      <c r="K450">
        <v>120</v>
      </c>
      <c r="L450">
        <v>110.4</v>
      </c>
      <c r="M450">
        <v>0.92</v>
      </c>
      <c r="N450" t="s">
        <v>39</v>
      </c>
    </row>
    <row r="451" spans="1:14">
      <c r="A451">
        <v>703</v>
      </c>
      <c r="B451" s="4">
        <v>45138</v>
      </c>
      <c r="C451" s="5">
        <v>0.41388888888888886</v>
      </c>
      <c r="D451" t="s">
        <v>168</v>
      </c>
      <c r="E451" t="s">
        <v>16</v>
      </c>
      <c r="F451">
        <v>34</v>
      </c>
      <c r="G451" t="s">
        <v>30</v>
      </c>
      <c r="H451">
        <v>2</v>
      </c>
      <c r="I451">
        <v>50</v>
      </c>
      <c r="J451">
        <v>18.5</v>
      </c>
      <c r="K451">
        <v>100</v>
      </c>
      <c r="L451">
        <v>81.5</v>
      </c>
      <c r="M451">
        <v>0.81499999999999995</v>
      </c>
      <c r="N451" t="s">
        <v>39</v>
      </c>
    </row>
    <row r="452" spans="1:14">
      <c r="A452">
        <v>1202</v>
      </c>
      <c r="B452" s="4">
        <v>45243</v>
      </c>
      <c r="C452" s="5">
        <v>0.28888888888888886</v>
      </c>
      <c r="D452" t="s">
        <v>53</v>
      </c>
      <c r="E452" t="s">
        <v>23</v>
      </c>
      <c r="F452">
        <v>34</v>
      </c>
      <c r="G452" t="s">
        <v>17</v>
      </c>
      <c r="H452">
        <v>4</v>
      </c>
      <c r="I452">
        <v>300</v>
      </c>
      <c r="J452">
        <v>144</v>
      </c>
      <c r="K452">
        <v>1200</v>
      </c>
      <c r="L452">
        <v>1056</v>
      </c>
      <c r="M452">
        <v>0.88</v>
      </c>
      <c r="N452" t="s">
        <v>39</v>
      </c>
    </row>
    <row r="453" spans="1:14">
      <c r="A453">
        <v>1301</v>
      </c>
      <c r="B453" s="4">
        <v>45193</v>
      </c>
      <c r="C453" s="5">
        <v>0.4152777777777778</v>
      </c>
      <c r="D453" t="s">
        <v>144</v>
      </c>
      <c r="E453" t="s">
        <v>16</v>
      </c>
      <c r="F453">
        <v>30</v>
      </c>
      <c r="G453" t="s">
        <v>17</v>
      </c>
      <c r="H453">
        <v>4</v>
      </c>
      <c r="I453">
        <v>30</v>
      </c>
      <c r="J453">
        <v>10.5</v>
      </c>
      <c r="K453">
        <v>120</v>
      </c>
      <c r="L453">
        <v>109.5</v>
      </c>
      <c r="M453">
        <v>0.91249999999999998</v>
      </c>
      <c r="N453" t="s">
        <v>39</v>
      </c>
    </row>
    <row r="454" spans="1:14">
      <c r="A454">
        <v>1703</v>
      </c>
      <c r="B454" s="4">
        <v>45087</v>
      </c>
      <c r="C454" s="5">
        <v>0.35833333333333334</v>
      </c>
      <c r="D454" t="s">
        <v>124</v>
      </c>
      <c r="E454" t="s">
        <v>16</v>
      </c>
      <c r="F454">
        <v>34</v>
      </c>
      <c r="G454" t="s">
        <v>30</v>
      </c>
      <c r="H454">
        <v>2</v>
      </c>
      <c r="I454">
        <v>50</v>
      </c>
      <c r="J454">
        <v>17</v>
      </c>
      <c r="K454">
        <v>100</v>
      </c>
      <c r="L454">
        <v>83</v>
      </c>
      <c r="M454">
        <v>0.83</v>
      </c>
      <c r="N454" t="s">
        <v>39</v>
      </c>
    </row>
    <row r="455" spans="1:14">
      <c r="A455">
        <v>294</v>
      </c>
      <c r="B455" s="4">
        <v>45208</v>
      </c>
      <c r="C455" s="5">
        <v>0.39166666666666666</v>
      </c>
      <c r="D455" t="s">
        <v>53</v>
      </c>
      <c r="E455" t="s">
        <v>23</v>
      </c>
      <c r="F455">
        <v>23</v>
      </c>
      <c r="G455" t="s">
        <v>17</v>
      </c>
      <c r="H455">
        <v>3</v>
      </c>
      <c r="I455">
        <v>30</v>
      </c>
      <c r="J455">
        <v>15.3</v>
      </c>
      <c r="K455">
        <v>90</v>
      </c>
      <c r="L455">
        <v>74.7</v>
      </c>
      <c r="M455">
        <v>0.83000000000000007</v>
      </c>
      <c r="N455" t="s">
        <v>31</v>
      </c>
    </row>
    <row r="456" spans="1:14">
      <c r="A456">
        <v>760</v>
      </c>
      <c r="B456" s="4">
        <v>45103</v>
      </c>
      <c r="C456" s="5">
        <v>0.33263888888888887</v>
      </c>
      <c r="D456" t="s">
        <v>160</v>
      </c>
      <c r="E456" t="s">
        <v>16</v>
      </c>
      <c r="F456">
        <v>27</v>
      </c>
      <c r="G456" t="s">
        <v>20</v>
      </c>
      <c r="H456">
        <v>1</v>
      </c>
      <c r="I456">
        <v>500</v>
      </c>
      <c r="J456">
        <v>125</v>
      </c>
      <c r="K456">
        <v>500</v>
      </c>
      <c r="L456">
        <v>375</v>
      </c>
      <c r="M456">
        <v>0.75</v>
      </c>
      <c r="N456" t="s">
        <v>39</v>
      </c>
    </row>
    <row r="457" spans="1:14">
      <c r="A457">
        <v>1294</v>
      </c>
      <c r="B457" s="4">
        <v>44950</v>
      </c>
      <c r="C457" s="5">
        <v>0.47499999999999998</v>
      </c>
      <c r="D457" t="s">
        <v>85</v>
      </c>
      <c r="E457" t="s">
        <v>23</v>
      </c>
      <c r="F457">
        <v>23</v>
      </c>
      <c r="G457" t="s">
        <v>17</v>
      </c>
      <c r="H457">
        <v>3</v>
      </c>
      <c r="I457">
        <v>30</v>
      </c>
      <c r="J457">
        <v>10.5</v>
      </c>
      <c r="K457">
        <v>90</v>
      </c>
      <c r="L457">
        <v>79.5</v>
      </c>
      <c r="M457">
        <v>0.8833333333333333</v>
      </c>
      <c r="N457" t="s">
        <v>31</v>
      </c>
    </row>
    <row r="458" spans="1:14">
      <c r="A458">
        <v>1760</v>
      </c>
      <c r="B458" s="4">
        <v>45161</v>
      </c>
      <c r="C458" s="5">
        <v>0.30972222222222223</v>
      </c>
      <c r="D458" t="s">
        <v>76</v>
      </c>
      <c r="E458" t="s">
        <v>16</v>
      </c>
      <c r="F458">
        <v>27</v>
      </c>
      <c r="G458" t="s">
        <v>20</v>
      </c>
      <c r="H458">
        <v>1</v>
      </c>
      <c r="I458">
        <v>500</v>
      </c>
      <c r="J458">
        <v>230</v>
      </c>
      <c r="K458">
        <v>500</v>
      </c>
      <c r="L458">
        <v>270</v>
      </c>
      <c r="M458">
        <v>0.54</v>
      </c>
      <c r="N458" t="s">
        <v>39</v>
      </c>
    </row>
    <row r="459" spans="1:14">
      <c r="A459">
        <v>575</v>
      </c>
      <c r="B459" s="4">
        <v>45272</v>
      </c>
      <c r="C459" s="5">
        <v>0.43680555555555556</v>
      </c>
      <c r="D459" t="s">
        <v>160</v>
      </c>
      <c r="E459" t="s">
        <v>16</v>
      </c>
      <c r="F459">
        <v>60</v>
      </c>
      <c r="G459" t="s">
        <v>17</v>
      </c>
      <c r="H459">
        <v>2</v>
      </c>
      <c r="I459">
        <v>50</v>
      </c>
      <c r="J459">
        <v>23</v>
      </c>
      <c r="K459">
        <v>100</v>
      </c>
      <c r="L459">
        <v>77</v>
      </c>
      <c r="M459">
        <v>0.77</v>
      </c>
      <c r="N459" t="s">
        <v>28</v>
      </c>
    </row>
    <row r="460" spans="1:14">
      <c r="A460">
        <v>1575</v>
      </c>
      <c r="B460" s="4">
        <v>45135</v>
      </c>
      <c r="C460" s="5">
        <v>0.49583333333333335</v>
      </c>
      <c r="D460" t="s">
        <v>112</v>
      </c>
      <c r="E460" t="s">
        <v>16</v>
      </c>
      <c r="F460">
        <v>60</v>
      </c>
      <c r="G460" t="s">
        <v>17</v>
      </c>
      <c r="H460">
        <v>2</v>
      </c>
      <c r="I460">
        <v>50</v>
      </c>
      <c r="J460">
        <v>22.5</v>
      </c>
      <c r="K460">
        <v>100</v>
      </c>
      <c r="L460">
        <v>77.5</v>
      </c>
      <c r="M460">
        <v>0.77500000000000002</v>
      </c>
      <c r="N460" t="s">
        <v>28</v>
      </c>
    </row>
    <row r="461" spans="1:14">
      <c r="A461">
        <v>88</v>
      </c>
      <c r="B461" s="4">
        <v>44973</v>
      </c>
      <c r="C461" s="5">
        <v>0.35486111111111113</v>
      </c>
      <c r="D461" t="s">
        <v>106</v>
      </c>
      <c r="E461" t="s">
        <v>16</v>
      </c>
      <c r="F461">
        <v>56</v>
      </c>
      <c r="G461" t="s">
        <v>17</v>
      </c>
      <c r="H461">
        <v>1</v>
      </c>
      <c r="I461">
        <v>500</v>
      </c>
      <c r="J461">
        <v>185</v>
      </c>
      <c r="K461">
        <v>500</v>
      </c>
      <c r="L461">
        <v>315</v>
      </c>
      <c r="M461">
        <v>0.63</v>
      </c>
      <c r="N461" t="s">
        <v>28</v>
      </c>
    </row>
    <row r="462" spans="1:14">
      <c r="A462">
        <v>1088</v>
      </c>
      <c r="B462" s="4">
        <v>45183</v>
      </c>
      <c r="C462" s="5">
        <v>0.29166666666666669</v>
      </c>
      <c r="D462" t="s">
        <v>33</v>
      </c>
      <c r="E462" t="s">
        <v>16</v>
      </c>
      <c r="F462">
        <v>56</v>
      </c>
      <c r="G462" t="s">
        <v>17</v>
      </c>
      <c r="H462">
        <v>1</v>
      </c>
      <c r="I462">
        <v>500</v>
      </c>
      <c r="J462">
        <v>155</v>
      </c>
      <c r="K462">
        <v>500</v>
      </c>
      <c r="L462">
        <v>345</v>
      </c>
      <c r="M462">
        <v>0.69</v>
      </c>
      <c r="N462" t="s">
        <v>28</v>
      </c>
    </row>
    <row r="463" spans="1:14">
      <c r="A463">
        <v>975</v>
      </c>
      <c r="B463" s="4">
        <v>44935</v>
      </c>
      <c r="C463" s="5">
        <v>0.32013888888888886</v>
      </c>
      <c r="D463" t="s">
        <v>61</v>
      </c>
      <c r="E463" t="s">
        <v>23</v>
      </c>
      <c r="F463">
        <v>56</v>
      </c>
      <c r="G463" t="s">
        <v>17</v>
      </c>
      <c r="H463">
        <v>4</v>
      </c>
      <c r="I463">
        <v>50</v>
      </c>
      <c r="J463">
        <v>19.5</v>
      </c>
      <c r="K463">
        <v>200</v>
      </c>
      <c r="L463">
        <v>180.5</v>
      </c>
      <c r="M463">
        <v>0.90249999999999997</v>
      </c>
      <c r="N463" t="s">
        <v>28</v>
      </c>
    </row>
    <row r="464" spans="1:14">
      <c r="A464">
        <v>1975</v>
      </c>
      <c r="B464" s="4">
        <v>45159</v>
      </c>
      <c r="C464" s="5">
        <v>0.45</v>
      </c>
      <c r="D464" t="s">
        <v>138</v>
      </c>
      <c r="E464" t="s">
        <v>23</v>
      </c>
      <c r="F464">
        <v>56</v>
      </c>
      <c r="G464" t="s">
        <v>17</v>
      </c>
      <c r="H464">
        <v>4</v>
      </c>
      <c r="I464">
        <v>50</v>
      </c>
      <c r="J464">
        <v>25.5</v>
      </c>
      <c r="K464">
        <v>200</v>
      </c>
      <c r="L464">
        <v>174.5</v>
      </c>
      <c r="M464">
        <v>0.87250000000000005</v>
      </c>
      <c r="N464" t="s">
        <v>28</v>
      </c>
    </row>
    <row r="465" spans="1:14">
      <c r="A465">
        <v>553</v>
      </c>
      <c r="B465" s="4">
        <v>45005</v>
      </c>
      <c r="C465" s="5">
        <v>0.26180555555555557</v>
      </c>
      <c r="D465" t="s">
        <v>109</v>
      </c>
      <c r="E465" t="s">
        <v>16</v>
      </c>
      <c r="F465">
        <v>24</v>
      </c>
      <c r="G465" t="s">
        <v>17</v>
      </c>
      <c r="H465">
        <v>4</v>
      </c>
      <c r="I465">
        <v>300</v>
      </c>
      <c r="J465">
        <v>81</v>
      </c>
      <c r="K465">
        <v>1200</v>
      </c>
      <c r="L465">
        <v>1119</v>
      </c>
      <c r="M465">
        <v>0.9325</v>
      </c>
      <c r="N465" t="s">
        <v>31</v>
      </c>
    </row>
    <row r="466" spans="1:14">
      <c r="A466">
        <v>1553</v>
      </c>
      <c r="B466" s="4">
        <v>44955</v>
      </c>
      <c r="C466" s="5">
        <v>0.36527777777777776</v>
      </c>
      <c r="D466" t="s">
        <v>123</v>
      </c>
      <c r="E466" t="s">
        <v>16</v>
      </c>
      <c r="F466">
        <v>24</v>
      </c>
      <c r="G466" t="s">
        <v>17</v>
      </c>
      <c r="H466">
        <v>4</v>
      </c>
      <c r="I466">
        <v>300</v>
      </c>
      <c r="J466">
        <v>99</v>
      </c>
      <c r="K466">
        <v>1200</v>
      </c>
      <c r="L466">
        <v>1101</v>
      </c>
      <c r="M466">
        <v>0.91749999999999998</v>
      </c>
      <c r="N466" t="s">
        <v>31</v>
      </c>
    </row>
    <row r="467" spans="1:14">
      <c r="A467">
        <v>462</v>
      </c>
      <c r="B467" s="4">
        <v>45164</v>
      </c>
      <c r="C467" s="5">
        <v>0.41944444444444445</v>
      </c>
      <c r="D467" t="s">
        <v>67</v>
      </c>
      <c r="E467" t="s">
        <v>16</v>
      </c>
      <c r="F467">
        <v>63</v>
      </c>
      <c r="G467" t="s">
        <v>30</v>
      </c>
      <c r="H467">
        <v>4</v>
      </c>
      <c r="I467">
        <v>300</v>
      </c>
      <c r="J467">
        <v>132</v>
      </c>
      <c r="K467">
        <v>1200</v>
      </c>
      <c r="L467">
        <v>1068</v>
      </c>
      <c r="M467">
        <v>0.89</v>
      </c>
      <c r="N467" t="s">
        <v>28</v>
      </c>
    </row>
    <row r="468" spans="1:14">
      <c r="A468">
        <v>614</v>
      </c>
      <c r="B468" s="4">
        <v>44970</v>
      </c>
      <c r="C468" s="5">
        <v>0.26944444444444443</v>
      </c>
      <c r="D468" t="s">
        <v>89</v>
      </c>
      <c r="E468" t="s">
        <v>23</v>
      </c>
      <c r="F468">
        <v>39</v>
      </c>
      <c r="G468" t="s">
        <v>20</v>
      </c>
      <c r="H468">
        <v>4</v>
      </c>
      <c r="I468">
        <v>300</v>
      </c>
      <c r="J468">
        <v>120</v>
      </c>
      <c r="K468">
        <v>1200</v>
      </c>
      <c r="L468">
        <v>1080</v>
      </c>
      <c r="M468">
        <v>0.9</v>
      </c>
      <c r="N468" t="s">
        <v>18</v>
      </c>
    </row>
    <row r="469" spans="1:14">
      <c r="A469">
        <v>808</v>
      </c>
      <c r="B469" s="4">
        <v>45252</v>
      </c>
      <c r="C469" s="5">
        <v>0.30416666666666664</v>
      </c>
      <c r="D469" t="s">
        <v>152</v>
      </c>
      <c r="E469" t="s">
        <v>16</v>
      </c>
      <c r="F469">
        <v>33</v>
      </c>
      <c r="G469" t="s">
        <v>20</v>
      </c>
      <c r="H469">
        <v>4</v>
      </c>
      <c r="I469">
        <v>500</v>
      </c>
      <c r="J469">
        <v>195</v>
      </c>
      <c r="K469">
        <v>2000</v>
      </c>
      <c r="L469">
        <v>1805</v>
      </c>
      <c r="M469">
        <v>0.90249999999999997</v>
      </c>
      <c r="N469" t="s">
        <v>39</v>
      </c>
    </row>
    <row r="470" spans="1:14">
      <c r="A470">
        <v>1462</v>
      </c>
      <c r="B470" s="4">
        <v>45243</v>
      </c>
      <c r="C470" s="5">
        <v>0.44583333333333336</v>
      </c>
      <c r="D470" t="s">
        <v>153</v>
      </c>
      <c r="E470" t="s">
        <v>16</v>
      </c>
      <c r="F470">
        <v>63</v>
      </c>
      <c r="G470" t="s">
        <v>30</v>
      </c>
      <c r="H470">
        <v>4</v>
      </c>
      <c r="I470">
        <v>300</v>
      </c>
      <c r="J470">
        <v>114</v>
      </c>
      <c r="K470">
        <v>1200</v>
      </c>
      <c r="L470">
        <v>1086</v>
      </c>
      <c r="M470">
        <v>0.90500000000000003</v>
      </c>
      <c r="N470" t="s">
        <v>28</v>
      </c>
    </row>
    <row r="471" spans="1:14">
      <c r="A471">
        <v>1614</v>
      </c>
      <c r="B471" s="4">
        <v>45161</v>
      </c>
      <c r="C471" s="5">
        <v>0.48402777777777778</v>
      </c>
      <c r="D471" t="s">
        <v>71</v>
      </c>
      <c r="E471" t="s">
        <v>23</v>
      </c>
      <c r="F471">
        <v>39</v>
      </c>
      <c r="G471" t="s">
        <v>20</v>
      </c>
      <c r="H471">
        <v>4</v>
      </c>
      <c r="I471">
        <v>300</v>
      </c>
      <c r="J471">
        <v>105</v>
      </c>
      <c r="K471">
        <v>1200</v>
      </c>
      <c r="L471">
        <v>1095</v>
      </c>
      <c r="M471">
        <v>0.91249999999999998</v>
      </c>
      <c r="N471" t="s">
        <v>18</v>
      </c>
    </row>
    <row r="472" spans="1:14">
      <c r="A472">
        <v>1808</v>
      </c>
      <c r="B472" s="4">
        <v>44969</v>
      </c>
      <c r="C472" s="5">
        <v>0.45</v>
      </c>
      <c r="D472" t="s">
        <v>162</v>
      </c>
      <c r="E472" t="s">
        <v>16</v>
      </c>
      <c r="F472">
        <v>33</v>
      </c>
      <c r="G472" t="s">
        <v>20</v>
      </c>
      <c r="H472">
        <v>4</v>
      </c>
      <c r="I472">
        <v>500</v>
      </c>
      <c r="J472">
        <v>210</v>
      </c>
      <c r="K472">
        <v>2000</v>
      </c>
      <c r="L472">
        <v>1790</v>
      </c>
      <c r="M472">
        <v>0.89500000000000002</v>
      </c>
      <c r="N472" t="s">
        <v>39</v>
      </c>
    </row>
    <row r="473" spans="1:14">
      <c r="A473">
        <v>166</v>
      </c>
      <c r="B473" s="4">
        <v>44954</v>
      </c>
      <c r="C473" s="5">
        <v>0.48749999999999999</v>
      </c>
      <c r="D473" t="s">
        <v>146</v>
      </c>
      <c r="E473" t="s">
        <v>16</v>
      </c>
      <c r="F473">
        <v>34</v>
      </c>
      <c r="G473" t="s">
        <v>17</v>
      </c>
      <c r="H473">
        <v>4</v>
      </c>
      <c r="I473">
        <v>500</v>
      </c>
      <c r="J473">
        <v>225</v>
      </c>
      <c r="K473">
        <v>2000</v>
      </c>
      <c r="L473">
        <v>1775</v>
      </c>
      <c r="M473">
        <v>0.88749999999999996</v>
      </c>
      <c r="N473" t="s">
        <v>39</v>
      </c>
    </row>
    <row r="474" spans="1:14">
      <c r="A474">
        <v>465</v>
      </c>
      <c r="B474" s="4">
        <v>44979</v>
      </c>
      <c r="C474" s="5">
        <v>0.49444444444444446</v>
      </c>
      <c r="D474" t="s">
        <v>115</v>
      </c>
      <c r="E474" t="s">
        <v>23</v>
      </c>
      <c r="F474">
        <v>43</v>
      </c>
      <c r="G474" t="s">
        <v>30</v>
      </c>
      <c r="H474">
        <v>3</v>
      </c>
      <c r="I474">
        <v>50</v>
      </c>
      <c r="J474">
        <v>15.5</v>
      </c>
      <c r="K474">
        <v>150</v>
      </c>
      <c r="L474">
        <v>134.5</v>
      </c>
      <c r="M474">
        <v>0.89666666666666661</v>
      </c>
      <c r="N474" t="s">
        <v>18</v>
      </c>
    </row>
    <row r="475" spans="1:14">
      <c r="A475">
        <v>502</v>
      </c>
      <c r="B475" s="4">
        <v>45129</v>
      </c>
      <c r="C475" s="5">
        <v>0.45833333333333331</v>
      </c>
      <c r="D475" t="s">
        <v>99</v>
      </c>
      <c r="E475" t="s">
        <v>16</v>
      </c>
      <c r="F475">
        <v>43</v>
      </c>
      <c r="G475" t="s">
        <v>30</v>
      </c>
      <c r="H475">
        <v>3</v>
      </c>
      <c r="I475">
        <v>50</v>
      </c>
      <c r="J475">
        <v>22.5</v>
      </c>
      <c r="K475">
        <v>150</v>
      </c>
      <c r="L475">
        <v>127.5</v>
      </c>
      <c r="M475">
        <v>0.85</v>
      </c>
      <c r="N475" t="s">
        <v>18</v>
      </c>
    </row>
    <row r="476" spans="1:14">
      <c r="A476">
        <v>905</v>
      </c>
      <c r="B476" s="4">
        <v>45200</v>
      </c>
      <c r="C476" s="5">
        <v>0.26874999999999999</v>
      </c>
      <c r="D476" t="s">
        <v>157</v>
      </c>
      <c r="E476" t="s">
        <v>16</v>
      </c>
      <c r="F476">
        <v>58</v>
      </c>
      <c r="G476" t="s">
        <v>20</v>
      </c>
      <c r="H476">
        <v>1</v>
      </c>
      <c r="I476">
        <v>300</v>
      </c>
      <c r="J476">
        <v>111</v>
      </c>
      <c r="K476">
        <v>300</v>
      </c>
      <c r="L476">
        <v>189</v>
      </c>
      <c r="M476">
        <v>0.63</v>
      </c>
      <c r="N476" t="s">
        <v>28</v>
      </c>
    </row>
    <row r="477" spans="1:14">
      <c r="A477">
        <v>1166</v>
      </c>
      <c r="B477" s="4">
        <v>45126</v>
      </c>
      <c r="C477" s="5">
        <v>0.32291666666666669</v>
      </c>
      <c r="D477" t="s">
        <v>88</v>
      </c>
      <c r="E477" t="s">
        <v>16</v>
      </c>
      <c r="F477">
        <v>34</v>
      </c>
      <c r="G477" t="s">
        <v>17</v>
      </c>
      <c r="H477">
        <v>4</v>
      </c>
      <c r="I477">
        <v>500</v>
      </c>
      <c r="J477">
        <v>245</v>
      </c>
      <c r="K477">
        <v>2000</v>
      </c>
      <c r="L477">
        <v>1755</v>
      </c>
      <c r="M477">
        <v>0.87749999999999995</v>
      </c>
      <c r="N477" t="s">
        <v>39</v>
      </c>
    </row>
    <row r="478" spans="1:14">
      <c r="A478">
        <v>1465</v>
      </c>
      <c r="B478" s="4">
        <v>45033</v>
      </c>
      <c r="C478" s="5">
        <v>0.4</v>
      </c>
      <c r="D478" t="s">
        <v>161</v>
      </c>
      <c r="E478" t="s">
        <v>23</v>
      </c>
      <c r="F478">
        <v>43</v>
      </c>
      <c r="G478" t="s">
        <v>30</v>
      </c>
      <c r="H478">
        <v>3</v>
      </c>
      <c r="I478">
        <v>50</v>
      </c>
      <c r="J478">
        <v>26</v>
      </c>
      <c r="K478">
        <v>150</v>
      </c>
      <c r="L478">
        <v>124</v>
      </c>
      <c r="M478">
        <v>0.82666666666666666</v>
      </c>
      <c r="N478" t="s">
        <v>18</v>
      </c>
    </row>
    <row r="479" spans="1:14">
      <c r="A479">
        <v>1502</v>
      </c>
      <c r="B479" s="4">
        <v>45024</v>
      </c>
      <c r="C479" s="5">
        <v>0.35416666666666669</v>
      </c>
      <c r="D479" t="s">
        <v>79</v>
      </c>
      <c r="E479" t="s">
        <v>16</v>
      </c>
      <c r="F479">
        <v>43</v>
      </c>
      <c r="G479" t="s">
        <v>30</v>
      </c>
      <c r="H479">
        <v>3</v>
      </c>
      <c r="I479">
        <v>50</v>
      </c>
      <c r="J479">
        <v>18</v>
      </c>
      <c r="K479">
        <v>150</v>
      </c>
      <c r="L479">
        <v>132</v>
      </c>
      <c r="M479">
        <v>0.88</v>
      </c>
      <c r="N479" t="s">
        <v>18</v>
      </c>
    </row>
    <row r="480" spans="1:14">
      <c r="A480">
        <v>1905</v>
      </c>
      <c r="B480" s="4">
        <v>45167</v>
      </c>
      <c r="C480" s="5">
        <v>0.25486111111111109</v>
      </c>
      <c r="D480" t="s">
        <v>112</v>
      </c>
      <c r="E480" t="s">
        <v>16</v>
      </c>
      <c r="F480">
        <v>58</v>
      </c>
      <c r="G480" t="s">
        <v>20</v>
      </c>
      <c r="H480">
        <v>1</v>
      </c>
      <c r="I480">
        <v>300</v>
      </c>
      <c r="J480">
        <v>102</v>
      </c>
      <c r="K480">
        <v>300</v>
      </c>
      <c r="L480">
        <v>198</v>
      </c>
      <c r="M480">
        <v>0.66</v>
      </c>
      <c r="N480" t="s">
        <v>28</v>
      </c>
    </row>
    <row r="481" spans="1:14">
      <c r="A481">
        <v>280</v>
      </c>
      <c r="B481" s="4">
        <v>45247</v>
      </c>
      <c r="C481" s="5">
        <v>0.39930555555555558</v>
      </c>
      <c r="D481" t="s">
        <v>130</v>
      </c>
      <c r="E481" t="s">
        <v>23</v>
      </c>
      <c r="F481">
        <v>37</v>
      </c>
      <c r="G481" t="s">
        <v>17</v>
      </c>
      <c r="H481">
        <v>3</v>
      </c>
      <c r="I481">
        <v>500</v>
      </c>
      <c r="J481">
        <v>240</v>
      </c>
      <c r="K481">
        <v>1500</v>
      </c>
      <c r="L481">
        <v>1260</v>
      </c>
      <c r="M481">
        <v>0.84</v>
      </c>
      <c r="N481" t="s">
        <v>18</v>
      </c>
    </row>
    <row r="482" spans="1:14">
      <c r="A482">
        <v>719</v>
      </c>
      <c r="B482" s="4">
        <v>45109</v>
      </c>
      <c r="C482" s="5">
        <v>0.30486111111111114</v>
      </c>
      <c r="D482" t="s">
        <v>96</v>
      </c>
      <c r="E482" t="s">
        <v>23</v>
      </c>
      <c r="F482">
        <v>42</v>
      </c>
      <c r="G482" t="s">
        <v>17</v>
      </c>
      <c r="H482">
        <v>2</v>
      </c>
      <c r="I482">
        <v>30</v>
      </c>
      <c r="J482">
        <v>12</v>
      </c>
      <c r="K482">
        <v>60</v>
      </c>
      <c r="L482">
        <v>48</v>
      </c>
      <c r="M482">
        <v>0.8</v>
      </c>
      <c r="N482" t="s">
        <v>18</v>
      </c>
    </row>
    <row r="483" spans="1:14">
      <c r="A483">
        <v>834</v>
      </c>
      <c r="B483" s="4">
        <v>45256</v>
      </c>
      <c r="C483" s="5">
        <v>0.28819444444444442</v>
      </c>
      <c r="D483" t="s">
        <v>120</v>
      </c>
      <c r="E483" t="s">
        <v>23</v>
      </c>
      <c r="F483">
        <v>56</v>
      </c>
      <c r="G483" t="s">
        <v>20</v>
      </c>
      <c r="H483">
        <v>2</v>
      </c>
      <c r="I483">
        <v>30</v>
      </c>
      <c r="J483">
        <v>14.7</v>
      </c>
      <c r="K483">
        <v>60</v>
      </c>
      <c r="L483">
        <v>45.3</v>
      </c>
      <c r="M483">
        <v>0.755</v>
      </c>
      <c r="N483" t="s">
        <v>28</v>
      </c>
    </row>
    <row r="484" spans="1:14">
      <c r="A484">
        <v>1280</v>
      </c>
      <c r="B484" s="4">
        <v>45162</v>
      </c>
      <c r="C484" s="5">
        <v>0.38541666666666669</v>
      </c>
      <c r="D484" t="s">
        <v>57</v>
      </c>
      <c r="E484" t="s">
        <v>23</v>
      </c>
      <c r="F484">
        <v>37</v>
      </c>
      <c r="G484" t="s">
        <v>17</v>
      </c>
      <c r="H484">
        <v>3</v>
      </c>
      <c r="I484">
        <v>500</v>
      </c>
      <c r="J484">
        <v>255</v>
      </c>
      <c r="K484">
        <v>1500</v>
      </c>
      <c r="L484">
        <v>1245</v>
      </c>
      <c r="M484">
        <v>0.83</v>
      </c>
      <c r="N484" t="s">
        <v>18</v>
      </c>
    </row>
    <row r="485" spans="1:14">
      <c r="A485">
        <v>1719</v>
      </c>
      <c r="B485" s="4">
        <v>45288</v>
      </c>
      <c r="C485" s="5">
        <v>0.31180555555555556</v>
      </c>
      <c r="D485" t="s">
        <v>159</v>
      </c>
      <c r="E485" t="s">
        <v>23</v>
      </c>
      <c r="F485">
        <v>42</v>
      </c>
      <c r="G485" t="s">
        <v>17</v>
      </c>
      <c r="H485">
        <v>2</v>
      </c>
      <c r="I485">
        <v>30</v>
      </c>
      <c r="J485">
        <v>10.8</v>
      </c>
      <c r="K485">
        <v>60</v>
      </c>
      <c r="L485">
        <v>49.2</v>
      </c>
      <c r="M485">
        <v>0.82000000000000006</v>
      </c>
      <c r="N485" t="s">
        <v>18</v>
      </c>
    </row>
    <row r="486" spans="1:14">
      <c r="A486">
        <v>1834</v>
      </c>
      <c r="B486" s="4">
        <v>45030</v>
      </c>
      <c r="C486" s="5">
        <v>0.28680555555555554</v>
      </c>
      <c r="D486" t="s">
        <v>37</v>
      </c>
      <c r="E486" t="s">
        <v>23</v>
      </c>
      <c r="F486">
        <v>56</v>
      </c>
      <c r="G486" t="s">
        <v>20</v>
      </c>
      <c r="H486">
        <v>2</v>
      </c>
      <c r="I486">
        <v>30</v>
      </c>
      <c r="J486">
        <v>12.9</v>
      </c>
      <c r="K486">
        <v>60</v>
      </c>
      <c r="L486">
        <v>47.1</v>
      </c>
      <c r="M486">
        <v>0.78500000000000003</v>
      </c>
      <c r="N486" t="s">
        <v>28</v>
      </c>
    </row>
    <row r="487" spans="1:14">
      <c r="A487">
        <v>891</v>
      </c>
      <c r="B487" s="4">
        <v>44935</v>
      </c>
      <c r="C487" s="5">
        <v>0.27986111111111112</v>
      </c>
      <c r="D487" t="s">
        <v>70</v>
      </c>
      <c r="E487" t="s">
        <v>16</v>
      </c>
      <c r="F487">
        <v>41</v>
      </c>
      <c r="G487" t="s">
        <v>30</v>
      </c>
      <c r="H487">
        <v>3</v>
      </c>
      <c r="I487">
        <v>300</v>
      </c>
      <c r="J487">
        <v>99</v>
      </c>
      <c r="K487">
        <v>900</v>
      </c>
      <c r="L487">
        <v>801</v>
      </c>
      <c r="M487">
        <v>0.89</v>
      </c>
      <c r="N487" t="s">
        <v>18</v>
      </c>
    </row>
    <row r="488" spans="1:14">
      <c r="A488">
        <v>928</v>
      </c>
      <c r="B488" s="4">
        <v>45235</v>
      </c>
      <c r="C488" s="5">
        <v>0.43055555555555558</v>
      </c>
      <c r="D488" t="s">
        <v>29</v>
      </c>
      <c r="E488" t="s">
        <v>23</v>
      </c>
      <c r="F488">
        <v>35</v>
      </c>
      <c r="G488" t="s">
        <v>17</v>
      </c>
      <c r="H488">
        <v>4</v>
      </c>
      <c r="I488">
        <v>300</v>
      </c>
      <c r="J488">
        <v>90</v>
      </c>
      <c r="K488">
        <v>1200</v>
      </c>
      <c r="L488">
        <v>1110</v>
      </c>
      <c r="M488">
        <v>0.92500000000000004</v>
      </c>
      <c r="N488" t="s">
        <v>39</v>
      </c>
    </row>
    <row r="489" spans="1:14">
      <c r="A489">
        <v>1891</v>
      </c>
      <c r="B489" s="4">
        <v>45282</v>
      </c>
      <c r="C489" s="5">
        <v>0.25763888888888886</v>
      </c>
      <c r="D489" t="s">
        <v>107</v>
      </c>
      <c r="E489" t="s">
        <v>16</v>
      </c>
      <c r="F489">
        <v>41</v>
      </c>
      <c r="G489" t="s">
        <v>30</v>
      </c>
      <c r="H489">
        <v>3</v>
      </c>
      <c r="I489">
        <v>300</v>
      </c>
      <c r="J489">
        <v>105</v>
      </c>
      <c r="K489">
        <v>900</v>
      </c>
      <c r="L489">
        <v>795</v>
      </c>
      <c r="M489">
        <v>0.8833333333333333</v>
      </c>
      <c r="N489" t="s">
        <v>18</v>
      </c>
    </row>
    <row r="490" spans="1:14">
      <c r="A490">
        <v>1928</v>
      </c>
      <c r="B490" s="4">
        <v>45136</v>
      </c>
      <c r="C490" s="5">
        <v>0.27708333333333335</v>
      </c>
      <c r="D490" t="s">
        <v>134</v>
      </c>
      <c r="E490" t="s">
        <v>23</v>
      </c>
      <c r="F490">
        <v>35</v>
      </c>
      <c r="G490" t="s">
        <v>17</v>
      </c>
      <c r="H490">
        <v>4</v>
      </c>
      <c r="I490">
        <v>300</v>
      </c>
      <c r="J490">
        <v>75</v>
      </c>
      <c r="K490">
        <v>1200</v>
      </c>
      <c r="L490">
        <v>1125</v>
      </c>
      <c r="M490">
        <v>0.9375</v>
      </c>
      <c r="N490" t="s">
        <v>39</v>
      </c>
    </row>
    <row r="491" spans="1:14">
      <c r="A491">
        <v>332</v>
      </c>
      <c r="B491" s="4">
        <v>45040</v>
      </c>
      <c r="C491" s="5">
        <v>0.4777777777777778</v>
      </c>
      <c r="D491" t="s">
        <v>103</v>
      </c>
      <c r="E491" t="s">
        <v>16</v>
      </c>
      <c r="F491">
        <v>58</v>
      </c>
      <c r="G491" t="s">
        <v>30</v>
      </c>
      <c r="H491">
        <v>4</v>
      </c>
      <c r="I491">
        <v>300</v>
      </c>
      <c r="J491">
        <v>105</v>
      </c>
      <c r="K491">
        <v>1200</v>
      </c>
      <c r="L491">
        <v>1095</v>
      </c>
      <c r="M491">
        <v>0.91249999999999998</v>
      </c>
      <c r="N491" t="s">
        <v>28</v>
      </c>
    </row>
    <row r="492" spans="1:14">
      <c r="A492">
        <v>1332</v>
      </c>
      <c r="B492" s="4">
        <v>45264</v>
      </c>
      <c r="C492" s="5">
        <v>0.41805555555555557</v>
      </c>
      <c r="D492" t="s">
        <v>108</v>
      </c>
      <c r="E492" t="s">
        <v>16</v>
      </c>
      <c r="F492">
        <v>58</v>
      </c>
      <c r="G492" t="s">
        <v>30</v>
      </c>
      <c r="H492">
        <v>4</v>
      </c>
      <c r="I492">
        <v>300</v>
      </c>
      <c r="J492">
        <v>123</v>
      </c>
      <c r="K492">
        <v>1200</v>
      </c>
      <c r="L492">
        <v>1077</v>
      </c>
      <c r="M492">
        <v>0.89749999999999996</v>
      </c>
      <c r="N492" t="s">
        <v>28</v>
      </c>
    </row>
    <row r="493" spans="1:14">
      <c r="A493">
        <v>255</v>
      </c>
      <c r="B493" s="4">
        <v>45214</v>
      </c>
      <c r="C493" s="5">
        <v>0.48888888888888887</v>
      </c>
      <c r="D493" t="s">
        <v>169</v>
      </c>
      <c r="E493" t="s">
        <v>16</v>
      </c>
      <c r="F493">
        <v>48</v>
      </c>
      <c r="G493" t="s">
        <v>17</v>
      </c>
      <c r="H493">
        <v>1</v>
      </c>
      <c r="I493">
        <v>30</v>
      </c>
      <c r="J493">
        <v>14.7</v>
      </c>
      <c r="K493">
        <v>30</v>
      </c>
      <c r="L493">
        <v>15.3</v>
      </c>
      <c r="M493">
        <v>0.51</v>
      </c>
      <c r="N493" t="s">
        <v>21</v>
      </c>
    </row>
    <row r="494" spans="1:14">
      <c r="A494">
        <v>275</v>
      </c>
      <c r="B494" s="4">
        <v>44990</v>
      </c>
      <c r="C494" s="5">
        <v>0.48194444444444445</v>
      </c>
      <c r="D494" t="s">
        <v>124</v>
      </c>
      <c r="E494" t="s">
        <v>16</v>
      </c>
      <c r="F494">
        <v>43</v>
      </c>
      <c r="G494" t="s">
        <v>17</v>
      </c>
      <c r="H494">
        <v>2</v>
      </c>
      <c r="I494">
        <v>500</v>
      </c>
      <c r="J494">
        <v>260</v>
      </c>
      <c r="K494">
        <v>1000</v>
      </c>
      <c r="L494">
        <v>740</v>
      </c>
      <c r="M494">
        <v>0.74</v>
      </c>
      <c r="N494" t="s">
        <v>18</v>
      </c>
    </row>
    <row r="495" spans="1:14">
      <c r="A495">
        <v>314</v>
      </c>
      <c r="B495" s="4">
        <v>45214</v>
      </c>
      <c r="C495" s="5">
        <v>0.31736111111111109</v>
      </c>
      <c r="D495" t="s">
        <v>40</v>
      </c>
      <c r="E495" t="s">
        <v>16</v>
      </c>
      <c r="F495">
        <v>52</v>
      </c>
      <c r="G495" t="s">
        <v>17</v>
      </c>
      <c r="H495">
        <v>4</v>
      </c>
      <c r="I495">
        <v>30</v>
      </c>
      <c r="J495">
        <v>7.8</v>
      </c>
      <c r="K495">
        <v>120</v>
      </c>
      <c r="L495">
        <v>112.2</v>
      </c>
      <c r="M495">
        <v>0.93500000000000005</v>
      </c>
      <c r="N495" t="s">
        <v>21</v>
      </c>
    </row>
    <row r="496" spans="1:14">
      <c r="A496">
        <v>517</v>
      </c>
      <c r="B496" s="4">
        <v>45158</v>
      </c>
      <c r="C496" s="5">
        <v>0.37083333333333335</v>
      </c>
      <c r="D496" t="s">
        <v>81</v>
      </c>
      <c r="E496" t="s">
        <v>23</v>
      </c>
      <c r="F496">
        <v>47</v>
      </c>
      <c r="G496" t="s">
        <v>17</v>
      </c>
      <c r="H496">
        <v>4</v>
      </c>
      <c r="I496">
        <v>25</v>
      </c>
      <c r="J496">
        <v>9.25</v>
      </c>
      <c r="K496">
        <v>100</v>
      </c>
      <c r="L496">
        <v>90.75</v>
      </c>
      <c r="M496">
        <v>0.90749999999999997</v>
      </c>
      <c r="N496" t="s">
        <v>21</v>
      </c>
    </row>
    <row r="497" spans="1:14">
      <c r="A497">
        <v>847</v>
      </c>
      <c r="B497" s="4">
        <v>44936</v>
      </c>
      <c r="C497" s="5">
        <v>0.36249999999999999</v>
      </c>
      <c r="D497" t="s">
        <v>124</v>
      </c>
      <c r="E497" t="s">
        <v>23</v>
      </c>
      <c r="F497">
        <v>18</v>
      </c>
      <c r="G497" t="s">
        <v>30</v>
      </c>
      <c r="H497">
        <v>4</v>
      </c>
      <c r="I497">
        <v>300</v>
      </c>
      <c r="J497">
        <v>162</v>
      </c>
      <c r="K497">
        <v>1200</v>
      </c>
      <c r="L497">
        <v>1038</v>
      </c>
      <c r="M497">
        <v>0.86499999999999999</v>
      </c>
      <c r="N497" t="s">
        <v>31</v>
      </c>
    </row>
    <row r="498" spans="1:14">
      <c r="A498">
        <v>1255</v>
      </c>
      <c r="B498" s="4">
        <v>44946</v>
      </c>
      <c r="C498" s="5">
        <v>0.29722222222222222</v>
      </c>
      <c r="D498" t="s">
        <v>159</v>
      </c>
      <c r="E498" t="s">
        <v>16</v>
      </c>
      <c r="F498">
        <v>48</v>
      </c>
      <c r="G498" t="s">
        <v>17</v>
      </c>
      <c r="H498">
        <v>1</v>
      </c>
      <c r="I498">
        <v>30</v>
      </c>
      <c r="J498">
        <v>7.8</v>
      </c>
      <c r="K498">
        <v>30</v>
      </c>
      <c r="L498">
        <v>22.2</v>
      </c>
      <c r="M498">
        <v>0.74</v>
      </c>
      <c r="N498" t="s">
        <v>21</v>
      </c>
    </row>
    <row r="499" spans="1:14">
      <c r="A499">
        <v>1275</v>
      </c>
      <c r="B499" s="4">
        <v>44987</v>
      </c>
      <c r="C499" s="5">
        <v>0.36666666666666664</v>
      </c>
      <c r="D499" t="s">
        <v>22</v>
      </c>
      <c r="E499" t="s">
        <v>16</v>
      </c>
      <c r="F499">
        <v>43</v>
      </c>
      <c r="G499" t="s">
        <v>17</v>
      </c>
      <c r="H499">
        <v>2</v>
      </c>
      <c r="I499">
        <v>500</v>
      </c>
      <c r="J499">
        <v>250</v>
      </c>
      <c r="K499">
        <v>1000</v>
      </c>
      <c r="L499">
        <v>750</v>
      </c>
      <c r="M499">
        <v>0.75</v>
      </c>
      <c r="N499" t="s">
        <v>18</v>
      </c>
    </row>
    <row r="500" spans="1:14">
      <c r="A500">
        <v>1314</v>
      </c>
      <c r="B500" s="4">
        <v>45069</v>
      </c>
      <c r="C500" s="5">
        <v>0.43472222222222223</v>
      </c>
      <c r="D500" t="s">
        <v>124</v>
      </c>
      <c r="E500" t="s">
        <v>16</v>
      </c>
      <c r="F500">
        <v>52</v>
      </c>
      <c r="G500" t="s">
        <v>17</v>
      </c>
      <c r="H500">
        <v>4</v>
      </c>
      <c r="I500">
        <v>30</v>
      </c>
      <c r="J500">
        <v>16.2</v>
      </c>
      <c r="K500">
        <v>120</v>
      </c>
      <c r="L500">
        <v>103.8</v>
      </c>
      <c r="M500">
        <v>0.86499999999999999</v>
      </c>
      <c r="N500" t="s">
        <v>21</v>
      </c>
    </row>
    <row r="501" spans="1:14">
      <c r="A501">
        <v>1517</v>
      </c>
      <c r="B501" s="4">
        <v>44978</v>
      </c>
      <c r="C501" s="5">
        <v>0.36527777777777776</v>
      </c>
      <c r="D501" t="s">
        <v>124</v>
      </c>
      <c r="E501" t="s">
        <v>23</v>
      </c>
      <c r="F501">
        <v>47</v>
      </c>
      <c r="G501" t="s">
        <v>17</v>
      </c>
      <c r="H501">
        <v>4</v>
      </c>
      <c r="I501">
        <v>25</v>
      </c>
      <c r="J501">
        <v>6.75</v>
      </c>
      <c r="K501">
        <v>100</v>
      </c>
      <c r="L501">
        <v>93.25</v>
      </c>
      <c r="M501">
        <v>0.9325</v>
      </c>
      <c r="N501" t="s">
        <v>21</v>
      </c>
    </row>
    <row r="502" spans="1:14">
      <c r="A502">
        <v>1847</v>
      </c>
      <c r="B502" s="4">
        <v>45135</v>
      </c>
      <c r="C502" s="5">
        <v>0.30138888888888887</v>
      </c>
      <c r="D502" t="s">
        <v>22</v>
      </c>
      <c r="E502" t="s">
        <v>23</v>
      </c>
      <c r="F502">
        <v>18</v>
      </c>
      <c r="G502" t="s">
        <v>30</v>
      </c>
      <c r="H502">
        <v>4</v>
      </c>
      <c r="I502">
        <v>300</v>
      </c>
      <c r="J502">
        <v>123</v>
      </c>
      <c r="K502">
        <v>1200</v>
      </c>
      <c r="L502">
        <v>1077</v>
      </c>
      <c r="M502">
        <v>0.89749999999999996</v>
      </c>
      <c r="N502" t="s">
        <v>31</v>
      </c>
    </row>
    <row r="503" spans="1:14">
      <c r="A503">
        <v>61</v>
      </c>
      <c r="B503" s="4">
        <v>45114</v>
      </c>
      <c r="C503" s="5">
        <v>0.4909722222222222</v>
      </c>
      <c r="D503" t="s">
        <v>159</v>
      </c>
      <c r="E503" t="s">
        <v>16</v>
      </c>
      <c r="F503">
        <v>21</v>
      </c>
      <c r="G503" t="s">
        <v>20</v>
      </c>
      <c r="H503">
        <v>4</v>
      </c>
      <c r="I503">
        <v>50</v>
      </c>
      <c r="J503">
        <v>20</v>
      </c>
      <c r="K503">
        <v>200</v>
      </c>
      <c r="L503">
        <v>180</v>
      </c>
      <c r="M503">
        <v>0.9</v>
      </c>
      <c r="N503" t="s">
        <v>31</v>
      </c>
    </row>
    <row r="504" spans="1:14">
      <c r="A504">
        <v>274</v>
      </c>
      <c r="B504" s="4">
        <v>45030</v>
      </c>
      <c r="C504" s="5">
        <v>0.3</v>
      </c>
      <c r="D504" t="s">
        <v>159</v>
      </c>
      <c r="E504" t="s">
        <v>23</v>
      </c>
      <c r="F504">
        <v>23</v>
      </c>
      <c r="G504" t="s">
        <v>17</v>
      </c>
      <c r="H504">
        <v>2</v>
      </c>
      <c r="I504">
        <v>500</v>
      </c>
      <c r="J504">
        <v>150</v>
      </c>
      <c r="K504">
        <v>1000</v>
      </c>
      <c r="L504">
        <v>850</v>
      </c>
      <c r="M504">
        <v>0.85</v>
      </c>
      <c r="N504" t="s">
        <v>31</v>
      </c>
    </row>
    <row r="505" spans="1:14">
      <c r="A505">
        <v>486</v>
      </c>
      <c r="B505" s="4">
        <v>45262</v>
      </c>
      <c r="C505" s="5">
        <v>0.40763888888888888</v>
      </c>
      <c r="D505" t="s">
        <v>159</v>
      </c>
      <c r="E505" t="s">
        <v>23</v>
      </c>
      <c r="F505">
        <v>35</v>
      </c>
      <c r="G505" t="s">
        <v>30</v>
      </c>
      <c r="H505">
        <v>1</v>
      </c>
      <c r="I505">
        <v>25</v>
      </c>
      <c r="J505">
        <v>6.5</v>
      </c>
      <c r="K505">
        <v>25</v>
      </c>
      <c r="L505">
        <v>18.5</v>
      </c>
      <c r="M505">
        <v>0.74</v>
      </c>
      <c r="N505" t="s">
        <v>39</v>
      </c>
    </row>
    <row r="506" spans="1:14">
      <c r="A506">
        <v>548</v>
      </c>
      <c r="B506" s="4">
        <v>45030</v>
      </c>
      <c r="C506" s="5">
        <v>0.29166666666666669</v>
      </c>
      <c r="D506" t="s">
        <v>159</v>
      </c>
      <c r="E506" t="s">
        <v>23</v>
      </c>
      <c r="F506">
        <v>51</v>
      </c>
      <c r="G506" t="s">
        <v>17</v>
      </c>
      <c r="H506">
        <v>2</v>
      </c>
      <c r="I506">
        <v>30</v>
      </c>
      <c r="J506">
        <v>15.6</v>
      </c>
      <c r="K506">
        <v>60</v>
      </c>
      <c r="L506">
        <v>44.4</v>
      </c>
      <c r="M506">
        <v>0.74</v>
      </c>
      <c r="N506" t="s">
        <v>21</v>
      </c>
    </row>
    <row r="507" spans="1:14">
      <c r="A507">
        <v>886</v>
      </c>
      <c r="B507" s="4">
        <v>45271</v>
      </c>
      <c r="C507" s="5">
        <v>0.47569444444444442</v>
      </c>
      <c r="D507" t="s">
        <v>159</v>
      </c>
      <c r="E507" t="s">
        <v>16</v>
      </c>
      <c r="F507">
        <v>37</v>
      </c>
      <c r="G507" t="s">
        <v>30</v>
      </c>
      <c r="H507">
        <v>3</v>
      </c>
      <c r="I507">
        <v>300</v>
      </c>
      <c r="J507">
        <v>165</v>
      </c>
      <c r="K507">
        <v>900</v>
      </c>
      <c r="L507">
        <v>735</v>
      </c>
      <c r="M507">
        <v>0.81666666666666665</v>
      </c>
      <c r="N507" t="s">
        <v>18</v>
      </c>
    </row>
    <row r="508" spans="1:14">
      <c r="A508">
        <v>892</v>
      </c>
      <c r="B508" s="4">
        <v>45182</v>
      </c>
      <c r="C508" s="5">
        <v>0.48541666666666666</v>
      </c>
      <c r="D508" t="s">
        <v>40</v>
      </c>
      <c r="E508" t="s">
        <v>16</v>
      </c>
      <c r="F508">
        <v>20</v>
      </c>
      <c r="G508" t="s">
        <v>30</v>
      </c>
      <c r="H508">
        <v>1</v>
      </c>
      <c r="I508">
        <v>50</v>
      </c>
      <c r="J508">
        <v>24</v>
      </c>
      <c r="K508">
        <v>50</v>
      </c>
      <c r="L508">
        <v>26</v>
      </c>
      <c r="M508">
        <v>0.52</v>
      </c>
      <c r="N508" t="s">
        <v>31</v>
      </c>
    </row>
    <row r="509" spans="1:14">
      <c r="A509">
        <v>1061</v>
      </c>
      <c r="B509" s="4">
        <v>45187</v>
      </c>
      <c r="C509" s="5">
        <v>0.33055555555555555</v>
      </c>
      <c r="D509" t="s">
        <v>81</v>
      </c>
      <c r="E509" t="s">
        <v>16</v>
      </c>
      <c r="F509">
        <v>21</v>
      </c>
      <c r="G509" t="s">
        <v>20</v>
      </c>
      <c r="H509">
        <v>4</v>
      </c>
      <c r="I509">
        <v>50</v>
      </c>
      <c r="J509">
        <v>12.5</v>
      </c>
      <c r="K509">
        <v>200</v>
      </c>
      <c r="L509">
        <v>187.5</v>
      </c>
      <c r="M509">
        <v>0.9375</v>
      </c>
      <c r="N509" t="s">
        <v>31</v>
      </c>
    </row>
    <row r="510" spans="1:14">
      <c r="A510">
        <v>1274</v>
      </c>
      <c r="B510" s="4">
        <v>45205</v>
      </c>
      <c r="C510" s="5">
        <v>0.37569444444444444</v>
      </c>
      <c r="D510" t="s">
        <v>124</v>
      </c>
      <c r="E510" t="s">
        <v>23</v>
      </c>
      <c r="F510">
        <v>23</v>
      </c>
      <c r="G510" t="s">
        <v>17</v>
      </c>
      <c r="H510">
        <v>2</v>
      </c>
      <c r="I510">
        <v>500</v>
      </c>
      <c r="J510">
        <v>185</v>
      </c>
      <c r="K510">
        <v>1000</v>
      </c>
      <c r="L510">
        <v>815</v>
      </c>
      <c r="M510">
        <v>0.81499999999999995</v>
      </c>
      <c r="N510" t="s">
        <v>31</v>
      </c>
    </row>
    <row r="511" spans="1:14">
      <c r="A511">
        <v>1486</v>
      </c>
      <c r="B511" s="4">
        <v>45252</v>
      </c>
      <c r="C511" s="5">
        <v>0.37361111111111112</v>
      </c>
      <c r="D511" t="s">
        <v>159</v>
      </c>
      <c r="E511" t="s">
        <v>23</v>
      </c>
      <c r="F511">
        <v>35</v>
      </c>
      <c r="G511" t="s">
        <v>30</v>
      </c>
      <c r="H511">
        <v>1</v>
      </c>
      <c r="I511">
        <v>25</v>
      </c>
      <c r="J511">
        <v>8.75</v>
      </c>
      <c r="K511">
        <v>25</v>
      </c>
      <c r="L511">
        <v>16.25</v>
      </c>
      <c r="M511">
        <v>0.65</v>
      </c>
      <c r="N511" t="s">
        <v>39</v>
      </c>
    </row>
    <row r="512" spans="1:14">
      <c r="A512">
        <v>1548</v>
      </c>
      <c r="B512" s="4">
        <v>44939</v>
      </c>
      <c r="C512" s="5">
        <v>0.34375</v>
      </c>
      <c r="D512" t="s">
        <v>40</v>
      </c>
      <c r="E512" t="s">
        <v>23</v>
      </c>
      <c r="F512">
        <v>51</v>
      </c>
      <c r="G512" t="s">
        <v>17</v>
      </c>
      <c r="H512">
        <v>2</v>
      </c>
      <c r="I512">
        <v>30</v>
      </c>
      <c r="J512">
        <v>12.6</v>
      </c>
      <c r="K512">
        <v>60</v>
      </c>
      <c r="L512">
        <v>47.4</v>
      </c>
      <c r="M512">
        <v>0.78999999999999992</v>
      </c>
      <c r="N512" t="s">
        <v>21</v>
      </c>
    </row>
    <row r="513" spans="1:14">
      <c r="A513">
        <v>1886</v>
      </c>
      <c r="B513" s="4">
        <v>45133</v>
      </c>
      <c r="C513" s="5">
        <v>0.49375000000000002</v>
      </c>
      <c r="D513" t="s">
        <v>40</v>
      </c>
      <c r="E513" t="s">
        <v>16</v>
      </c>
      <c r="F513">
        <v>37</v>
      </c>
      <c r="G513" t="s">
        <v>30</v>
      </c>
      <c r="H513">
        <v>3</v>
      </c>
      <c r="I513">
        <v>300</v>
      </c>
      <c r="J513">
        <v>147</v>
      </c>
      <c r="K513">
        <v>900</v>
      </c>
      <c r="L513">
        <v>753</v>
      </c>
      <c r="M513">
        <v>0.83666666666666667</v>
      </c>
      <c r="N513" t="s">
        <v>18</v>
      </c>
    </row>
    <row r="514" spans="1:14">
      <c r="A514">
        <v>1892</v>
      </c>
      <c r="B514" s="4">
        <v>45200</v>
      </c>
      <c r="C514" s="5">
        <v>0.30694444444444446</v>
      </c>
      <c r="D514" t="s">
        <v>81</v>
      </c>
      <c r="E514" t="s">
        <v>16</v>
      </c>
      <c r="F514">
        <v>20</v>
      </c>
      <c r="G514" t="s">
        <v>30</v>
      </c>
      <c r="H514">
        <v>1</v>
      </c>
      <c r="I514">
        <v>50</v>
      </c>
      <c r="J514">
        <v>23.5</v>
      </c>
      <c r="K514">
        <v>50</v>
      </c>
      <c r="L514">
        <v>26.5</v>
      </c>
      <c r="M514">
        <v>0.53</v>
      </c>
      <c r="N514" t="s">
        <v>31</v>
      </c>
    </row>
    <row r="515" spans="1:14">
      <c r="A515">
        <v>601</v>
      </c>
      <c r="B515" s="4">
        <v>45082</v>
      </c>
      <c r="C515" s="5">
        <v>0.39097222222222222</v>
      </c>
      <c r="D515" t="s">
        <v>22</v>
      </c>
      <c r="E515" t="s">
        <v>16</v>
      </c>
      <c r="F515">
        <v>19</v>
      </c>
      <c r="G515" t="s">
        <v>17</v>
      </c>
      <c r="H515">
        <v>1</v>
      </c>
      <c r="I515">
        <v>30</v>
      </c>
      <c r="J515">
        <v>13.2</v>
      </c>
      <c r="K515">
        <v>30</v>
      </c>
      <c r="L515">
        <v>16.8</v>
      </c>
      <c r="M515">
        <v>0.56000000000000005</v>
      </c>
      <c r="N515" t="s">
        <v>31</v>
      </c>
    </row>
    <row r="516" spans="1:14">
      <c r="A516">
        <v>901</v>
      </c>
      <c r="B516" s="4">
        <v>45140</v>
      </c>
      <c r="C516" s="5">
        <v>0.27638888888888891</v>
      </c>
      <c r="D516" t="s">
        <v>124</v>
      </c>
      <c r="E516" t="s">
        <v>16</v>
      </c>
      <c r="F516">
        <v>31</v>
      </c>
      <c r="G516" t="s">
        <v>30</v>
      </c>
      <c r="H516">
        <v>1</v>
      </c>
      <c r="I516">
        <v>30</v>
      </c>
      <c r="J516">
        <v>12</v>
      </c>
      <c r="K516">
        <v>30</v>
      </c>
      <c r="L516">
        <v>18</v>
      </c>
      <c r="M516">
        <v>0.6</v>
      </c>
      <c r="N516" t="s">
        <v>39</v>
      </c>
    </row>
    <row r="517" spans="1:14">
      <c r="A517">
        <v>1601</v>
      </c>
      <c r="B517" s="4">
        <v>45183</v>
      </c>
      <c r="C517" s="5">
        <v>0.49166666666666664</v>
      </c>
      <c r="D517" t="s">
        <v>40</v>
      </c>
      <c r="E517" t="s">
        <v>16</v>
      </c>
      <c r="F517">
        <v>19</v>
      </c>
      <c r="G517" t="s">
        <v>17</v>
      </c>
      <c r="H517">
        <v>1</v>
      </c>
      <c r="I517">
        <v>30</v>
      </c>
      <c r="J517">
        <v>13.5</v>
      </c>
      <c r="K517">
        <v>30</v>
      </c>
      <c r="L517">
        <v>16.5</v>
      </c>
      <c r="M517">
        <v>0.55000000000000004</v>
      </c>
      <c r="N517" t="s">
        <v>31</v>
      </c>
    </row>
    <row r="518" spans="1:14">
      <c r="A518">
        <v>1901</v>
      </c>
      <c r="B518" s="4">
        <v>45259</v>
      </c>
      <c r="C518" s="5">
        <v>0.46180555555555558</v>
      </c>
      <c r="D518" t="s">
        <v>159</v>
      </c>
      <c r="E518" t="s">
        <v>16</v>
      </c>
      <c r="F518">
        <v>31</v>
      </c>
      <c r="G518" t="s">
        <v>30</v>
      </c>
      <c r="H518">
        <v>1</v>
      </c>
      <c r="I518">
        <v>30</v>
      </c>
      <c r="J518">
        <v>8.4</v>
      </c>
      <c r="K518">
        <v>30</v>
      </c>
      <c r="L518">
        <v>21.6</v>
      </c>
      <c r="M518">
        <v>0.72000000000000008</v>
      </c>
      <c r="N518" t="s">
        <v>39</v>
      </c>
    </row>
    <row r="519" spans="1:14">
      <c r="A519">
        <v>527</v>
      </c>
      <c r="B519" s="4">
        <v>45037</v>
      </c>
      <c r="C519" s="5">
        <v>0.4826388888888889</v>
      </c>
      <c r="D519" t="s">
        <v>40</v>
      </c>
      <c r="E519" t="s">
        <v>16</v>
      </c>
      <c r="F519">
        <v>57</v>
      </c>
      <c r="G519" t="s">
        <v>17</v>
      </c>
      <c r="H519">
        <v>2</v>
      </c>
      <c r="I519">
        <v>25</v>
      </c>
      <c r="J519">
        <v>11.5</v>
      </c>
      <c r="K519">
        <v>50</v>
      </c>
      <c r="L519">
        <v>38.5</v>
      </c>
      <c r="M519">
        <v>0.77</v>
      </c>
      <c r="N519" t="s">
        <v>28</v>
      </c>
    </row>
    <row r="520" spans="1:14">
      <c r="A520">
        <v>1527</v>
      </c>
      <c r="B520" s="4">
        <v>45198</v>
      </c>
      <c r="C520" s="5">
        <v>0.35416666666666669</v>
      </c>
      <c r="D520" t="s">
        <v>40</v>
      </c>
      <c r="E520" t="s">
        <v>16</v>
      </c>
      <c r="F520">
        <v>57</v>
      </c>
      <c r="G520" t="s">
        <v>17</v>
      </c>
      <c r="H520">
        <v>2</v>
      </c>
      <c r="I520">
        <v>25</v>
      </c>
      <c r="J520">
        <v>11.75</v>
      </c>
      <c r="K520">
        <v>50</v>
      </c>
      <c r="L520">
        <v>38.25</v>
      </c>
      <c r="M520">
        <v>0.76500000000000001</v>
      </c>
      <c r="N520" t="s">
        <v>28</v>
      </c>
    </row>
    <row r="521" spans="1:14">
      <c r="A521">
        <v>23</v>
      </c>
      <c r="B521" s="4">
        <v>45197</v>
      </c>
      <c r="C521" s="5">
        <v>0.2951388888888889</v>
      </c>
      <c r="D521" t="s">
        <v>159</v>
      </c>
      <c r="E521" t="s">
        <v>23</v>
      </c>
      <c r="F521">
        <v>35</v>
      </c>
      <c r="G521" t="s">
        <v>17</v>
      </c>
      <c r="H521">
        <v>4</v>
      </c>
      <c r="I521">
        <v>30</v>
      </c>
      <c r="J521">
        <v>14.7</v>
      </c>
      <c r="K521">
        <v>120</v>
      </c>
      <c r="L521">
        <v>105.3</v>
      </c>
      <c r="M521">
        <v>0.87749999999999995</v>
      </c>
      <c r="N521" t="s">
        <v>39</v>
      </c>
    </row>
    <row r="522" spans="1:14">
      <c r="A522">
        <v>174</v>
      </c>
      <c r="B522" s="4">
        <v>45245</v>
      </c>
      <c r="C522" s="5">
        <v>0.25486111111111109</v>
      </c>
      <c r="D522" t="s">
        <v>124</v>
      </c>
      <c r="E522" t="s">
        <v>23</v>
      </c>
      <c r="F522">
        <v>39</v>
      </c>
      <c r="G522" t="s">
        <v>20</v>
      </c>
      <c r="H522">
        <v>1</v>
      </c>
      <c r="I522">
        <v>300</v>
      </c>
      <c r="J522">
        <v>126</v>
      </c>
      <c r="K522">
        <v>300</v>
      </c>
      <c r="L522">
        <v>174</v>
      </c>
      <c r="M522">
        <v>0.57999999999999996</v>
      </c>
      <c r="N522" t="s">
        <v>18</v>
      </c>
    </row>
    <row r="523" spans="1:14">
      <c r="A523">
        <v>589</v>
      </c>
      <c r="B523" s="4">
        <v>45115</v>
      </c>
      <c r="C523" s="5">
        <v>0.29930555555555555</v>
      </c>
      <c r="D523" t="s">
        <v>22</v>
      </c>
      <c r="E523" t="s">
        <v>23</v>
      </c>
      <c r="F523">
        <v>36</v>
      </c>
      <c r="G523" t="s">
        <v>20</v>
      </c>
      <c r="H523">
        <v>2</v>
      </c>
      <c r="I523">
        <v>500</v>
      </c>
      <c r="J523">
        <v>145</v>
      </c>
      <c r="K523">
        <v>1000</v>
      </c>
      <c r="L523">
        <v>855</v>
      </c>
      <c r="M523">
        <v>0.85499999999999998</v>
      </c>
      <c r="N523" t="s">
        <v>18</v>
      </c>
    </row>
    <row r="524" spans="1:14">
      <c r="A524">
        <v>774</v>
      </c>
      <c r="B524" s="4">
        <v>45236</v>
      </c>
      <c r="C524" s="5">
        <v>0.37777777777777777</v>
      </c>
      <c r="D524" t="s">
        <v>124</v>
      </c>
      <c r="E524" t="s">
        <v>23</v>
      </c>
      <c r="F524">
        <v>40</v>
      </c>
      <c r="G524" t="s">
        <v>17</v>
      </c>
      <c r="H524">
        <v>2</v>
      </c>
      <c r="I524">
        <v>25</v>
      </c>
      <c r="J524">
        <v>6.5</v>
      </c>
      <c r="K524">
        <v>50</v>
      </c>
      <c r="L524">
        <v>43.5</v>
      </c>
      <c r="M524">
        <v>0.87</v>
      </c>
      <c r="N524" t="s">
        <v>18</v>
      </c>
    </row>
    <row r="525" spans="1:14">
      <c r="A525">
        <v>1000</v>
      </c>
      <c r="B525" s="4">
        <v>45017</v>
      </c>
      <c r="C525" s="5">
        <v>0.43194444444444446</v>
      </c>
      <c r="D525" t="s">
        <v>40</v>
      </c>
      <c r="E525" t="s">
        <v>16</v>
      </c>
      <c r="F525">
        <v>47</v>
      </c>
      <c r="G525" t="s">
        <v>30</v>
      </c>
      <c r="H525">
        <v>4</v>
      </c>
      <c r="I525">
        <v>30</v>
      </c>
      <c r="J525">
        <v>8.4</v>
      </c>
      <c r="K525">
        <v>120</v>
      </c>
      <c r="L525">
        <v>111.6</v>
      </c>
      <c r="M525">
        <v>0.92999999999999994</v>
      </c>
      <c r="N525" t="s">
        <v>21</v>
      </c>
    </row>
    <row r="526" spans="1:14">
      <c r="A526">
        <v>1023</v>
      </c>
      <c r="B526" s="4">
        <v>45069</v>
      </c>
      <c r="C526" s="5">
        <v>0.3611111111111111</v>
      </c>
      <c r="D526" t="s">
        <v>22</v>
      </c>
      <c r="E526" t="s">
        <v>23</v>
      </c>
      <c r="F526">
        <v>35</v>
      </c>
      <c r="G526" t="s">
        <v>17</v>
      </c>
      <c r="H526">
        <v>4</v>
      </c>
      <c r="I526">
        <v>30</v>
      </c>
      <c r="J526">
        <v>8.1</v>
      </c>
      <c r="K526">
        <v>120</v>
      </c>
      <c r="L526">
        <v>111.9</v>
      </c>
      <c r="M526">
        <v>0.9325</v>
      </c>
      <c r="N526" t="s">
        <v>39</v>
      </c>
    </row>
    <row r="527" spans="1:14">
      <c r="A527">
        <v>1174</v>
      </c>
      <c r="B527" s="4">
        <v>45063</v>
      </c>
      <c r="C527" s="5">
        <v>0.28819444444444442</v>
      </c>
      <c r="D527" t="s">
        <v>124</v>
      </c>
      <c r="E527" t="s">
        <v>23</v>
      </c>
      <c r="F527">
        <v>39</v>
      </c>
      <c r="G527" t="s">
        <v>20</v>
      </c>
      <c r="H527">
        <v>1</v>
      </c>
      <c r="I527">
        <v>300</v>
      </c>
      <c r="J527">
        <v>132</v>
      </c>
      <c r="K527">
        <v>300</v>
      </c>
      <c r="L527">
        <v>168</v>
      </c>
      <c r="M527">
        <v>0.56000000000000005</v>
      </c>
      <c r="N527" t="s">
        <v>18</v>
      </c>
    </row>
    <row r="528" spans="1:14">
      <c r="A528">
        <v>1589</v>
      </c>
      <c r="B528" s="4">
        <v>45108</v>
      </c>
      <c r="C528" s="5">
        <v>0.27083333333333331</v>
      </c>
      <c r="D528" t="s">
        <v>22</v>
      </c>
      <c r="E528" t="s">
        <v>23</v>
      </c>
      <c r="F528">
        <v>36</v>
      </c>
      <c r="G528" t="s">
        <v>20</v>
      </c>
      <c r="H528">
        <v>2</v>
      </c>
      <c r="I528">
        <v>500</v>
      </c>
      <c r="J528">
        <v>145</v>
      </c>
      <c r="K528">
        <v>1000</v>
      </c>
      <c r="L528">
        <v>855</v>
      </c>
      <c r="M528">
        <v>0.85499999999999998</v>
      </c>
      <c r="N528" t="s">
        <v>18</v>
      </c>
    </row>
    <row r="529" spans="1:14">
      <c r="A529">
        <v>1774</v>
      </c>
      <c r="B529" s="4">
        <v>44994</v>
      </c>
      <c r="C529" s="5">
        <v>0.28333333333333333</v>
      </c>
      <c r="D529" t="s">
        <v>124</v>
      </c>
      <c r="E529" t="s">
        <v>23</v>
      </c>
      <c r="F529">
        <v>40</v>
      </c>
      <c r="G529" t="s">
        <v>17</v>
      </c>
      <c r="H529">
        <v>2</v>
      </c>
      <c r="I529">
        <v>25</v>
      </c>
      <c r="J529">
        <v>8</v>
      </c>
      <c r="K529">
        <v>50</v>
      </c>
      <c r="L529">
        <v>42</v>
      </c>
      <c r="M529">
        <v>0.84</v>
      </c>
      <c r="N529" t="s">
        <v>18</v>
      </c>
    </row>
    <row r="530" spans="1:14">
      <c r="A530">
        <v>2000</v>
      </c>
      <c r="B530" s="4">
        <v>45016</v>
      </c>
      <c r="C530" s="5">
        <v>0.27638888888888891</v>
      </c>
      <c r="D530" t="s">
        <v>159</v>
      </c>
      <c r="E530" t="s">
        <v>16</v>
      </c>
      <c r="F530">
        <v>47</v>
      </c>
      <c r="G530" t="s">
        <v>30</v>
      </c>
      <c r="H530">
        <v>4</v>
      </c>
      <c r="I530">
        <v>30</v>
      </c>
      <c r="J530">
        <v>10.8</v>
      </c>
      <c r="K530">
        <v>120</v>
      </c>
      <c r="L530">
        <v>109.2</v>
      </c>
      <c r="M530">
        <v>0.91</v>
      </c>
      <c r="N530" t="s">
        <v>21</v>
      </c>
    </row>
    <row r="531" spans="1:14">
      <c r="A531">
        <v>210</v>
      </c>
      <c r="B531" s="4">
        <v>45206</v>
      </c>
      <c r="C531" s="5">
        <v>0.36805555555555558</v>
      </c>
      <c r="D531" t="s">
        <v>124</v>
      </c>
      <c r="E531" t="s">
        <v>16</v>
      </c>
      <c r="F531">
        <v>37</v>
      </c>
      <c r="G531" t="s">
        <v>30</v>
      </c>
      <c r="H531">
        <v>4</v>
      </c>
      <c r="I531">
        <v>50</v>
      </c>
      <c r="J531">
        <v>19</v>
      </c>
      <c r="K531">
        <v>200</v>
      </c>
      <c r="L531">
        <v>181</v>
      </c>
      <c r="M531">
        <v>0.90500000000000003</v>
      </c>
      <c r="N531" t="s">
        <v>18</v>
      </c>
    </row>
    <row r="532" spans="1:14">
      <c r="A532">
        <v>478</v>
      </c>
      <c r="B532" s="4">
        <v>45131</v>
      </c>
      <c r="C532" s="5">
        <v>0.46736111111111112</v>
      </c>
      <c r="D532" t="s">
        <v>81</v>
      </c>
      <c r="E532" t="s">
        <v>23</v>
      </c>
      <c r="F532">
        <v>58</v>
      </c>
      <c r="G532" t="s">
        <v>17</v>
      </c>
      <c r="H532">
        <v>2</v>
      </c>
      <c r="I532">
        <v>30</v>
      </c>
      <c r="J532">
        <v>8.1</v>
      </c>
      <c r="K532">
        <v>60</v>
      </c>
      <c r="L532">
        <v>51.9</v>
      </c>
      <c r="M532">
        <v>0.86499999999999999</v>
      </c>
      <c r="N532" t="s">
        <v>28</v>
      </c>
    </row>
    <row r="533" spans="1:14">
      <c r="A533">
        <v>745</v>
      </c>
      <c r="B533" s="4">
        <v>45152</v>
      </c>
      <c r="C533" s="5">
        <v>0.3125</v>
      </c>
      <c r="D533" t="s">
        <v>81</v>
      </c>
      <c r="E533" t="s">
        <v>16</v>
      </c>
      <c r="F533">
        <v>54</v>
      </c>
      <c r="G533" t="s">
        <v>20</v>
      </c>
      <c r="H533">
        <v>2</v>
      </c>
      <c r="I533">
        <v>50</v>
      </c>
      <c r="J533">
        <v>17</v>
      </c>
      <c r="K533">
        <v>100</v>
      </c>
      <c r="L533">
        <v>83</v>
      </c>
      <c r="M533">
        <v>0.83</v>
      </c>
      <c r="N533" t="s">
        <v>21</v>
      </c>
    </row>
    <row r="534" spans="1:14">
      <c r="A534">
        <v>1210</v>
      </c>
      <c r="B534" s="4">
        <v>44995</v>
      </c>
      <c r="C534" s="5">
        <v>0.41805555555555557</v>
      </c>
      <c r="D534" t="s">
        <v>22</v>
      </c>
      <c r="E534" t="s">
        <v>16</v>
      </c>
      <c r="F534">
        <v>37</v>
      </c>
      <c r="G534" t="s">
        <v>30</v>
      </c>
      <c r="H534">
        <v>4</v>
      </c>
      <c r="I534">
        <v>50</v>
      </c>
      <c r="J534">
        <v>12.5</v>
      </c>
      <c r="K534">
        <v>200</v>
      </c>
      <c r="L534">
        <v>187.5</v>
      </c>
      <c r="M534">
        <v>0.9375</v>
      </c>
      <c r="N534" t="s">
        <v>18</v>
      </c>
    </row>
    <row r="535" spans="1:14">
      <c r="A535">
        <v>1478</v>
      </c>
      <c r="B535" s="4">
        <v>45169</v>
      </c>
      <c r="C535" s="5">
        <v>0.38750000000000001</v>
      </c>
      <c r="D535" t="s">
        <v>40</v>
      </c>
      <c r="E535" t="s">
        <v>23</v>
      </c>
      <c r="F535">
        <v>58</v>
      </c>
      <c r="G535" t="s">
        <v>17</v>
      </c>
      <c r="H535">
        <v>2</v>
      </c>
      <c r="I535">
        <v>30</v>
      </c>
      <c r="J535">
        <v>13.5</v>
      </c>
      <c r="K535">
        <v>60</v>
      </c>
      <c r="L535">
        <v>46.5</v>
      </c>
      <c r="M535">
        <v>0.77500000000000002</v>
      </c>
      <c r="N535" t="s">
        <v>28</v>
      </c>
    </row>
    <row r="536" spans="1:14">
      <c r="A536">
        <v>1745</v>
      </c>
      <c r="B536" s="4">
        <v>45197</v>
      </c>
      <c r="C536" s="5">
        <v>0.44305555555555554</v>
      </c>
      <c r="D536" t="s">
        <v>159</v>
      </c>
      <c r="E536" t="s">
        <v>16</v>
      </c>
      <c r="F536">
        <v>54</v>
      </c>
      <c r="G536" t="s">
        <v>20</v>
      </c>
      <c r="H536">
        <v>2</v>
      </c>
      <c r="I536">
        <v>50</v>
      </c>
      <c r="J536">
        <v>21</v>
      </c>
      <c r="K536">
        <v>100</v>
      </c>
      <c r="L536">
        <v>79</v>
      </c>
      <c r="M536">
        <v>0.79</v>
      </c>
      <c r="N536" t="s">
        <v>21</v>
      </c>
    </row>
    <row r="537" spans="1:14">
      <c r="A537">
        <v>354</v>
      </c>
      <c r="B537" s="4">
        <v>45276</v>
      </c>
      <c r="C537" s="5">
        <v>0.33194444444444443</v>
      </c>
      <c r="D537" t="s">
        <v>22</v>
      </c>
      <c r="E537" t="s">
        <v>23</v>
      </c>
      <c r="F537">
        <v>49</v>
      </c>
      <c r="G537" t="s">
        <v>20</v>
      </c>
      <c r="H537">
        <v>4</v>
      </c>
      <c r="I537">
        <v>50</v>
      </c>
      <c r="J537">
        <v>24.5</v>
      </c>
      <c r="K537">
        <v>200</v>
      </c>
      <c r="L537">
        <v>175.5</v>
      </c>
      <c r="M537">
        <v>0.87749999999999995</v>
      </c>
      <c r="N537" t="s">
        <v>21</v>
      </c>
    </row>
    <row r="538" spans="1:14">
      <c r="A538">
        <v>408</v>
      </c>
      <c r="B538" s="4">
        <v>45282</v>
      </c>
      <c r="C538" s="5">
        <v>0.34583333333333333</v>
      </c>
      <c r="D538" t="s">
        <v>159</v>
      </c>
      <c r="E538" t="s">
        <v>23</v>
      </c>
      <c r="F538">
        <v>64</v>
      </c>
      <c r="G538" t="s">
        <v>20</v>
      </c>
      <c r="H538">
        <v>1</v>
      </c>
      <c r="I538">
        <v>500</v>
      </c>
      <c r="J538">
        <v>140</v>
      </c>
      <c r="K538">
        <v>500</v>
      </c>
      <c r="L538">
        <v>360</v>
      </c>
      <c r="M538">
        <v>0.72</v>
      </c>
      <c r="N538" t="s">
        <v>28</v>
      </c>
    </row>
    <row r="539" spans="1:14">
      <c r="A539">
        <v>1354</v>
      </c>
      <c r="B539" s="4">
        <v>45186</v>
      </c>
      <c r="C539" s="5">
        <v>0.39861111111111114</v>
      </c>
      <c r="D539" t="s">
        <v>22</v>
      </c>
      <c r="E539" t="s">
        <v>23</v>
      </c>
      <c r="F539">
        <v>49</v>
      </c>
      <c r="G539" t="s">
        <v>20</v>
      </c>
      <c r="H539">
        <v>4</v>
      </c>
      <c r="I539">
        <v>50</v>
      </c>
      <c r="J539">
        <v>26.5</v>
      </c>
      <c r="K539">
        <v>200</v>
      </c>
      <c r="L539">
        <v>173.5</v>
      </c>
      <c r="M539">
        <v>0.86750000000000005</v>
      </c>
      <c r="N539" t="s">
        <v>21</v>
      </c>
    </row>
    <row r="540" spans="1:14">
      <c r="A540">
        <v>1408</v>
      </c>
      <c r="B540" s="4">
        <v>45166</v>
      </c>
      <c r="C540" s="5">
        <v>0.34513888888888888</v>
      </c>
      <c r="D540" t="s">
        <v>124</v>
      </c>
      <c r="E540" t="s">
        <v>23</v>
      </c>
      <c r="F540">
        <v>64</v>
      </c>
      <c r="G540" t="s">
        <v>20</v>
      </c>
      <c r="H540">
        <v>1</v>
      </c>
      <c r="I540">
        <v>500</v>
      </c>
      <c r="J540">
        <v>250</v>
      </c>
      <c r="K540">
        <v>500</v>
      </c>
      <c r="L540">
        <v>250</v>
      </c>
      <c r="M540">
        <v>0.5</v>
      </c>
      <c r="N540" t="s">
        <v>28</v>
      </c>
    </row>
    <row r="541" spans="1:14">
      <c r="A541">
        <v>674</v>
      </c>
      <c r="B541" s="4">
        <v>45015</v>
      </c>
      <c r="C541" s="5">
        <v>0.46527777777777779</v>
      </c>
      <c r="D541" t="s">
        <v>124</v>
      </c>
      <c r="E541" t="s">
        <v>23</v>
      </c>
      <c r="F541">
        <v>38</v>
      </c>
      <c r="G541" t="s">
        <v>17</v>
      </c>
      <c r="H541">
        <v>1</v>
      </c>
      <c r="I541">
        <v>300</v>
      </c>
      <c r="J541">
        <v>84</v>
      </c>
      <c r="K541">
        <v>300</v>
      </c>
      <c r="L541">
        <v>216</v>
      </c>
      <c r="M541">
        <v>0.72</v>
      </c>
      <c r="N541" t="s">
        <v>18</v>
      </c>
    </row>
    <row r="542" spans="1:14">
      <c r="A542">
        <v>1674</v>
      </c>
      <c r="B542" s="4">
        <v>45252</v>
      </c>
      <c r="C542" s="5">
        <v>0.38958333333333334</v>
      </c>
      <c r="D542" t="s">
        <v>40</v>
      </c>
      <c r="E542" t="s">
        <v>23</v>
      </c>
      <c r="F542">
        <v>38</v>
      </c>
      <c r="G542" t="s">
        <v>17</v>
      </c>
      <c r="H542">
        <v>1</v>
      </c>
      <c r="I542">
        <v>300</v>
      </c>
      <c r="J542">
        <v>123</v>
      </c>
      <c r="K542">
        <v>300</v>
      </c>
      <c r="L542">
        <v>177</v>
      </c>
      <c r="M542">
        <v>0.59</v>
      </c>
      <c r="N542" t="s">
        <v>18</v>
      </c>
    </row>
    <row r="543" spans="1:14">
      <c r="A543">
        <v>967</v>
      </c>
      <c r="B543" s="4">
        <v>45142</v>
      </c>
      <c r="C543" s="5">
        <v>0.42569444444444443</v>
      </c>
      <c r="D543" t="s">
        <v>159</v>
      </c>
      <c r="E543" t="s">
        <v>16</v>
      </c>
      <c r="F543">
        <v>62</v>
      </c>
      <c r="G543" t="s">
        <v>20</v>
      </c>
      <c r="H543">
        <v>1</v>
      </c>
      <c r="I543">
        <v>25</v>
      </c>
      <c r="J543">
        <v>13.25</v>
      </c>
      <c r="K543">
        <v>25</v>
      </c>
      <c r="L543">
        <v>11.75</v>
      </c>
      <c r="M543">
        <v>0.47</v>
      </c>
      <c r="N543" t="s">
        <v>28</v>
      </c>
    </row>
    <row r="544" spans="1:14">
      <c r="A544">
        <v>1967</v>
      </c>
      <c r="B544" s="4">
        <v>44980</v>
      </c>
      <c r="C544" s="5">
        <v>0.3527777777777778</v>
      </c>
      <c r="D544" t="s">
        <v>159</v>
      </c>
      <c r="E544" t="s">
        <v>16</v>
      </c>
      <c r="F544">
        <v>62</v>
      </c>
      <c r="G544" t="s">
        <v>20</v>
      </c>
      <c r="H544">
        <v>1</v>
      </c>
      <c r="I544">
        <v>25</v>
      </c>
      <c r="J544">
        <v>12.25</v>
      </c>
      <c r="K544">
        <v>25</v>
      </c>
      <c r="L544">
        <v>12.75</v>
      </c>
      <c r="M544">
        <v>0.51</v>
      </c>
      <c r="N544" t="s">
        <v>28</v>
      </c>
    </row>
    <row r="545" spans="1:14">
      <c r="A545">
        <v>79</v>
      </c>
      <c r="B545" s="4">
        <v>45029</v>
      </c>
      <c r="C545" s="5">
        <v>0.42708333333333331</v>
      </c>
      <c r="D545" t="s">
        <v>40</v>
      </c>
      <c r="E545" t="s">
        <v>16</v>
      </c>
      <c r="F545">
        <v>34</v>
      </c>
      <c r="G545" t="s">
        <v>20</v>
      </c>
      <c r="H545">
        <v>1</v>
      </c>
      <c r="I545">
        <v>300</v>
      </c>
      <c r="J545">
        <v>96</v>
      </c>
      <c r="K545">
        <v>300</v>
      </c>
      <c r="L545">
        <v>204</v>
      </c>
      <c r="M545">
        <v>0.68</v>
      </c>
      <c r="N545" t="s">
        <v>39</v>
      </c>
    </row>
    <row r="546" spans="1:14">
      <c r="A546">
        <v>406</v>
      </c>
      <c r="B546" s="4">
        <v>45017</v>
      </c>
      <c r="C546" s="5">
        <v>0.49305555555555558</v>
      </c>
      <c r="D546" t="s">
        <v>81</v>
      </c>
      <c r="E546" t="s">
        <v>23</v>
      </c>
      <c r="F546">
        <v>22</v>
      </c>
      <c r="G546" t="s">
        <v>20</v>
      </c>
      <c r="H546">
        <v>4</v>
      </c>
      <c r="I546">
        <v>25</v>
      </c>
      <c r="J546">
        <v>11</v>
      </c>
      <c r="K546">
        <v>100</v>
      </c>
      <c r="L546">
        <v>89</v>
      </c>
      <c r="M546">
        <v>0.89</v>
      </c>
      <c r="N546" t="s">
        <v>31</v>
      </c>
    </row>
    <row r="547" spans="1:14">
      <c r="A547">
        <v>450</v>
      </c>
      <c r="B547" s="4">
        <v>45261</v>
      </c>
      <c r="C547" s="5">
        <v>0.27430555555555558</v>
      </c>
      <c r="D547" t="s">
        <v>124</v>
      </c>
      <c r="E547" t="s">
        <v>23</v>
      </c>
      <c r="F547">
        <v>59</v>
      </c>
      <c r="G547" t="s">
        <v>20</v>
      </c>
      <c r="H547">
        <v>2</v>
      </c>
      <c r="I547">
        <v>25</v>
      </c>
      <c r="J547">
        <v>11</v>
      </c>
      <c r="K547">
        <v>50</v>
      </c>
      <c r="L547">
        <v>39</v>
      </c>
      <c r="M547">
        <v>0.78</v>
      </c>
      <c r="N547" t="s">
        <v>28</v>
      </c>
    </row>
    <row r="548" spans="1:14">
      <c r="A548">
        <v>562</v>
      </c>
      <c r="B548" s="4">
        <v>45239</v>
      </c>
      <c r="C548" s="5">
        <v>0.39305555555555555</v>
      </c>
      <c r="D548" t="s">
        <v>81</v>
      </c>
      <c r="E548" t="s">
        <v>16</v>
      </c>
      <c r="F548">
        <v>54</v>
      </c>
      <c r="G548" t="s">
        <v>30</v>
      </c>
      <c r="H548">
        <v>2</v>
      </c>
      <c r="I548">
        <v>25</v>
      </c>
      <c r="J548">
        <v>7.25</v>
      </c>
      <c r="K548">
        <v>50</v>
      </c>
      <c r="L548">
        <v>42.75</v>
      </c>
      <c r="M548">
        <v>0.85499999999999998</v>
      </c>
      <c r="N548" t="s">
        <v>21</v>
      </c>
    </row>
    <row r="549" spans="1:14">
      <c r="A549">
        <v>1079</v>
      </c>
      <c r="B549" s="4">
        <v>45159</v>
      </c>
      <c r="C549" s="5">
        <v>0.28125</v>
      </c>
      <c r="D549" t="s">
        <v>40</v>
      </c>
      <c r="E549" t="s">
        <v>16</v>
      </c>
      <c r="F549">
        <v>34</v>
      </c>
      <c r="G549" t="s">
        <v>20</v>
      </c>
      <c r="H549">
        <v>1</v>
      </c>
      <c r="I549">
        <v>300</v>
      </c>
      <c r="J549">
        <v>117</v>
      </c>
      <c r="K549">
        <v>300</v>
      </c>
      <c r="L549">
        <v>183</v>
      </c>
      <c r="M549">
        <v>0.61</v>
      </c>
      <c r="N549" t="s">
        <v>39</v>
      </c>
    </row>
    <row r="550" spans="1:14">
      <c r="A550">
        <v>1406</v>
      </c>
      <c r="B550" s="4">
        <v>45099</v>
      </c>
      <c r="C550" s="5">
        <v>0.36458333333333331</v>
      </c>
      <c r="D550" t="s">
        <v>124</v>
      </c>
      <c r="E550" t="s">
        <v>23</v>
      </c>
      <c r="F550">
        <v>22</v>
      </c>
      <c r="G550" t="s">
        <v>20</v>
      </c>
      <c r="H550">
        <v>4</v>
      </c>
      <c r="I550">
        <v>25</v>
      </c>
      <c r="J550">
        <v>10</v>
      </c>
      <c r="K550">
        <v>100</v>
      </c>
      <c r="L550">
        <v>90</v>
      </c>
      <c r="M550">
        <v>0.9</v>
      </c>
      <c r="N550" t="s">
        <v>31</v>
      </c>
    </row>
    <row r="551" spans="1:14">
      <c r="A551">
        <v>1450</v>
      </c>
      <c r="B551" s="4">
        <v>45123</v>
      </c>
      <c r="C551" s="5">
        <v>0.36944444444444446</v>
      </c>
      <c r="D551" t="s">
        <v>40</v>
      </c>
      <c r="E551" t="s">
        <v>23</v>
      </c>
      <c r="F551">
        <v>59</v>
      </c>
      <c r="G551" t="s">
        <v>20</v>
      </c>
      <c r="H551">
        <v>2</v>
      </c>
      <c r="I551">
        <v>25</v>
      </c>
      <c r="J551">
        <v>10.25</v>
      </c>
      <c r="K551">
        <v>50</v>
      </c>
      <c r="L551">
        <v>39.75</v>
      </c>
      <c r="M551">
        <v>0.79500000000000004</v>
      </c>
      <c r="N551" t="s">
        <v>28</v>
      </c>
    </row>
    <row r="552" spans="1:14">
      <c r="A552">
        <v>1562</v>
      </c>
      <c r="B552" s="4">
        <v>45256</v>
      </c>
      <c r="C552" s="5">
        <v>0.43125000000000002</v>
      </c>
      <c r="D552" t="s">
        <v>22</v>
      </c>
      <c r="E552" t="s">
        <v>16</v>
      </c>
      <c r="F552">
        <v>54</v>
      </c>
      <c r="G552" t="s">
        <v>30</v>
      </c>
      <c r="H552">
        <v>2</v>
      </c>
      <c r="I552">
        <v>25</v>
      </c>
      <c r="J552">
        <v>12.75</v>
      </c>
      <c r="K552">
        <v>50</v>
      </c>
      <c r="L552">
        <v>37.25</v>
      </c>
      <c r="M552">
        <v>0.745</v>
      </c>
      <c r="N552" t="s">
        <v>21</v>
      </c>
    </row>
    <row r="553" spans="1:14">
      <c r="A553">
        <v>108</v>
      </c>
      <c r="B553" s="4">
        <v>44950</v>
      </c>
      <c r="C553" s="5">
        <v>0.40138888888888891</v>
      </c>
      <c r="D553" t="s">
        <v>22</v>
      </c>
      <c r="E553" t="s">
        <v>23</v>
      </c>
      <c r="F553">
        <v>27</v>
      </c>
      <c r="G553" t="s">
        <v>20</v>
      </c>
      <c r="H553">
        <v>3</v>
      </c>
      <c r="I553">
        <v>25</v>
      </c>
      <c r="J553">
        <v>13.5</v>
      </c>
      <c r="K553">
        <v>75</v>
      </c>
      <c r="L553">
        <v>61.5</v>
      </c>
      <c r="M553">
        <v>0.82</v>
      </c>
      <c r="N553" t="s">
        <v>39</v>
      </c>
    </row>
    <row r="554" spans="1:14">
      <c r="A554">
        <v>111</v>
      </c>
      <c r="B554" s="4">
        <v>45031</v>
      </c>
      <c r="C554" s="5">
        <v>0.40625</v>
      </c>
      <c r="D554" t="s">
        <v>22</v>
      </c>
      <c r="E554" t="s">
        <v>23</v>
      </c>
      <c r="F554">
        <v>34</v>
      </c>
      <c r="G554" t="s">
        <v>30</v>
      </c>
      <c r="H554">
        <v>3</v>
      </c>
      <c r="I554">
        <v>500</v>
      </c>
      <c r="J554">
        <v>130</v>
      </c>
      <c r="K554">
        <v>1500</v>
      </c>
      <c r="L554">
        <v>1370</v>
      </c>
      <c r="M554">
        <v>0.91333333333333333</v>
      </c>
      <c r="N554" t="s">
        <v>39</v>
      </c>
    </row>
    <row r="555" spans="1:14">
      <c r="A555">
        <v>207</v>
      </c>
      <c r="B555" s="4">
        <v>45144</v>
      </c>
      <c r="C555" s="5">
        <v>0.35694444444444445</v>
      </c>
      <c r="D555" t="s">
        <v>81</v>
      </c>
      <c r="E555" t="s">
        <v>23</v>
      </c>
      <c r="F555">
        <v>42</v>
      </c>
      <c r="G555" t="s">
        <v>20</v>
      </c>
      <c r="H555">
        <v>2</v>
      </c>
      <c r="I555">
        <v>25</v>
      </c>
      <c r="J555">
        <v>10.25</v>
      </c>
      <c r="K555">
        <v>50</v>
      </c>
      <c r="L555">
        <v>39.75</v>
      </c>
      <c r="M555">
        <v>0.79500000000000004</v>
      </c>
      <c r="N555" t="s">
        <v>18</v>
      </c>
    </row>
    <row r="556" spans="1:14">
      <c r="A556">
        <v>724</v>
      </c>
      <c r="B556" s="4">
        <v>45091</v>
      </c>
      <c r="C556" s="5">
        <v>0.28888888888888886</v>
      </c>
      <c r="D556" t="s">
        <v>81</v>
      </c>
      <c r="E556" t="s">
        <v>16</v>
      </c>
      <c r="F556">
        <v>61</v>
      </c>
      <c r="G556" t="s">
        <v>17</v>
      </c>
      <c r="H556">
        <v>3</v>
      </c>
      <c r="I556">
        <v>50</v>
      </c>
      <c r="J556">
        <v>20</v>
      </c>
      <c r="K556">
        <v>150</v>
      </c>
      <c r="L556">
        <v>130</v>
      </c>
      <c r="M556">
        <v>0.8666666666666667</v>
      </c>
      <c r="N556" t="s">
        <v>28</v>
      </c>
    </row>
    <row r="557" spans="1:14">
      <c r="A557">
        <v>836</v>
      </c>
      <c r="B557" s="4">
        <v>45098</v>
      </c>
      <c r="C557" s="5">
        <v>0.2722222222222222</v>
      </c>
      <c r="D557" t="s">
        <v>124</v>
      </c>
      <c r="E557" t="s">
        <v>23</v>
      </c>
      <c r="F557">
        <v>22</v>
      </c>
      <c r="G557" t="s">
        <v>17</v>
      </c>
      <c r="H557">
        <v>1</v>
      </c>
      <c r="I557">
        <v>50</v>
      </c>
      <c r="J557">
        <v>27.5</v>
      </c>
      <c r="K557">
        <v>50</v>
      </c>
      <c r="L557">
        <v>22.5</v>
      </c>
      <c r="M557">
        <v>0.45</v>
      </c>
      <c r="N557" t="s">
        <v>31</v>
      </c>
    </row>
    <row r="558" spans="1:14">
      <c r="A558">
        <v>969</v>
      </c>
      <c r="B558" s="4">
        <v>45257</v>
      </c>
      <c r="C558" s="5">
        <v>0.4909722222222222</v>
      </c>
      <c r="D558" t="s">
        <v>124</v>
      </c>
      <c r="E558" t="s">
        <v>23</v>
      </c>
      <c r="F558">
        <v>40</v>
      </c>
      <c r="G558" t="s">
        <v>17</v>
      </c>
      <c r="H558">
        <v>3</v>
      </c>
      <c r="I558">
        <v>300</v>
      </c>
      <c r="J558">
        <v>84</v>
      </c>
      <c r="K558">
        <v>900</v>
      </c>
      <c r="L558">
        <v>816</v>
      </c>
      <c r="M558">
        <v>0.90666666666666662</v>
      </c>
      <c r="N558" t="s">
        <v>18</v>
      </c>
    </row>
    <row r="559" spans="1:14">
      <c r="A559">
        <v>1108</v>
      </c>
      <c r="B559" s="4">
        <v>45115</v>
      </c>
      <c r="C559" s="5">
        <v>0.43541666666666667</v>
      </c>
      <c r="D559" t="s">
        <v>40</v>
      </c>
      <c r="E559" t="s">
        <v>23</v>
      </c>
      <c r="F559">
        <v>27</v>
      </c>
      <c r="G559" t="s">
        <v>20</v>
      </c>
      <c r="H559">
        <v>3</v>
      </c>
      <c r="I559">
        <v>25</v>
      </c>
      <c r="J559">
        <v>10</v>
      </c>
      <c r="K559">
        <v>75</v>
      </c>
      <c r="L559">
        <v>65</v>
      </c>
      <c r="M559">
        <v>0.8666666666666667</v>
      </c>
      <c r="N559" t="s">
        <v>39</v>
      </c>
    </row>
    <row r="560" spans="1:14">
      <c r="A560">
        <v>1111</v>
      </c>
      <c r="B560" s="4">
        <v>45046</v>
      </c>
      <c r="C560" s="5">
        <v>0.89861111111111114</v>
      </c>
      <c r="D560" t="s">
        <v>124</v>
      </c>
      <c r="E560" t="s">
        <v>23</v>
      </c>
      <c r="F560">
        <v>34</v>
      </c>
      <c r="G560" t="s">
        <v>30</v>
      </c>
      <c r="H560">
        <v>3</v>
      </c>
      <c r="I560">
        <v>500</v>
      </c>
      <c r="J560">
        <v>185</v>
      </c>
      <c r="K560">
        <v>1500</v>
      </c>
      <c r="L560">
        <v>1315</v>
      </c>
      <c r="M560">
        <v>0.87666666666666671</v>
      </c>
      <c r="N560" t="s">
        <v>39</v>
      </c>
    </row>
    <row r="561" spans="1:14">
      <c r="A561">
        <v>1207</v>
      </c>
      <c r="B561" s="4">
        <v>45107</v>
      </c>
      <c r="C561" s="5">
        <v>0.90833333333333333</v>
      </c>
      <c r="D561" t="s">
        <v>81</v>
      </c>
      <c r="E561" t="s">
        <v>23</v>
      </c>
      <c r="F561">
        <v>42</v>
      </c>
      <c r="G561" t="s">
        <v>20</v>
      </c>
      <c r="H561">
        <v>2</v>
      </c>
      <c r="I561">
        <v>25</v>
      </c>
      <c r="J561">
        <v>10</v>
      </c>
      <c r="K561">
        <v>50</v>
      </c>
      <c r="L561">
        <v>40</v>
      </c>
      <c r="M561">
        <v>0.8</v>
      </c>
      <c r="N561" t="s">
        <v>18</v>
      </c>
    </row>
    <row r="562" spans="1:14">
      <c r="A562">
        <v>1724</v>
      </c>
      <c r="B562" s="4">
        <v>45184</v>
      </c>
      <c r="C562" s="5">
        <v>0.87013888888888891</v>
      </c>
      <c r="D562" t="s">
        <v>159</v>
      </c>
      <c r="E562" t="s">
        <v>16</v>
      </c>
      <c r="F562">
        <v>61</v>
      </c>
      <c r="G562" t="s">
        <v>17</v>
      </c>
      <c r="H562">
        <v>3</v>
      </c>
      <c r="I562">
        <v>50</v>
      </c>
      <c r="J562">
        <v>17</v>
      </c>
      <c r="K562">
        <v>150</v>
      </c>
      <c r="L562">
        <v>133</v>
      </c>
      <c r="M562">
        <v>0.88666666666666671</v>
      </c>
      <c r="N562" t="s">
        <v>28</v>
      </c>
    </row>
    <row r="563" spans="1:14">
      <c r="A563">
        <v>1836</v>
      </c>
      <c r="B563" s="4">
        <v>44970</v>
      </c>
      <c r="C563" s="5">
        <v>0.72152777777777777</v>
      </c>
      <c r="D563" t="s">
        <v>81</v>
      </c>
      <c r="E563" t="s">
        <v>23</v>
      </c>
      <c r="F563">
        <v>22</v>
      </c>
      <c r="G563" t="s">
        <v>17</v>
      </c>
      <c r="H563">
        <v>1</v>
      </c>
      <c r="I563">
        <v>50</v>
      </c>
      <c r="J563">
        <v>23.5</v>
      </c>
      <c r="K563">
        <v>50</v>
      </c>
      <c r="L563">
        <v>26.5</v>
      </c>
      <c r="M563">
        <v>0.53</v>
      </c>
      <c r="N563" t="s">
        <v>31</v>
      </c>
    </row>
    <row r="564" spans="1:14">
      <c r="A564">
        <v>1969</v>
      </c>
      <c r="B564" s="4">
        <v>44990</v>
      </c>
      <c r="C564" s="5">
        <v>0.81527777777777777</v>
      </c>
      <c r="D564" t="s">
        <v>159</v>
      </c>
      <c r="E564" t="s">
        <v>23</v>
      </c>
      <c r="F564">
        <v>40</v>
      </c>
      <c r="G564" t="s">
        <v>17</v>
      </c>
      <c r="H564">
        <v>3</v>
      </c>
      <c r="I564">
        <v>300</v>
      </c>
      <c r="J564">
        <v>126</v>
      </c>
      <c r="K564">
        <v>900</v>
      </c>
      <c r="L564">
        <v>774</v>
      </c>
      <c r="M564">
        <v>0.86</v>
      </c>
      <c r="N564" t="s">
        <v>18</v>
      </c>
    </row>
    <row r="565" spans="1:14">
      <c r="A565">
        <v>246</v>
      </c>
      <c r="B565" s="4">
        <v>45267</v>
      </c>
      <c r="C565" s="5">
        <v>0.83680555555555558</v>
      </c>
      <c r="D565" t="s">
        <v>159</v>
      </c>
      <c r="E565" t="s">
        <v>23</v>
      </c>
      <c r="F565">
        <v>48</v>
      </c>
      <c r="G565" t="s">
        <v>30</v>
      </c>
      <c r="H565">
        <v>2</v>
      </c>
      <c r="I565">
        <v>25</v>
      </c>
      <c r="J565">
        <v>13.25</v>
      </c>
      <c r="K565">
        <v>50</v>
      </c>
      <c r="L565">
        <v>36.75</v>
      </c>
      <c r="M565">
        <v>0.73499999999999999</v>
      </c>
      <c r="N565" t="s">
        <v>21</v>
      </c>
    </row>
    <row r="566" spans="1:14">
      <c r="A566">
        <v>298</v>
      </c>
      <c r="B566" s="4">
        <v>45204</v>
      </c>
      <c r="C566" s="5">
        <v>0.79513888888888884</v>
      </c>
      <c r="D566" t="s">
        <v>81</v>
      </c>
      <c r="E566" t="s">
        <v>16</v>
      </c>
      <c r="F566">
        <v>27</v>
      </c>
      <c r="G566" t="s">
        <v>20</v>
      </c>
      <c r="H566">
        <v>4</v>
      </c>
      <c r="I566">
        <v>300</v>
      </c>
      <c r="J566">
        <v>84</v>
      </c>
      <c r="K566">
        <v>1200</v>
      </c>
      <c r="L566">
        <v>1116</v>
      </c>
      <c r="M566">
        <v>0.93</v>
      </c>
      <c r="N566" t="s">
        <v>39</v>
      </c>
    </row>
    <row r="567" spans="1:14">
      <c r="A567">
        <v>374</v>
      </c>
      <c r="B567" s="4">
        <v>45226</v>
      </c>
      <c r="C567" s="5">
        <v>0.73958333333333337</v>
      </c>
      <c r="D567" t="s">
        <v>159</v>
      </c>
      <c r="E567" t="s">
        <v>23</v>
      </c>
      <c r="F567">
        <v>59</v>
      </c>
      <c r="G567" t="s">
        <v>20</v>
      </c>
      <c r="H567">
        <v>3</v>
      </c>
      <c r="I567">
        <v>25</v>
      </c>
      <c r="J567">
        <v>7.75</v>
      </c>
      <c r="K567">
        <v>75</v>
      </c>
      <c r="L567">
        <v>67.25</v>
      </c>
      <c r="M567">
        <v>0.89666666666666661</v>
      </c>
      <c r="N567" t="s">
        <v>28</v>
      </c>
    </row>
    <row r="568" spans="1:14">
      <c r="A568">
        <v>572</v>
      </c>
      <c r="B568" s="4">
        <v>45273</v>
      </c>
      <c r="C568" s="5">
        <v>0.7729166666666667</v>
      </c>
      <c r="D568" t="s">
        <v>22</v>
      </c>
      <c r="E568" t="s">
        <v>16</v>
      </c>
      <c r="F568">
        <v>31</v>
      </c>
      <c r="G568" t="s">
        <v>17</v>
      </c>
      <c r="H568">
        <v>4</v>
      </c>
      <c r="I568">
        <v>500</v>
      </c>
      <c r="J568">
        <v>185</v>
      </c>
      <c r="K568">
        <v>2000</v>
      </c>
      <c r="L568">
        <v>1815</v>
      </c>
      <c r="M568">
        <v>0.90749999999999997</v>
      </c>
      <c r="N568" t="s">
        <v>39</v>
      </c>
    </row>
    <row r="569" spans="1:14">
      <c r="A569">
        <v>665</v>
      </c>
      <c r="B569" s="4">
        <v>45202</v>
      </c>
      <c r="C569" s="5">
        <v>0.9506944444444444</v>
      </c>
      <c r="D569" t="s">
        <v>40</v>
      </c>
      <c r="E569" t="s">
        <v>16</v>
      </c>
      <c r="F569">
        <v>57</v>
      </c>
      <c r="G569" t="s">
        <v>17</v>
      </c>
      <c r="H569">
        <v>1</v>
      </c>
      <c r="I569">
        <v>50</v>
      </c>
      <c r="J569">
        <v>19</v>
      </c>
      <c r="K569">
        <v>50</v>
      </c>
      <c r="L569">
        <v>31</v>
      </c>
      <c r="M569">
        <v>0.62</v>
      </c>
      <c r="N569" t="s">
        <v>28</v>
      </c>
    </row>
    <row r="570" spans="1:14">
      <c r="A570">
        <v>1246</v>
      </c>
      <c r="B570" s="4">
        <v>45042</v>
      </c>
      <c r="C570" s="5">
        <v>0.95416666666666672</v>
      </c>
      <c r="D570" t="s">
        <v>81</v>
      </c>
      <c r="E570" t="s">
        <v>23</v>
      </c>
      <c r="F570">
        <v>48</v>
      </c>
      <c r="G570" t="s">
        <v>30</v>
      </c>
      <c r="H570">
        <v>2</v>
      </c>
      <c r="I570">
        <v>25</v>
      </c>
      <c r="J570">
        <v>11.5</v>
      </c>
      <c r="K570">
        <v>50</v>
      </c>
      <c r="L570">
        <v>38.5</v>
      </c>
      <c r="M570">
        <v>0.77</v>
      </c>
      <c r="N570" t="s">
        <v>21</v>
      </c>
    </row>
    <row r="571" spans="1:14">
      <c r="A571">
        <v>1298</v>
      </c>
      <c r="B571" s="4">
        <v>45048</v>
      </c>
      <c r="C571" s="5">
        <v>0.82708333333333328</v>
      </c>
      <c r="D571" t="s">
        <v>40</v>
      </c>
      <c r="E571" t="s">
        <v>16</v>
      </c>
      <c r="F571">
        <v>27</v>
      </c>
      <c r="G571" t="s">
        <v>20</v>
      </c>
      <c r="H571">
        <v>4</v>
      </c>
      <c r="I571">
        <v>300</v>
      </c>
      <c r="J571">
        <v>120</v>
      </c>
      <c r="K571">
        <v>1200</v>
      </c>
      <c r="L571">
        <v>1080</v>
      </c>
      <c r="M571">
        <v>0.9</v>
      </c>
      <c r="N571" t="s">
        <v>39</v>
      </c>
    </row>
    <row r="572" spans="1:14">
      <c r="A572">
        <v>1374</v>
      </c>
      <c r="B572" s="4">
        <v>45008</v>
      </c>
      <c r="C572" s="5">
        <v>0.91874999999999996</v>
      </c>
      <c r="D572" t="s">
        <v>81</v>
      </c>
      <c r="E572" t="s">
        <v>23</v>
      </c>
      <c r="F572">
        <v>59</v>
      </c>
      <c r="G572" t="s">
        <v>20</v>
      </c>
      <c r="H572">
        <v>3</v>
      </c>
      <c r="I572">
        <v>25</v>
      </c>
      <c r="J572">
        <v>8.25</v>
      </c>
      <c r="K572">
        <v>75</v>
      </c>
      <c r="L572">
        <v>66.75</v>
      </c>
      <c r="M572">
        <v>0.89</v>
      </c>
      <c r="N572" t="s">
        <v>28</v>
      </c>
    </row>
    <row r="573" spans="1:14">
      <c r="A573">
        <v>1572</v>
      </c>
      <c r="B573" s="4">
        <v>45095</v>
      </c>
      <c r="C573" s="5">
        <v>0.93055555555555558</v>
      </c>
      <c r="D573" t="s">
        <v>40</v>
      </c>
      <c r="E573" t="s">
        <v>16</v>
      </c>
      <c r="F573">
        <v>31</v>
      </c>
      <c r="G573" t="s">
        <v>17</v>
      </c>
      <c r="H573">
        <v>4</v>
      </c>
      <c r="I573">
        <v>500</v>
      </c>
      <c r="J573">
        <v>175</v>
      </c>
      <c r="K573">
        <v>2000</v>
      </c>
      <c r="L573">
        <v>1825</v>
      </c>
      <c r="M573">
        <v>0.91249999999999998</v>
      </c>
      <c r="N573" t="s">
        <v>39</v>
      </c>
    </row>
    <row r="574" spans="1:14">
      <c r="A574">
        <v>1665</v>
      </c>
      <c r="B574" s="4">
        <v>45231</v>
      </c>
      <c r="C574" s="5">
        <v>0.81805555555555554</v>
      </c>
      <c r="D574" t="s">
        <v>159</v>
      </c>
      <c r="E574" t="s">
        <v>16</v>
      </c>
      <c r="F574">
        <v>57</v>
      </c>
      <c r="G574" t="s">
        <v>17</v>
      </c>
      <c r="H574">
        <v>1</v>
      </c>
      <c r="I574">
        <v>50</v>
      </c>
      <c r="J574">
        <v>14</v>
      </c>
      <c r="K574">
        <v>50</v>
      </c>
      <c r="L574">
        <v>36</v>
      </c>
      <c r="M574">
        <v>0.72</v>
      </c>
      <c r="N574" t="s">
        <v>28</v>
      </c>
    </row>
    <row r="575" spans="1:14">
      <c r="A575">
        <v>39</v>
      </c>
      <c r="B575" s="4">
        <v>45118</v>
      </c>
      <c r="C575" s="5">
        <v>0.94722222222222219</v>
      </c>
      <c r="D575" t="s">
        <v>22</v>
      </c>
      <c r="E575" t="s">
        <v>16</v>
      </c>
      <c r="F575">
        <v>23</v>
      </c>
      <c r="G575" t="s">
        <v>17</v>
      </c>
      <c r="H575">
        <v>4</v>
      </c>
      <c r="I575">
        <v>30</v>
      </c>
      <c r="J575">
        <v>8.6999999999999993</v>
      </c>
      <c r="K575">
        <v>120</v>
      </c>
      <c r="L575">
        <v>111.3</v>
      </c>
      <c r="M575">
        <v>0.92749999999999999</v>
      </c>
      <c r="N575" t="s">
        <v>31</v>
      </c>
    </row>
    <row r="576" spans="1:14">
      <c r="A576">
        <v>893</v>
      </c>
      <c r="B576" s="4">
        <v>45045</v>
      </c>
      <c r="C576" s="5">
        <v>0.78611111111111109</v>
      </c>
      <c r="D576" t="s">
        <v>40</v>
      </c>
      <c r="E576" t="s">
        <v>16</v>
      </c>
      <c r="F576">
        <v>49</v>
      </c>
      <c r="G576" t="s">
        <v>30</v>
      </c>
      <c r="H576">
        <v>1</v>
      </c>
      <c r="I576">
        <v>50</v>
      </c>
      <c r="J576">
        <v>17</v>
      </c>
      <c r="K576">
        <v>50</v>
      </c>
      <c r="L576">
        <v>33</v>
      </c>
      <c r="M576">
        <v>0.66</v>
      </c>
      <c r="N576" t="s">
        <v>21</v>
      </c>
    </row>
    <row r="577" spans="1:14">
      <c r="A577">
        <v>1039</v>
      </c>
      <c r="B577" s="4">
        <v>45263</v>
      </c>
      <c r="C577" s="5">
        <v>0.83402777777777781</v>
      </c>
      <c r="D577" t="s">
        <v>40</v>
      </c>
      <c r="E577" t="s">
        <v>16</v>
      </c>
      <c r="F577">
        <v>23</v>
      </c>
      <c r="G577" t="s">
        <v>17</v>
      </c>
      <c r="H577">
        <v>4</v>
      </c>
      <c r="I577">
        <v>30</v>
      </c>
      <c r="J577">
        <v>13.8</v>
      </c>
      <c r="K577">
        <v>120</v>
      </c>
      <c r="L577">
        <v>106.2</v>
      </c>
      <c r="M577">
        <v>0.88500000000000001</v>
      </c>
      <c r="N577" t="s">
        <v>31</v>
      </c>
    </row>
    <row r="578" spans="1:14">
      <c r="A578">
        <v>1893</v>
      </c>
      <c r="B578" s="4">
        <v>44982</v>
      </c>
      <c r="C578" s="5">
        <v>0.71111111111111114</v>
      </c>
      <c r="D578" t="s">
        <v>81</v>
      </c>
      <c r="E578" t="s">
        <v>16</v>
      </c>
      <c r="F578">
        <v>49</v>
      </c>
      <c r="G578" t="s">
        <v>30</v>
      </c>
      <c r="H578">
        <v>1</v>
      </c>
      <c r="I578">
        <v>50</v>
      </c>
      <c r="J578">
        <v>22.5</v>
      </c>
      <c r="K578">
        <v>50</v>
      </c>
      <c r="L578">
        <v>27.5</v>
      </c>
      <c r="M578">
        <v>0.55000000000000004</v>
      </c>
      <c r="N578" t="s">
        <v>21</v>
      </c>
    </row>
    <row r="579" spans="1:14">
      <c r="A579">
        <v>17</v>
      </c>
      <c r="B579" s="4">
        <v>44982</v>
      </c>
      <c r="C579" s="5">
        <v>0.88055555555555554</v>
      </c>
      <c r="D579" t="s">
        <v>81</v>
      </c>
      <c r="E579" t="s">
        <v>23</v>
      </c>
      <c r="F579">
        <v>27</v>
      </c>
      <c r="G579" t="s">
        <v>17</v>
      </c>
      <c r="H579">
        <v>4</v>
      </c>
      <c r="I579">
        <v>25</v>
      </c>
      <c r="J579">
        <v>13</v>
      </c>
      <c r="K579">
        <v>100</v>
      </c>
      <c r="L579">
        <v>87</v>
      </c>
      <c r="M579">
        <v>0.87</v>
      </c>
      <c r="N579" t="s">
        <v>39</v>
      </c>
    </row>
    <row r="580" spans="1:14">
      <c r="A580">
        <v>316</v>
      </c>
      <c r="B580" s="4">
        <v>44958</v>
      </c>
      <c r="C580" s="5">
        <v>0.72569444444444442</v>
      </c>
      <c r="D580" t="s">
        <v>81</v>
      </c>
      <c r="E580" t="s">
        <v>23</v>
      </c>
      <c r="F580">
        <v>48</v>
      </c>
      <c r="G580" t="s">
        <v>17</v>
      </c>
      <c r="H580">
        <v>2</v>
      </c>
      <c r="I580">
        <v>25</v>
      </c>
      <c r="J580">
        <v>13.75</v>
      </c>
      <c r="K580">
        <v>50</v>
      </c>
      <c r="L580">
        <v>36.25</v>
      </c>
      <c r="M580">
        <v>0.72499999999999998</v>
      </c>
      <c r="N580" t="s">
        <v>21</v>
      </c>
    </row>
    <row r="581" spans="1:14">
      <c r="A581">
        <v>755</v>
      </c>
      <c r="B581" s="4">
        <v>45257</v>
      </c>
      <c r="C581" s="5">
        <v>0.83819444444444446</v>
      </c>
      <c r="D581" t="s">
        <v>40</v>
      </c>
      <c r="E581" t="s">
        <v>23</v>
      </c>
      <c r="F581">
        <v>58</v>
      </c>
      <c r="G581" t="s">
        <v>17</v>
      </c>
      <c r="H581">
        <v>3</v>
      </c>
      <c r="I581">
        <v>25</v>
      </c>
      <c r="J581">
        <v>6.75</v>
      </c>
      <c r="K581">
        <v>75</v>
      </c>
      <c r="L581">
        <v>68.25</v>
      </c>
      <c r="M581">
        <v>0.91</v>
      </c>
      <c r="N581" t="s">
        <v>28</v>
      </c>
    </row>
    <row r="582" spans="1:14">
      <c r="A582">
        <v>1017</v>
      </c>
      <c r="B582" s="4">
        <v>45174</v>
      </c>
      <c r="C582" s="5">
        <v>0.77847222222222223</v>
      </c>
      <c r="D582" t="s">
        <v>124</v>
      </c>
      <c r="E582" t="s">
        <v>23</v>
      </c>
      <c r="F582">
        <v>27</v>
      </c>
      <c r="G582" t="s">
        <v>17</v>
      </c>
      <c r="H582">
        <v>4</v>
      </c>
      <c r="I582">
        <v>25</v>
      </c>
      <c r="J582">
        <v>12</v>
      </c>
      <c r="K582">
        <v>100</v>
      </c>
      <c r="L582">
        <v>88</v>
      </c>
      <c r="M582">
        <v>0.88</v>
      </c>
      <c r="N582" t="s">
        <v>39</v>
      </c>
    </row>
    <row r="583" spans="1:14">
      <c r="A583">
        <v>1316</v>
      </c>
      <c r="B583" s="4">
        <v>45128</v>
      </c>
      <c r="C583" s="5">
        <v>0.71597222222222223</v>
      </c>
      <c r="D583" t="s">
        <v>40</v>
      </c>
      <c r="E583" t="s">
        <v>23</v>
      </c>
      <c r="F583">
        <v>48</v>
      </c>
      <c r="G583" t="s">
        <v>17</v>
      </c>
      <c r="H583">
        <v>2</v>
      </c>
      <c r="I583">
        <v>25</v>
      </c>
      <c r="J583">
        <v>11.75</v>
      </c>
      <c r="K583">
        <v>50</v>
      </c>
      <c r="L583">
        <v>38.25</v>
      </c>
      <c r="M583">
        <v>0.76500000000000001</v>
      </c>
      <c r="N583" t="s">
        <v>21</v>
      </c>
    </row>
    <row r="584" spans="1:14">
      <c r="A584">
        <v>1755</v>
      </c>
      <c r="B584" s="4">
        <v>45069</v>
      </c>
      <c r="C584" s="5">
        <v>0.90763888888888888</v>
      </c>
      <c r="D584" t="s">
        <v>124</v>
      </c>
      <c r="E584" t="s">
        <v>23</v>
      </c>
      <c r="F584">
        <v>58</v>
      </c>
      <c r="G584" t="s">
        <v>17</v>
      </c>
      <c r="H584">
        <v>3</v>
      </c>
      <c r="I584">
        <v>25</v>
      </c>
      <c r="J584">
        <v>8</v>
      </c>
      <c r="K584">
        <v>75</v>
      </c>
      <c r="L584">
        <v>67</v>
      </c>
      <c r="M584">
        <v>0.89333333333333331</v>
      </c>
      <c r="N584" t="s">
        <v>28</v>
      </c>
    </row>
    <row r="585" spans="1:14">
      <c r="A585">
        <v>28</v>
      </c>
      <c r="B585" s="4">
        <v>45271</v>
      </c>
      <c r="C585" s="5">
        <v>0.94027777777777777</v>
      </c>
      <c r="D585" t="s">
        <v>81</v>
      </c>
      <c r="E585" t="s">
        <v>23</v>
      </c>
      <c r="F585">
        <v>43</v>
      </c>
      <c r="G585" t="s">
        <v>20</v>
      </c>
      <c r="H585">
        <v>1</v>
      </c>
      <c r="I585">
        <v>500</v>
      </c>
      <c r="J585">
        <v>150</v>
      </c>
      <c r="K585">
        <v>500</v>
      </c>
      <c r="L585">
        <v>350</v>
      </c>
      <c r="M585">
        <v>0.7</v>
      </c>
      <c r="N585" t="s">
        <v>18</v>
      </c>
    </row>
    <row r="586" spans="1:14">
      <c r="A586">
        <v>98</v>
      </c>
      <c r="B586" s="4">
        <v>45025</v>
      </c>
      <c r="C586" s="5">
        <v>0.82013888888888886</v>
      </c>
      <c r="D586" t="s">
        <v>40</v>
      </c>
      <c r="E586" t="s">
        <v>23</v>
      </c>
      <c r="F586">
        <v>55</v>
      </c>
      <c r="G586" t="s">
        <v>20</v>
      </c>
      <c r="H586">
        <v>2</v>
      </c>
      <c r="I586">
        <v>50</v>
      </c>
      <c r="J586">
        <v>19.5</v>
      </c>
      <c r="K586">
        <v>100</v>
      </c>
      <c r="L586">
        <v>80.5</v>
      </c>
      <c r="M586">
        <v>0.80500000000000005</v>
      </c>
      <c r="N586" t="s">
        <v>21</v>
      </c>
    </row>
    <row r="587" spans="1:14">
      <c r="A587">
        <v>129</v>
      </c>
      <c r="B587" s="4">
        <v>45033</v>
      </c>
      <c r="C587" s="5">
        <v>0.73750000000000004</v>
      </c>
      <c r="D587" t="s">
        <v>40</v>
      </c>
      <c r="E587" t="s">
        <v>23</v>
      </c>
      <c r="F587">
        <v>21</v>
      </c>
      <c r="G587" t="s">
        <v>20</v>
      </c>
      <c r="H587">
        <v>2</v>
      </c>
      <c r="I587">
        <v>300</v>
      </c>
      <c r="J587">
        <v>75</v>
      </c>
      <c r="K587">
        <v>600</v>
      </c>
      <c r="L587">
        <v>525</v>
      </c>
      <c r="M587">
        <v>0.875</v>
      </c>
      <c r="N587" t="s">
        <v>31</v>
      </c>
    </row>
    <row r="588" spans="1:14">
      <c r="A588">
        <v>230</v>
      </c>
      <c r="B588" s="4">
        <v>45011</v>
      </c>
      <c r="C588" s="5">
        <v>0.73888888888888893</v>
      </c>
      <c r="D588" t="s">
        <v>22</v>
      </c>
      <c r="E588" t="s">
        <v>16</v>
      </c>
      <c r="F588">
        <v>54</v>
      </c>
      <c r="G588" t="s">
        <v>20</v>
      </c>
      <c r="H588">
        <v>1</v>
      </c>
      <c r="I588">
        <v>25</v>
      </c>
      <c r="J588">
        <v>12.5</v>
      </c>
      <c r="K588">
        <v>25</v>
      </c>
      <c r="L588">
        <v>12.5</v>
      </c>
      <c r="M588">
        <v>0.5</v>
      </c>
      <c r="N588" t="s">
        <v>21</v>
      </c>
    </row>
    <row r="589" spans="1:14">
      <c r="A589">
        <v>613</v>
      </c>
      <c r="B589" s="4">
        <v>45054</v>
      </c>
      <c r="C589" s="5">
        <v>0.72430555555555554</v>
      </c>
      <c r="D589" t="s">
        <v>124</v>
      </c>
      <c r="E589" t="s">
        <v>23</v>
      </c>
      <c r="F589">
        <v>52</v>
      </c>
      <c r="G589" t="s">
        <v>17</v>
      </c>
      <c r="H589">
        <v>3</v>
      </c>
      <c r="I589">
        <v>30</v>
      </c>
      <c r="J589">
        <v>11.4</v>
      </c>
      <c r="K589">
        <v>90</v>
      </c>
      <c r="L589">
        <v>78.599999999999994</v>
      </c>
      <c r="M589">
        <v>0.87333333333333329</v>
      </c>
      <c r="N589" t="s">
        <v>21</v>
      </c>
    </row>
    <row r="590" spans="1:14">
      <c r="A590">
        <v>691</v>
      </c>
      <c r="B590" s="4">
        <v>45058</v>
      </c>
      <c r="C590" s="5">
        <v>0.88124999999999998</v>
      </c>
      <c r="D590" t="s">
        <v>22</v>
      </c>
      <c r="E590" t="s">
        <v>23</v>
      </c>
      <c r="F590">
        <v>51</v>
      </c>
      <c r="G590" t="s">
        <v>17</v>
      </c>
      <c r="H590">
        <v>3</v>
      </c>
      <c r="I590">
        <v>30</v>
      </c>
      <c r="J590">
        <v>14.7</v>
      </c>
      <c r="K590">
        <v>90</v>
      </c>
      <c r="L590">
        <v>75.3</v>
      </c>
      <c r="M590">
        <v>0.83666666666666667</v>
      </c>
      <c r="N590" t="s">
        <v>21</v>
      </c>
    </row>
    <row r="591" spans="1:14">
      <c r="A591">
        <v>693</v>
      </c>
      <c r="B591" s="4">
        <v>45085</v>
      </c>
      <c r="C591" s="5">
        <v>0.71666666666666667</v>
      </c>
      <c r="D591" t="s">
        <v>40</v>
      </c>
      <c r="E591" t="s">
        <v>16</v>
      </c>
      <c r="F591">
        <v>41</v>
      </c>
      <c r="G591" t="s">
        <v>20</v>
      </c>
      <c r="H591">
        <v>3</v>
      </c>
      <c r="I591">
        <v>500</v>
      </c>
      <c r="J591">
        <v>270</v>
      </c>
      <c r="K591">
        <v>1500</v>
      </c>
      <c r="L591">
        <v>1230</v>
      </c>
      <c r="M591">
        <v>0.82</v>
      </c>
      <c r="N591" t="s">
        <v>18</v>
      </c>
    </row>
    <row r="592" spans="1:14">
      <c r="A592">
        <v>1028</v>
      </c>
      <c r="B592" s="4">
        <v>44994</v>
      </c>
      <c r="C592" s="5">
        <v>0.75624999999999998</v>
      </c>
      <c r="D592" t="s">
        <v>40</v>
      </c>
      <c r="E592" t="s">
        <v>23</v>
      </c>
      <c r="F592">
        <v>43</v>
      </c>
      <c r="G592" t="s">
        <v>20</v>
      </c>
      <c r="H592">
        <v>1</v>
      </c>
      <c r="I592">
        <v>500</v>
      </c>
      <c r="J592">
        <v>250</v>
      </c>
      <c r="K592">
        <v>500</v>
      </c>
      <c r="L592">
        <v>250</v>
      </c>
      <c r="M592">
        <v>0.5</v>
      </c>
      <c r="N592" t="s">
        <v>18</v>
      </c>
    </row>
    <row r="593" spans="1:14">
      <c r="A593">
        <v>1098</v>
      </c>
      <c r="B593" s="4">
        <v>45113</v>
      </c>
      <c r="C593" s="5">
        <v>0.94027777777777777</v>
      </c>
      <c r="D593" t="s">
        <v>81</v>
      </c>
      <c r="E593" t="s">
        <v>23</v>
      </c>
      <c r="F593">
        <v>55</v>
      </c>
      <c r="G593" t="s">
        <v>20</v>
      </c>
      <c r="H593">
        <v>2</v>
      </c>
      <c r="I593">
        <v>50</v>
      </c>
      <c r="J593">
        <v>19.5</v>
      </c>
      <c r="K593">
        <v>100</v>
      </c>
      <c r="L593">
        <v>80.5</v>
      </c>
      <c r="M593">
        <v>0.80500000000000005</v>
      </c>
      <c r="N593" t="s">
        <v>21</v>
      </c>
    </row>
    <row r="594" spans="1:14">
      <c r="A594">
        <v>1129</v>
      </c>
      <c r="B594" s="4">
        <v>45177</v>
      </c>
      <c r="C594" s="5">
        <v>0.90694444444444444</v>
      </c>
      <c r="D594" t="s">
        <v>40</v>
      </c>
      <c r="E594" t="s">
        <v>23</v>
      </c>
      <c r="F594">
        <v>21</v>
      </c>
      <c r="G594" t="s">
        <v>20</v>
      </c>
      <c r="H594">
        <v>2</v>
      </c>
      <c r="I594">
        <v>300</v>
      </c>
      <c r="J594">
        <v>156</v>
      </c>
      <c r="K594">
        <v>600</v>
      </c>
      <c r="L594">
        <v>444</v>
      </c>
      <c r="M594">
        <v>0.74</v>
      </c>
      <c r="N594" t="s">
        <v>31</v>
      </c>
    </row>
    <row r="595" spans="1:14">
      <c r="A595">
        <v>1230</v>
      </c>
      <c r="B595" s="4">
        <v>45264</v>
      </c>
      <c r="C595" s="5">
        <v>0.89166666666666672</v>
      </c>
      <c r="D595" t="s">
        <v>40</v>
      </c>
      <c r="E595" t="s">
        <v>16</v>
      </c>
      <c r="F595">
        <v>54</v>
      </c>
      <c r="G595" t="s">
        <v>20</v>
      </c>
      <c r="H595">
        <v>1</v>
      </c>
      <c r="I595">
        <v>25</v>
      </c>
      <c r="J595">
        <v>13.25</v>
      </c>
      <c r="K595">
        <v>25</v>
      </c>
      <c r="L595">
        <v>11.75</v>
      </c>
      <c r="M595">
        <v>0.47</v>
      </c>
      <c r="N595" t="s">
        <v>21</v>
      </c>
    </row>
    <row r="596" spans="1:14">
      <c r="A596">
        <v>1613</v>
      </c>
      <c r="B596" s="4">
        <v>45274</v>
      </c>
      <c r="C596" s="5">
        <v>0.91527777777777775</v>
      </c>
      <c r="D596" t="s">
        <v>159</v>
      </c>
      <c r="E596" t="s">
        <v>23</v>
      </c>
      <c r="F596">
        <v>52</v>
      </c>
      <c r="G596" t="s">
        <v>17</v>
      </c>
      <c r="H596">
        <v>3</v>
      </c>
      <c r="I596">
        <v>30</v>
      </c>
      <c r="J596">
        <v>9.9</v>
      </c>
      <c r="K596">
        <v>90</v>
      </c>
      <c r="L596">
        <v>80.099999999999994</v>
      </c>
      <c r="M596">
        <v>0.8899999999999999</v>
      </c>
      <c r="N596" t="s">
        <v>21</v>
      </c>
    </row>
    <row r="597" spans="1:14">
      <c r="A597">
        <v>1691</v>
      </c>
      <c r="B597" s="4">
        <v>44933</v>
      </c>
      <c r="C597" s="5">
        <v>0.83402777777777781</v>
      </c>
      <c r="D597" t="s">
        <v>40</v>
      </c>
      <c r="E597" t="s">
        <v>23</v>
      </c>
      <c r="F597">
        <v>51</v>
      </c>
      <c r="G597" t="s">
        <v>17</v>
      </c>
      <c r="H597">
        <v>3</v>
      </c>
      <c r="I597">
        <v>30</v>
      </c>
      <c r="J597">
        <v>13.5</v>
      </c>
      <c r="K597">
        <v>90</v>
      </c>
      <c r="L597">
        <v>76.5</v>
      </c>
      <c r="M597">
        <v>0.85</v>
      </c>
      <c r="N597" t="s">
        <v>21</v>
      </c>
    </row>
    <row r="598" spans="1:14">
      <c r="A598">
        <v>1693</v>
      </c>
      <c r="B598" s="4">
        <v>44977</v>
      </c>
      <c r="C598" s="5">
        <v>0.76458333333333328</v>
      </c>
      <c r="D598" t="s">
        <v>40</v>
      </c>
      <c r="E598" t="s">
        <v>16</v>
      </c>
      <c r="F598">
        <v>41</v>
      </c>
      <c r="G598" t="s">
        <v>20</v>
      </c>
      <c r="H598">
        <v>3</v>
      </c>
      <c r="I598">
        <v>500</v>
      </c>
      <c r="J598">
        <v>130</v>
      </c>
      <c r="K598">
        <v>1500</v>
      </c>
      <c r="L598">
        <v>1370</v>
      </c>
      <c r="M598">
        <v>0.91333333333333333</v>
      </c>
      <c r="N598" t="s">
        <v>18</v>
      </c>
    </row>
    <row r="599" spans="1:14">
      <c r="A599">
        <v>477</v>
      </c>
      <c r="B599" s="4">
        <v>45263</v>
      </c>
      <c r="C599" s="5">
        <v>0.72499999999999998</v>
      </c>
      <c r="D599" t="s">
        <v>81</v>
      </c>
      <c r="E599" t="s">
        <v>16</v>
      </c>
      <c r="F599">
        <v>43</v>
      </c>
      <c r="G599" t="s">
        <v>17</v>
      </c>
      <c r="H599">
        <v>4</v>
      </c>
      <c r="I599">
        <v>30</v>
      </c>
      <c r="J599">
        <v>16.2</v>
      </c>
      <c r="K599">
        <v>120</v>
      </c>
      <c r="L599">
        <v>103.8</v>
      </c>
      <c r="M599">
        <v>0.86499999999999999</v>
      </c>
      <c r="N599" t="s">
        <v>18</v>
      </c>
    </row>
    <row r="600" spans="1:14">
      <c r="A600">
        <v>863</v>
      </c>
      <c r="B600" s="4">
        <v>45242</v>
      </c>
      <c r="C600" s="5">
        <v>0.94444444444444442</v>
      </c>
      <c r="D600" t="s">
        <v>159</v>
      </c>
      <c r="E600" t="s">
        <v>23</v>
      </c>
      <c r="F600">
        <v>30</v>
      </c>
      <c r="G600" t="s">
        <v>30</v>
      </c>
      <c r="H600">
        <v>2</v>
      </c>
      <c r="I600">
        <v>25</v>
      </c>
      <c r="J600">
        <v>11.25</v>
      </c>
      <c r="K600">
        <v>50</v>
      </c>
      <c r="L600">
        <v>38.75</v>
      </c>
      <c r="M600">
        <v>0.77500000000000002</v>
      </c>
      <c r="N600" t="s">
        <v>39</v>
      </c>
    </row>
    <row r="601" spans="1:14">
      <c r="A601">
        <v>1477</v>
      </c>
      <c r="B601" s="4">
        <v>44934</v>
      </c>
      <c r="C601" s="5">
        <v>0.91597222222222219</v>
      </c>
      <c r="D601" t="s">
        <v>81</v>
      </c>
      <c r="E601" t="s">
        <v>16</v>
      </c>
      <c r="F601">
        <v>43</v>
      </c>
      <c r="G601" t="s">
        <v>17</v>
      </c>
      <c r="H601">
        <v>4</v>
      </c>
      <c r="I601">
        <v>30</v>
      </c>
      <c r="J601">
        <v>15.6</v>
      </c>
      <c r="K601">
        <v>120</v>
      </c>
      <c r="L601">
        <v>104.4</v>
      </c>
      <c r="M601">
        <v>0.87</v>
      </c>
      <c r="N601" t="s">
        <v>18</v>
      </c>
    </row>
    <row r="602" spans="1:14">
      <c r="A602">
        <v>1863</v>
      </c>
      <c r="B602" s="4">
        <v>45072</v>
      </c>
      <c r="C602" s="5">
        <v>0.93958333333333333</v>
      </c>
      <c r="D602" t="s">
        <v>159</v>
      </c>
      <c r="E602" t="s">
        <v>23</v>
      </c>
      <c r="F602">
        <v>30</v>
      </c>
      <c r="G602" t="s">
        <v>30</v>
      </c>
      <c r="H602">
        <v>2</v>
      </c>
      <c r="I602">
        <v>25</v>
      </c>
      <c r="J602">
        <v>10</v>
      </c>
      <c r="K602">
        <v>50</v>
      </c>
      <c r="L602">
        <v>40</v>
      </c>
      <c r="M602">
        <v>0.8</v>
      </c>
      <c r="N602" t="s">
        <v>39</v>
      </c>
    </row>
    <row r="603" spans="1:14">
      <c r="A603">
        <v>6</v>
      </c>
      <c r="B603" s="4">
        <v>45245</v>
      </c>
      <c r="C603" s="5">
        <v>0.92777777777777781</v>
      </c>
      <c r="D603" t="s">
        <v>124</v>
      </c>
      <c r="E603" t="s">
        <v>23</v>
      </c>
      <c r="F603">
        <v>45</v>
      </c>
      <c r="G603" t="s">
        <v>20</v>
      </c>
      <c r="H603">
        <v>1</v>
      </c>
      <c r="I603">
        <v>30</v>
      </c>
      <c r="J603">
        <v>15</v>
      </c>
      <c r="K603">
        <v>30</v>
      </c>
      <c r="L603">
        <v>15</v>
      </c>
      <c r="M603">
        <v>0.5</v>
      </c>
      <c r="N603" t="s">
        <v>18</v>
      </c>
    </row>
    <row r="604" spans="1:14">
      <c r="A604">
        <v>483</v>
      </c>
      <c r="B604" s="4">
        <v>44963</v>
      </c>
      <c r="C604" s="5">
        <v>0.72569444444444442</v>
      </c>
      <c r="D604" t="s">
        <v>124</v>
      </c>
      <c r="E604" t="s">
        <v>16</v>
      </c>
      <c r="F604">
        <v>55</v>
      </c>
      <c r="G604" t="s">
        <v>17</v>
      </c>
      <c r="H604">
        <v>1</v>
      </c>
      <c r="I604">
        <v>30</v>
      </c>
      <c r="J604">
        <v>8.4</v>
      </c>
      <c r="K604">
        <v>30</v>
      </c>
      <c r="L604">
        <v>21.6</v>
      </c>
      <c r="M604">
        <v>0.72000000000000008</v>
      </c>
      <c r="N604" t="s">
        <v>21</v>
      </c>
    </row>
    <row r="605" spans="1:14">
      <c r="A605">
        <v>738</v>
      </c>
      <c r="B605" s="4">
        <v>44962</v>
      </c>
      <c r="C605" s="5">
        <v>0.76666666666666672</v>
      </c>
      <c r="D605" t="s">
        <v>22</v>
      </c>
      <c r="E605" t="s">
        <v>16</v>
      </c>
      <c r="F605">
        <v>41</v>
      </c>
      <c r="G605" t="s">
        <v>17</v>
      </c>
      <c r="H605">
        <v>2</v>
      </c>
      <c r="I605">
        <v>50</v>
      </c>
      <c r="J605">
        <v>26</v>
      </c>
      <c r="K605">
        <v>100</v>
      </c>
      <c r="L605">
        <v>74</v>
      </c>
      <c r="M605">
        <v>0.74</v>
      </c>
      <c r="N605" t="s">
        <v>18</v>
      </c>
    </row>
    <row r="606" spans="1:14">
      <c r="A606">
        <v>1006</v>
      </c>
      <c r="B606" s="4">
        <v>45228</v>
      </c>
      <c r="C606" s="5">
        <v>0.80763888888888891</v>
      </c>
      <c r="D606" t="s">
        <v>124</v>
      </c>
      <c r="E606" t="s">
        <v>23</v>
      </c>
      <c r="F606">
        <v>45</v>
      </c>
      <c r="G606" t="s">
        <v>20</v>
      </c>
      <c r="H606">
        <v>1</v>
      </c>
      <c r="I606">
        <v>30</v>
      </c>
      <c r="J606">
        <v>14.1</v>
      </c>
      <c r="K606">
        <v>30</v>
      </c>
      <c r="L606">
        <v>15.9</v>
      </c>
      <c r="M606">
        <v>0.53</v>
      </c>
      <c r="N606" t="s">
        <v>18</v>
      </c>
    </row>
    <row r="607" spans="1:14">
      <c r="A607">
        <v>1483</v>
      </c>
      <c r="B607" s="4">
        <v>44990</v>
      </c>
      <c r="C607" s="5">
        <v>0.82847222222222228</v>
      </c>
      <c r="D607" t="s">
        <v>40</v>
      </c>
      <c r="E607" t="s">
        <v>16</v>
      </c>
      <c r="F607">
        <v>55</v>
      </c>
      <c r="G607" t="s">
        <v>17</v>
      </c>
      <c r="H607">
        <v>1</v>
      </c>
      <c r="I607">
        <v>30</v>
      </c>
      <c r="J607">
        <v>8.6999999999999993</v>
      </c>
      <c r="K607">
        <v>30</v>
      </c>
      <c r="L607">
        <v>21.3</v>
      </c>
      <c r="M607">
        <v>0.71000000000000008</v>
      </c>
      <c r="N607" t="s">
        <v>21</v>
      </c>
    </row>
    <row r="608" spans="1:14">
      <c r="A608">
        <v>1738</v>
      </c>
      <c r="B608" s="4">
        <v>45242</v>
      </c>
      <c r="C608" s="5">
        <v>0.8979166666666667</v>
      </c>
      <c r="D608" t="s">
        <v>40</v>
      </c>
      <c r="E608" t="s">
        <v>16</v>
      </c>
      <c r="F608">
        <v>41</v>
      </c>
      <c r="G608" t="s">
        <v>17</v>
      </c>
      <c r="H608">
        <v>2</v>
      </c>
      <c r="I608">
        <v>50</v>
      </c>
      <c r="J608">
        <v>16</v>
      </c>
      <c r="K608">
        <v>100</v>
      </c>
      <c r="L608">
        <v>84</v>
      </c>
      <c r="M608">
        <v>0.84</v>
      </c>
      <c r="N608" t="s">
        <v>18</v>
      </c>
    </row>
    <row r="609" spans="1:14">
      <c r="A609">
        <v>222</v>
      </c>
      <c r="B609" s="4">
        <v>44933</v>
      </c>
      <c r="C609" s="5">
        <v>0.78888888888888886</v>
      </c>
      <c r="D609" t="s">
        <v>159</v>
      </c>
      <c r="E609" t="s">
        <v>16</v>
      </c>
      <c r="F609">
        <v>51</v>
      </c>
      <c r="G609" t="s">
        <v>17</v>
      </c>
      <c r="H609">
        <v>4</v>
      </c>
      <c r="I609">
        <v>30</v>
      </c>
      <c r="J609">
        <v>10.5</v>
      </c>
      <c r="K609">
        <v>120</v>
      </c>
      <c r="L609">
        <v>109.5</v>
      </c>
      <c r="M609">
        <v>0.91249999999999998</v>
      </c>
      <c r="N609" t="s">
        <v>21</v>
      </c>
    </row>
    <row r="610" spans="1:14">
      <c r="A610">
        <v>588</v>
      </c>
      <c r="B610" s="4">
        <v>45217</v>
      </c>
      <c r="C610" s="5">
        <v>0.74583333333333335</v>
      </c>
      <c r="D610" t="s">
        <v>22</v>
      </c>
      <c r="E610" t="s">
        <v>16</v>
      </c>
      <c r="F610">
        <v>38</v>
      </c>
      <c r="G610" t="s">
        <v>30</v>
      </c>
      <c r="H610">
        <v>2</v>
      </c>
      <c r="I610">
        <v>30</v>
      </c>
      <c r="J610">
        <v>13.8</v>
      </c>
      <c r="K610">
        <v>60</v>
      </c>
      <c r="L610">
        <v>46.2</v>
      </c>
      <c r="M610">
        <v>0.77</v>
      </c>
      <c r="N610" t="s">
        <v>18</v>
      </c>
    </row>
    <row r="611" spans="1:14">
      <c r="A611">
        <v>953</v>
      </c>
      <c r="B611" s="4">
        <v>45109</v>
      </c>
      <c r="C611" s="5">
        <v>0.74861111111111112</v>
      </c>
      <c r="D611" t="s">
        <v>40</v>
      </c>
      <c r="E611" t="s">
        <v>16</v>
      </c>
      <c r="F611">
        <v>45</v>
      </c>
      <c r="G611" t="s">
        <v>20</v>
      </c>
      <c r="H611">
        <v>3</v>
      </c>
      <c r="I611">
        <v>30</v>
      </c>
      <c r="J611">
        <v>12.6</v>
      </c>
      <c r="K611">
        <v>90</v>
      </c>
      <c r="L611">
        <v>77.400000000000006</v>
      </c>
      <c r="M611">
        <v>0.8600000000000001</v>
      </c>
      <c r="N611" t="s">
        <v>18</v>
      </c>
    </row>
    <row r="612" spans="1:14">
      <c r="A612">
        <v>1222</v>
      </c>
      <c r="B612" s="4">
        <v>45186</v>
      </c>
      <c r="C612" s="5">
        <v>0.76041666666666663</v>
      </c>
      <c r="D612" t="s">
        <v>81</v>
      </c>
      <c r="E612" t="s">
        <v>16</v>
      </c>
      <c r="F612">
        <v>51</v>
      </c>
      <c r="G612" t="s">
        <v>17</v>
      </c>
      <c r="H612">
        <v>4</v>
      </c>
      <c r="I612">
        <v>30</v>
      </c>
      <c r="J612">
        <v>11.1</v>
      </c>
      <c r="K612">
        <v>120</v>
      </c>
      <c r="L612">
        <v>108.9</v>
      </c>
      <c r="M612">
        <v>0.90750000000000008</v>
      </c>
      <c r="N612" t="s">
        <v>21</v>
      </c>
    </row>
    <row r="613" spans="1:14">
      <c r="A613">
        <v>1588</v>
      </c>
      <c r="B613" s="4">
        <v>45102</v>
      </c>
      <c r="C613" s="5">
        <v>0.89513888888888893</v>
      </c>
      <c r="D613" t="s">
        <v>159</v>
      </c>
      <c r="E613" t="s">
        <v>16</v>
      </c>
      <c r="F613">
        <v>38</v>
      </c>
      <c r="G613" t="s">
        <v>30</v>
      </c>
      <c r="H613">
        <v>2</v>
      </c>
      <c r="I613">
        <v>30</v>
      </c>
      <c r="J613">
        <v>13.2</v>
      </c>
      <c r="K613">
        <v>60</v>
      </c>
      <c r="L613">
        <v>46.8</v>
      </c>
      <c r="M613">
        <v>0.77999999999999992</v>
      </c>
      <c r="N613" t="s">
        <v>18</v>
      </c>
    </row>
    <row r="614" spans="1:14">
      <c r="A614">
        <v>1953</v>
      </c>
      <c r="B614" s="4">
        <v>45061</v>
      </c>
      <c r="C614" s="5">
        <v>0.7319444444444444</v>
      </c>
      <c r="D614" t="s">
        <v>81</v>
      </c>
      <c r="E614" t="s">
        <v>16</v>
      </c>
      <c r="F614">
        <v>45</v>
      </c>
      <c r="G614" t="s">
        <v>20</v>
      </c>
      <c r="H614">
        <v>3</v>
      </c>
      <c r="I614">
        <v>30</v>
      </c>
      <c r="J614">
        <v>10.199999999999999</v>
      </c>
      <c r="K614">
        <v>90</v>
      </c>
      <c r="L614">
        <v>79.8</v>
      </c>
      <c r="M614">
        <v>0.8866666666666666</v>
      </c>
      <c r="N614" t="s">
        <v>18</v>
      </c>
    </row>
    <row r="615" spans="1:14">
      <c r="A615">
        <v>66</v>
      </c>
      <c r="B615" s="4">
        <v>45095</v>
      </c>
      <c r="C615" s="5">
        <v>0.9506944444444444</v>
      </c>
      <c r="D615" t="s">
        <v>81</v>
      </c>
      <c r="E615" t="s">
        <v>23</v>
      </c>
      <c r="F615">
        <v>45</v>
      </c>
      <c r="G615" t="s">
        <v>30</v>
      </c>
      <c r="H615">
        <v>1</v>
      </c>
      <c r="I615">
        <v>30</v>
      </c>
      <c r="J615">
        <v>9</v>
      </c>
      <c r="K615">
        <v>30</v>
      </c>
      <c r="L615">
        <v>21</v>
      </c>
      <c r="M615">
        <v>0.7</v>
      </c>
      <c r="N615" t="s">
        <v>18</v>
      </c>
    </row>
    <row r="616" spans="1:14">
      <c r="A616">
        <v>482</v>
      </c>
      <c r="B616" s="4">
        <v>45150</v>
      </c>
      <c r="C616" s="5">
        <v>0.7895833333333333</v>
      </c>
      <c r="D616" t="s">
        <v>81</v>
      </c>
      <c r="E616" t="s">
        <v>23</v>
      </c>
      <c r="F616">
        <v>28</v>
      </c>
      <c r="G616" t="s">
        <v>17</v>
      </c>
      <c r="H616">
        <v>4</v>
      </c>
      <c r="I616">
        <v>300</v>
      </c>
      <c r="J616">
        <v>141</v>
      </c>
      <c r="K616">
        <v>1200</v>
      </c>
      <c r="L616">
        <v>1059</v>
      </c>
      <c r="M616">
        <v>0.88249999999999995</v>
      </c>
      <c r="N616" t="s">
        <v>39</v>
      </c>
    </row>
    <row r="617" spans="1:14">
      <c r="A617">
        <v>903</v>
      </c>
      <c r="B617" s="4">
        <v>45134</v>
      </c>
      <c r="C617" s="5">
        <v>0.92638888888888893</v>
      </c>
      <c r="D617" t="s">
        <v>81</v>
      </c>
      <c r="E617" t="s">
        <v>23</v>
      </c>
      <c r="F617">
        <v>51</v>
      </c>
      <c r="G617" t="s">
        <v>20</v>
      </c>
      <c r="H617">
        <v>4</v>
      </c>
      <c r="I617">
        <v>50</v>
      </c>
      <c r="J617">
        <v>14</v>
      </c>
      <c r="K617">
        <v>200</v>
      </c>
      <c r="L617">
        <v>186</v>
      </c>
      <c r="M617">
        <v>0.93</v>
      </c>
      <c r="N617" t="s">
        <v>21</v>
      </c>
    </row>
    <row r="618" spans="1:14">
      <c r="A618">
        <v>1066</v>
      </c>
      <c r="B618" s="4">
        <v>45205</v>
      </c>
      <c r="C618" s="5">
        <v>0.75763888888888886</v>
      </c>
      <c r="D618" t="s">
        <v>159</v>
      </c>
      <c r="E618" t="s">
        <v>23</v>
      </c>
      <c r="F618">
        <v>45</v>
      </c>
      <c r="G618" t="s">
        <v>30</v>
      </c>
      <c r="H618">
        <v>1</v>
      </c>
      <c r="I618">
        <v>30</v>
      </c>
      <c r="J618">
        <v>8.4</v>
      </c>
      <c r="K618">
        <v>30</v>
      </c>
      <c r="L618">
        <v>21.6</v>
      </c>
      <c r="M618">
        <v>0.72000000000000008</v>
      </c>
      <c r="N618" t="s">
        <v>18</v>
      </c>
    </row>
    <row r="619" spans="1:14">
      <c r="A619">
        <v>1482</v>
      </c>
      <c r="B619" s="4">
        <v>44967</v>
      </c>
      <c r="C619" s="5">
        <v>0.93194444444444446</v>
      </c>
      <c r="D619" t="s">
        <v>40</v>
      </c>
      <c r="E619" t="s">
        <v>23</v>
      </c>
      <c r="F619">
        <v>28</v>
      </c>
      <c r="G619" t="s">
        <v>17</v>
      </c>
      <c r="H619">
        <v>4</v>
      </c>
      <c r="I619">
        <v>300</v>
      </c>
      <c r="J619">
        <v>114</v>
      </c>
      <c r="K619">
        <v>1200</v>
      </c>
      <c r="L619">
        <v>1086</v>
      </c>
      <c r="M619">
        <v>0.90500000000000003</v>
      </c>
      <c r="N619" t="s">
        <v>39</v>
      </c>
    </row>
    <row r="620" spans="1:14">
      <c r="A620">
        <v>1903</v>
      </c>
      <c r="B620" s="4">
        <v>45134</v>
      </c>
      <c r="C620" s="5">
        <v>0.90555555555555556</v>
      </c>
      <c r="D620" t="s">
        <v>22</v>
      </c>
      <c r="E620" t="s">
        <v>23</v>
      </c>
      <c r="F620">
        <v>51</v>
      </c>
      <c r="G620" t="s">
        <v>20</v>
      </c>
      <c r="H620">
        <v>4</v>
      </c>
      <c r="I620">
        <v>50</v>
      </c>
      <c r="J620">
        <v>19</v>
      </c>
      <c r="K620">
        <v>200</v>
      </c>
      <c r="L620">
        <v>181</v>
      </c>
      <c r="M620">
        <v>0.90500000000000003</v>
      </c>
      <c r="N620" t="s">
        <v>21</v>
      </c>
    </row>
    <row r="621" spans="1:14">
      <c r="A621">
        <v>102</v>
      </c>
      <c r="B621" s="4">
        <v>45033</v>
      </c>
      <c r="C621" s="5">
        <v>0.89861111111111114</v>
      </c>
      <c r="D621" t="s">
        <v>22</v>
      </c>
      <c r="E621" t="s">
        <v>23</v>
      </c>
      <c r="F621">
        <v>47</v>
      </c>
      <c r="G621" t="s">
        <v>20</v>
      </c>
      <c r="H621">
        <v>2</v>
      </c>
      <c r="I621">
        <v>25</v>
      </c>
      <c r="J621">
        <v>7.25</v>
      </c>
      <c r="K621">
        <v>50</v>
      </c>
      <c r="L621">
        <v>42.75</v>
      </c>
      <c r="M621">
        <v>0.85499999999999998</v>
      </c>
      <c r="N621" t="s">
        <v>21</v>
      </c>
    </row>
    <row r="622" spans="1:14">
      <c r="A622">
        <v>228</v>
      </c>
      <c r="B622" s="4">
        <v>45019</v>
      </c>
      <c r="C622" s="5">
        <v>0.85138888888888886</v>
      </c>
      <c r="D622" t="s">
        <v>159</v>
      </c>
      <c r="E622" t="s">
        <v>23</v>
      </c>
      <c r="F622">
        <v>59</v>
      </c>
      <c r="G622" t="s">
        <v>30</v>
      </c>
      <c r="H622">
        <v>2</v>
      </c>
      <c r="I622">
        <v>30</v>
      </c>
      <c r="J622">
        <v>10.8</v>
      </c>
      <c r="K622">
        <v>60</v>
      </c>
      <c r="L622">
        <v>49.2</v>
      </c>
      <c r="M622">
        <v>0.82000000000000006</v>
      </c>
      <c r="N622" t="s">
        <v>28</v>
      </c>
    </row>
    <row r="623" spans="1:14">
      <c r="A623">
        <v>236</v>
      </c>
      <c r="B623" s="4">
        <v>45017</v>
      </c>
      <c r="C623" s="5">
        <v>0.9291666666666667</v>
      </c>
      <c r="D623" t="s">
        <v>22</v>
      </c>
      <c r="E623" t="s">
        <v>23</v>
      </c>
      <c r="F623">
        <v>54</v>
      </c>
      <c r="G623" t="s">
        <v>17</v>
      </c>
      <c r="H623">
        <v>1</v>
      </c>
      <c r="I623">
        <v>25</v>
      </c>
      <c r="J623">
        <v>6.5</v>
      </c>
      <c r="K623">
        <v>25</v>
      </c>
      <c r="L623">
        <v>18.5</v>
      </c>
      <c r="M623">
        <v>0.74</v>
      </c>
      <c r="N623" t="s">
        <v>21</v>
      </c>
    </row>
    <row r="624" spans="1:14">
      <c r="A624">
        <v>1102</v>
      </c>
      <c r="B624" s="4">
        <v>45159</v>
      </c>
      <c r="C624" s="5">
        <v>0.75277777777777777</v>
      </c>
      <c r="D624" t="s">
        <v>22</v>
      </c>
      <c r="E624" t="s">
        <v>23</v>
      </c>
      <c r="F624">
        <v>47</v>
      </c>
      <c r="G624" t="s">
        <v>20</v>
      </c>
      <c r="H624">
        <v>2</v>
      </c>
      <c r="I624">
        <v>25</v>
      </c>
      <c r="J624">
        <v>6.5</v>
      </c>
      <c r="K624">
        <v>50</v>
      </c>
      <c r="L624">
        <v>43.5</v>
      </c>
      <c r="M624">
        <v>0.87</v>
      </c>
      <c r="N624" t="s">
        <v>21</v>
      </c>
    </row>
    <row r="625" spans="1:14">
      <c r="A625">
        <v>1228</v>
      </c>
      <c r="B625" s="4">
        <v>45101</v>
      </c>
      <c r="C625" s="5">
        <v>0.90069444444444446</v>
      </c>
      <c r="D625" t="s">
        <v>22</v>
      </c>
      <c r="E625" t="s">
        <v>23</v>
      </c>
      <c r="F625">
        <v>59</v>
      </c>
      <c r="G625" t="s">
        <v>30</v>
      </c>
      <c r="H625">
        <v>2</v>
      </c>
      <c r="I625">
        <v>30</v>
      </c>
      <c r="J625">
        <v>11.4</v>
      </c>
      <c r="K625">
        <v>60</v>
      </c>
      <c r="L625">
        <v>48.6</v>
      </c>
      <c r="M625">
        <v>0.81</v>
      </c>
      <c r="N625" t="s">
        <v>28</v>
      </c>
    </row>
    <row r="626" spans="1:14">
      <c r="A626">
        <v>1236</v>
      </c>
      <c r="B626" s="4">
        <v>45147</v>
      </c>
      <c r="C626" s="5">
        <v>0.7631944444444444</v>
      </c>
      <c r="D626" t="s">
        <v>159</v>
      </c>
      <c r="E626" t="s">
        <v>23</v>
      </c>
      <c r="F626">
        <v>54</v>
      </c>
      <c r="G626" t="s">
        <v>17</v>
      </c>
      <c r="H626">
        <v>1</v>
      </c>
      <c r="I626">
        <v>25</v>
      </c>
      <c r="J626">
        <v>8.75</v>
      </c>
      <c r="K626">
        <v>25</v>
      </c>
      <c r="L626">
        <v>16.25</v>
      </c>
      <c r="M626">
        <v>0.65</v>
      </c>
      <c r="N626" t="s">
        <v>21</v>
      </c>
    </row>
    <row r="627" spans="1:14">
      <c r="A627">
        <v>660</v>
      </c>
      <c r="B627" s="4">
        <v>45136</v>
      </c>
      <c r="C627" s="5">
        <v>0.78194444444444444</v>
      </c>
      <c r="D627" t="s">
        <v>124</v>
      </c>
      <c r="E627" t="s">
        <v>23</v>
      </c>
      <c r="F627">
        <v>38</v>
      </c>
      <c r="G627" t="s">
        <v>20</v>
      </c>
      <c r="H627">
        <v>2</v>
      </c>
      <c r="I627">
        <v>500</v>
      </c>
      <c r="J627">
        <v>270</v>
      </c>
      <c r="K627">
        <v>1000</v>
      </c>
      <c r="L627">
        <v>730</v>
      </c>
      <c r="M627">
        <v>0.73</v>
      </c>
      <c r="N627" t="s">
        <v>18</v>
      </c>
    </row>
    <row r="628" spans="1:14">
      <c r="A628">
        <v>884</v>
      </c>
      <c r="B628" s="4">
        <v>44975</v>
      </c>
      <c r="C628" s="5">
        <v>0.85486111111111107</v>
      </c>
      <c r="D628" t="s">
        <v>40</v>
      </c>
      <c r="E628" t="s">
        <v>23</v>
      </c>
      <c r="F628">
        <v>26</v>
      </c>
      <c r="G628" t="s">
        <v>17</v>
      </c>
      <c r="H628">
        <v>2</v>
      </c>
      <c r="I628">
        <v>30</v>
      </c>
      <c r="J628">
        <v>7.5</v>
      </c>
      <c r="K628">
        <v>60</v>
      </c>
      <c r="L628">
        <v>52.5</v>
      </c>
      <c r="M628">
        <v>0.875</v>
      </c>
      <c r="N628" t="s">
        <v>39</v>
      </c>
    </row>
    <row r="629" spans="1:14">
      <c r="A629">
        <v>987</v>
      </c>
      <c r="B629" s="4">
        <v>45238</v>
      </c>
      <c r="C629" s="5">
        <v>0.78125</v>
      </c>
      <c r="D629" t="s">
        <v>40</v>
      </c>
      <c r="E629" t="s">
        <v>23</v>
      </c>
      <c r="F629">
        <v>30</v>
      </c>
      <c r="G629" t="s">
        <v>17</v>
      </c>
      <c r="H629">
        <v>3</v>
      </c>
      <c r="I629">
        <v>300</v>
      </c>
      <c r="J629">
        <v>165</v>
      </c>
      <c r="K629">
        <v>900</v>
      </c>
      <c r="L629">
        <v>735</v>
      </c>
      <c r="M629">
        <v>0.81666666666666665</v>
      </c>
      <c r="N629" t="s">
        <v>39</v>
      </c>
    </row>
    <row r="630" spans="1:14">
      <c r="A630">
        <v>1660</v>
      </c>
      <c r="B630" s="4">
        <v>45192</v>
      </c>
      <c r="C630" s="5">
        <v>0.8520833333333333</v>
      </c>
      <c r="D630" t="s">
        <v>124</v>
      </c>
      <c r="E630" t="s">
        <v>23</v>
      </c>
      <c r="F630">
        <v>38</v>
      </c>
      <c r="G630" t="s">
        <v>20</v>
      </c>
      <c r="H630">
        <v>2</v>
      </c>
      <c r="I630">
        <v>500</v>
      </c>
      <c r="J630">
        <v>160</v>
      </c>
      <c r="K630">
        <v>1000</v>
      </c>
      <c r="L630">
        <v>840</v>
      </c>
      <c r="M630">
        <v>0.84</v>
      </c>
      <c r="N630" t="s">
        <v>18</v>
      </c>
    </row>
    <row r="631" spans="1:14">
      <c r="A631">
        <v>1884</v>
      </c>
      <c r="B631" s="4">
        <v>45116</v>
      </c>
      <c r="C631" s="5">
        <v>0.90625</v>
      </c>
      <c r="D631" t="s">
        <v>124</v>
      </c>
      <c r="E631" t="s">
        <v>23</v>
      </c>
      <c r="F631">
        <v>26</v>
      </c>
      <c r="G631" t="s">
        <v>17</v>
      </c>
      <c r="H631">
        <v>2</v>
      </c>
      <c r="I631">
        <v>30</v>
      </c>
      <c r="J631">
        <v>11.4</v>
      </c>
      <c r="K631">
        <v>60</v>
      </c>
      <c r="L631">
        <v>48.6</v>
      </c>
      <c r="M631">
        <v>0.81</v>
      </c>
      <c r="N631" t="s">
        <v>39</v>
      </c>
    </row>
    <row r="632" spans="1:14">
      <c r="A632">
        <v>1987</v>
      </c>
      <c r="B632" s="4">
        <v>45072</v>
      </c>
      <c r="C632" s="5">
        <v>0.76249999999999996</v>
      </c>
      <c r="D632" t="s">
        <v>124</v>
      </c>
      <c r="E632" t="s">
        <v>23</v>
      </c>
      <c r="F632">
        <v>30</v>
      </c>
      <c r="G632" t="s">
        <v>17</v>
      </c>
      <c r="H632">
        <v>3</v>
      </c>
      <c r="I632">
        <v>300</v>
      </c>
      <c r="J632">
        <v>129</v>
      </c>
      <c r="K632">
        <v>900</v>
      </c>
      <c r="L632">
        <v>771</v>
      </c>
      <c r="M632">
        <v>0.85666666666666669</v>
      </c>
      <c r="N632" t="s">
        <v>39</v>
      </c>
    </row>
    <row r="633" spans="1:14">
      <c r="A633">
        <v>18</v>
      </c>
      <c r="B633" s="4">
        <v>45175</v>
      </c>
      <c r="C633" s="5">
        <v>0.80069444444444449</v>
      </c>
      <c r="D633" t="s">
        <v>22</v>
      </c>
      <c r="E633" t="s">
        <v>23</v>
      </c>
      <c r="F633">
        <v>47</v>
      </c>
      <c r="G633" t="s">
        <v>30</v>
      </c>
      <c r="H633">
        <v>2</v>
      </c>
      <c r="I633">
        <v>25</v>
      </c>
      <c r="J633">
        <v>12.5</v>
      </c>
      <c r="K633">
        <v>50</v>
      </c>
      <c r="L633">
        <v>37.5</v>
      </c>
      <c r="M633">
        <v>0.75</v>
      </c>
      <c r="N633" t="s">
        <v>21</v>
      </c>
    </row>
    <row r="634" spans="1:14">
      <c r="A634">
        <v>69</v>
      </c>
      <c r="B634" s="4">
        <v>45244</v>
      </c>
      <c r="C634" s="5">
        <v>0.94722222222222219</v>
      </c>
      <c r="D634" t="s">
        <v>40</v>
      </c>
      <c r="E634" t="s">
        <v>23</v>
      </c>
      <c r="F634">
        <v>56</v>
      </c>
      <c r="G634" t="s">
        <v>20</v>
      </c>
      <c r="H634">
        <v>3</v>
      </c>
      <c r="I634">
        <v>25</v>
      </c>
      <c r="J634">
        <v>8.5</v>
      </c>
      <c r="K634">
        <v>75</v>
      </c>
      <c r="L634">
        <v>66.5</v>
      </c>
      <c r="M634">
        <v>0.88666666666666671</v>
      </c>
      <c r="N634" t="s">
        <v>28</v>
      </c>
    </row>
    <row r="635" spans="1:14">
      <c r="A635">
        <v>995</v>
      </c>
      <c r="B635" s="4">
        <v>44989</v>
      </c>
      <c r="C635" s="5">
        <v>0.94305555555555554</v>
      </c>
      <c r="D635" t="s">
        <v>159</v>
      </c>
      <c r="E635" t="s">
        <v>23</v>
      </c>
      <c r="F635">
        <v>41</v>
      </c>
      <c r="G635" t="s">
        <v>17</v>
      </c>
      <c r="H635">
        <v>1</v>
      </c>
      <c r="I635">
        <v>30</v>
      </c>
      <c r="J635">
        <v>9.9</v>
      </c>
      <c r="K635">
        <v>30</v>
      </c>
      <c r="L635">
        <v>20.100000000000001</v>
      </c>
      <c r="M635">
        <v>0.67</v>
      </c>
      <c r="N635" t="s">
        <v>18</v>
      </c>
    </row>
    <row r="636" spans="1:14">
      <c r="A636">
        <v>1018</v>
      </c>
      <c r="B636" s="4">
        <v>45113</v>
      </c>
      <c r="C636" s="5">
        <v>0.80069444444444449</v>
      </c>
      <c r="D636" t="s">
        <v>159</v>
      </c>
      <c r="E636" t="s">
        <v>23</v>
      </c>
      <c r="F636">
        <v>47</v>
      </c>
      <c r="G636" t="s">
        <v>30</v>
      </c>
      <c r="H636">
        <v>2</v>
      </c>
      <c r="I636">
        <v>25</v>
      </c>
      <c r="J636">
        <v>13</v>
      </c>
      <c r="K636">
        <v>50</v>
      </c>
      <c r="L636">
        <v>37</v>
      </c>
      <c r="M636">
        <v>0.74</v>
      </c>
      <c r="N636" t="s">
        <v>21</v>
      </c>
    </row>
    <row r="637" spans="1:14">
      <c r="A637">
        <v>1069</v>
      </c>
      <c r="B637" s="4">
        <v>45212</v>
      </c>
      <c r="C637" s="5">
        <v>0.79513888888888884</v>
      </c>
      <c r="D637" t="s">
        <v>124</v>
      </c>
      <c r="E637" t="s">
        <v>23</v>
      </c>
      <c r="F637">
        <v>56</v>
      </c>
      <c r="G637" t="s">
        <v>20</v>
      </c>
      <c r="H637">
        <v>3</v>
      </c>
      <c r="I637">
        <v>25</v>
      </c>
      <c r="J637">
        <v>6.75</v>
      </c>
      <c r="K637">
        <v>75</v>
      </c>
      <c r="L637">
        <v>68.25</v>
      </c>
      <c r="M637">
        <v>0.91</v>
      </c>
      <c r="N637" t="s">
        <v>28</v>
      </c>
    </row>
    <row r="638" spans="1:14">
      <c r="A638">
        <v>1995</v>
      </c>
      <c r="B638" s="4">
        <v>45270</v>
      </c>
      <c r="C638" s="5">
        <v>0.9291666666666667</v>
      </c>
      <c r="D638" t="s">
        <v>22</v>
      </c>
      <c r="E638" t="s">
        <v>23</v>
      </c>
      <c r="F638">
        <v>41</v>
      </c>
      <c r="G638" t="s">
        <v>17</v>
      </c>
      <c r="H638">
        <v>1</v>
      </c>
      <c r="I638">
        <v>30</v>
      </c>
      <c r="J638">
        <v>14.7</v>
      </c>
      <c r="K638">
        <v>30</v>
      </c>
      <c r="L638">
        <v>15.3</v>
      </c>
      <c r="M638">
        <v>0.51</v>
      </c>
      <c r="N638" t="s">
        <v>18</v>
      </c>
    </row>
    <row r="639" spans="1:14">
      <c r="A639">
        <v>337</v>
      </c>
      <c r="B639" s="4">
        <v>45160</v>
      </c>
      <c r="C639" s="5">
        <v>0.74722222222222223</v>
      </c>
      <c r="D639" t="s">
        <v>40</v>
      </c>
      <c r="E639" t="s">
        <v>16</v>
      </c>
      <c r="F639">
        <v>38</v>
      </c>
      <c r="G639" t="s">
        <v>17</v>
      </c>
      <c r="H639">
        <v>1</v>
      </c>
      <c r="I639">
        <v>500</v>
      </c>
      <c r="J639">
        <v>275</v>
      </c>
      <c r="K639">
        <v>500</v>
      </c>
      <c r="L639">
        <v>225</v>
      </c>
      <c r="M639">
        <v>0.45</v>
      </c>
      <c r="N639" t="s">
        <v>18</v>
      </c>
    </row>
    <row r="640" spans="1:14">
      <c r="A640">
        <v>585</v>
      </c>
      <c r="B640" s="4">
        <v>45083</v>
      </c>
      <c r="C640" s="5">
        <v>0.90902777777777777</v>
      </c>
      <c r="D640" t="s">
        <v>81</v>
      </c>
      <c r="E640" t="s">
        <v>23</v>
      </c>
      <c r="F640">
        <v>24</v>
      </c>
      <c r="G640" t="s">
        <v>17</v>
      </c>
      <c r="H640">
        <v>1</v>
      </c>
      <c r="I640">
        <v>25</v>
      </c>
      <c r="J640">
        <v>13.75</v>
      </c>
      <c r="K640">
        <v>25</v>
      </c>
      <c r="L640">
        <v>11.25</v>
      </c>
      <c r="M640">
        <v>0.45</v>
      </c>
      <c r="N640" t="s">
        <v>31</v>
      </c>
    </row>
    <row r="641" spans="1:14">
      <c r="A641">
        <v>652</v>
      </c>
      <c r="B641" s="4">
        <v>45230</v>
      </c>
      <c r="C641" s="5">
        <v>0.71180555555555558</v>
      </c>
      <c r="D641" t="s">
        <v>159</v>
      </c>
      <c r="E641" t="s">
        <v>23</v>
      </c>
      <c r="F641">
        <v>34</v>
      </c>
      <c r="G641" t="s">
        <v>20</v>
      </c>
      <c r="H641">
        <v>2</v>
      </c>
      <c r="I641">
        <v>50</v>
      </c>
      <c r="J641">
        <v>20.5</v>
      </c>
      <c r="K641">
        <v>100</v>
      </c>
      <c r="L641">
        <v>79.5</v>
      </c>
      <c r="M641">
        <v>0.79500000000000004</v>
      </c>
      <c r="N641" t="s">
        <v>39</v>
      </c>
    </row>
    <row r="642" spans="1:14">
      <c r="A642">
        <v>1337</v>
      </c>
      <c r="B642" s="4">
        <v>45128</v>
      </c>
      <c r="C642" s="5">
        <v>0.8305555555555556</v>
      </c>
      <c r="D642" t="s">
        <v>124</v>
      </c>
      <c r="E642" t="s">
        <v>16</v>
      </c>
      <c r="F642">
        <v>38</v>
      </c>
      <c r="G642" t="s">
        <v>17</v>
      </c>
      <c r="H642">
        <v>1</v>
      </c>
      <c r="I642">
        <v>500</v>
      </c>
      <c r="J642">
        <v>225</v>
      </c>
      <c r="K642">
        <v>500</v>
      </c>
      <c r="L642">
        <v>275</v>
      </c>
      <c r="M642">
        <v>0.55000000000000004</v>
      </c>
      <c r="N642" t="s">
        <v>18</v>
      </c>
    </row>
    <row r="643" spans="1:14">
      <c r="A643">
        <v>1585</v>
      </c>
      <c r="B643" s="4">
        <v>45204</v>
      </c>
      <c r="C643" s="5">
        <v>0.83333333333333337</v>
      </c>
      <c r="D643" t="s">
        <v>124</v>
      </c>
      <c r="E643" t="s">
        <v>23</v>
      </c>
      <c r="F643">
        <v>24</v>
      </c>
      <c r="G643" t="s">
        <v>17</v>
      </c>
      <c r="H643">
        <v>1</v>
      </c>
      <c r="I643">
        <v>25</v>
      </c>
      <c r="J643">
        <v>7.25</v>
      </c>
      <c r="K643">
        <v>25</v>
      </c>
      <c r="L643">
        <v>17.75</v>
      </c>
      <c r="M643">
        <v>0.71</v>
      </c>
      <c r="N643" t="s">
        <v>31</v>
      </c>
    </row>
    <row r="644" spans="1:14">
      <c r="A644">
        <v>1652</v>
      </c>
      <c r="B644" s="4">
        <v>45246</v>
      </c>
      <c r="C644" s="5">
        <v>0.83333333333333337</v>
      </c>
      <c r="D644" t="s">
        <v>124</v>
      </c>
      <c r="E644" t="s">
        <v>23</v>
      </c>
      <c r="F644">
        <v>34</v>
      </c>
      <c r="G644" t="s">
        <v>20</v>
      </c>
      <c r="H644">
        <v>2</v>
      </c>
      <c r="I644">
        <v>50</v>
      </c>
      <c r="J644">
        <v>20.5</v>
      </c>
      <c r="K644">
        <v>100</v>
      </c>
      <c r="L644">
        <v>79.5</v>
      </c>
      <c r="M644">
        <v>0.79500000000000004</v>
      </c>
      <c r="N644" t="s">
        <v>39</v>
      </c>
    </row>
    <row r="645" spans="1:14">
      <c r="A645">
        <v>242</v>
      </c>
      <c r="B645" s="4">
        <v>45200</v>
      </c>
      <c r="C645" s="5">
        <v>0.76944444444444449</v>
      </c>
      <c r="D645" t="s">
        <v>40</v>
      </c>
      <c r="E645" t="s">
        <v>16</v>
      </c>
      <c r="F645">
        <v>21</v>
      </c>
      <c r="G645" t="s">
        <v>17</v>
      </c>
      <c r="H645">
        <v>1</v>
      </c>
      <c r="I645">
        <v>25</v>
      </c>
      <c r="J645">
        <v>8</v>
      </c>
      <c r="K645">
        <v>25</v>
      </c>
      <c r="L645">
        <v>17</v>
      </c>
      <c r="M645">
        <v>0.68</v>
      </c>
      <c r="N645" t="s">
        <v>31</v>
      </c>
    </row>
    <row r="646" spans="1:14">
      <c r="A646">
        <v>293</v>
      </c>
      <c r="B646" s="4">
        <v>45073</v>
      </c>
      <c r="C646" s="5">
        <v>0.7944444444444444</v>
      </c>
      <c r="D646" t="s">
        <v>159</v>
      </c>
      <c r="E646" t="s">
        <v>16</v>
      </c>
      <c r="F646">
        <v>50</v>
      </c>
      <c r="G646" t="s">
        <v>30</v>
      </c>
      <c r="H646">
        <v>3</v>
      </c>
      <c r="I646">
        <v>30</v>
      </c>
      <c r="J646">
        <v>9.6</v>
      </c>
      <c r="K646">
        <v>90</v>
      </c>
      <c r="L646">
        <v>80.400000000000006</v>
      </c>
      <c r="M646">
        <v>0.89333333333333342</v>
      </c>
      <c r="N646" t="s">
        <v>21</v>
      </c>
    </row>
    <row r="647" spans="1:14">
      <c r="A647">
        <v>460</v>
      </c>
      <c r="B647" s="4">
        <v>45047</v>
      </c>
      <c r="C647" s="5">
        <v>0.95833333333333337</v>
      </c>
      <c r="D647" t="s">
        <v>124</v>
      </c>
      <c r="E647" t="s">
        <v>16</v>
      </c>
      <c r="F647">
        <v>40</v>
      </c>
      <c r="G647" t="s">
        <v>20</v>
      </c>
      <c r="H647">
        <v>1</v>
      </c>
      <c r="I647">
        <v>50</v>
      </c>
      <c r="J647">
        <v>19</v>
      </c>
      <c r="K647">
        <v>50</v>
      </c>
      <c r="L647">
        <v>31</v>
      </c>
      <c r="M647">
        <v>0.62</v>
      </c>
      <c r="N647" t="s">
        <v>18</v>
      </c>
    </row>
    <row r="648" spans="1:14">
      <c r="A648">
        <v>1242</v>
      </c>
      <c r="B648" s="4">
        <v>45257</v>
      </c>
      <c r="C648" s="5">
        <v>0.77222222222222225</v>
      </c>
      <c r="D648" t="s">
        <v>22</v>
      </c>
      <c r="E648" t="s">
        <v>16</v>
      </c>
      <c r="F648">
        <v>21</v>
      </c>
      <c r="G648" t="s">
        <v>17</v>
      </c>
      <c r="H648">
        <v>1</v>
      </c>
      <c r="I648">
        <v>25</v>
      </c>
      <c r="J648">
        <v>11.25</v>
      </c>
      <c r="K648">
        <v>25</v>
      </c>
      <c r="L648">
        <v>13.75</v>
      </c>
      <c r="M648">
        <v>0.55000000000000004</v>
      </c>
      <c r="N648" t="s">
        <v>31</v>
      </c>
    </row>
    <row r="649" spans="1:14">
      <c r="A649">
        <v>1293</v>
      </c>
      <c r="B649" s="4">
        <v>45108</v>
      </c>
      <c r="C649" s="5">
        <v>0.78611111111111109</v>
      </c>
      <c r="D649" t="s">
        <v>81</v>
      </c>
      <c r="E649" t="s">
        <v>16</v>
      </c>
      <c r="F649">
        <v>50</v>
      </c>
      <c r="G649" t="s">
        <v>30</v>
      </c>
      <c r="H649">
        <v>3</v>
      </c>
      <c r="I649">
        <v>30</v>
      </c>
      <c r="J649">
        <v>14.1</v>
      </c>
      <c r="K649">
        <v>90</v>
      </c>
      <c r="L649">
        <v>75.900000000000006</v>
      </c>
      <c r="M649">
        <v>0.84333333333333338</v>
      </c>
      <c r="N649" t="s">
        <v>21</v>
      </c>
    </row>
    <row r="650" spans="1:14">
      <c r="A650">
        <v>1460</v>
      </c>
      <c r="B650" s="4">
        <v>44951</v>
      </c>
      <c r="C650" s="5">
        <v>0.8208333333333333</v>
      </c>
      <c r="D650" t="s">
        <v>159</v>
      </c>
      <c r="E650" t="s">
        <v>16</v>
      </c>
      <c r="F650">
        <v>40</v>
      </c>
      <c r="G650" t="s">
        <v>20</v>
      </c>
      <c r="H650">
        <v>1</v>
      </c>
      <c r="I650">
        <v>50</v>
      </c>
      <c r="J650">
        <v>22</v>
      </c>
      <c r="K650">
        <v>50</v>
      </c>
      <c r="L650">
        <v>28</v>
      </c>
      <c r="M650">
        <v>0.56000000000000005</v>
      </c>
      <c r="N650" t="s">
        <v>18</v>
      </c>
    </row>
    <row r="651" spans="1:14">
      <c r="A651">
        <v>188</v>
      </c>
      <c r="B651" s="4">
        <v>45169</v>
      </c>
      <c r="C651" s="5">
        <v>0.78472222222222221</v>
      </c>
      <c r="D651" t="s">
        <v>81</v>
      </c>
      <c r="E651" t="s">
        <v>16</v>
      </c>
      <c r="F651">
        <v>40</v>
      </c>
      <c r="G651" t="s">
        <v>17</v>
      </c>
      <c r="H651">
        <v>3</v>
      </c>
      <c r="I651">
        <v>25</v>
      </c>
      <c r="J651">
        <v>8.5</v>
      </c>
      <c r="K651">
        <v>75</v>
      </c>
      <c r="L651">
        <v>66.5</v>
      </c>
      <c r="M651">
        <v>0.88666666666666671</v>
      </c>
      <c r="N651" t="s">
        <v>18</v>
      </c>
    </row>
    <row r="652" spans="1:14">
      <c r="A652">
        <v>357</v>
      </c>
      <c r="B652" s="4">
        <v>45064</v>
      </c>
      <c r="C652" s="5">
        <v>0.7895833333333333</v>
      </c>
      <c r="D652" t="s">
        <v>159</v>
      </c>
      <c r="E652" t="s">
        <v>23</v>
      </c>
      <c r="F652">
        <v>40</v>
      </c>
      <c r="G652" t="s">
        <v>30</v>
      </c>
      <c r="H652">
        <v>3</v>
      </c>
      <c r="I652">
        <v>25</v>
      </c>
      <c r="J652">
        <v>7.5</v>
      </c>
      <c r="K652">
        <v>75</v>
      </c>
      <c r="L652">
        <v>67.5</v>
      </c>
      <c r="M652">
        <v>0.9</v>
      </c>
      <c r="N652" t="s">
        <v>18</v>
      </c>
    </row>
    <row r="653" spans="1:14">
      <c r="A653">
        <v>646</v>
      </c>
      <c r="B653" s="4">
        <v>45072</v>
      </c>
      <c r="C653" s="5">
        <v>0.87638888888888888</v>
      </c>
      <c r="D653" t="s">
        <v>81</v>
      </c>
      <c r="E653" t="s">
        <v>16</v>
      </c>
      <c r="F653">
        <v>38</v>
      </c>
      <c r="G653" t="s">
        <v>17</v>
      </c>
      <c r="H653">
        <v>3</v>
      </c>
      <c r="I653">
        <v>30</v>
      </c>
      <c r="J653">
        <v>13.5</v>
      </c>
      <c r="K653">
        <v>90</v>
      </c>
      <c r="L653">
        <v>76.5</v>
      </c>
      <c r="M653">
        <v>0.85</v>
      </c>
      <c r="N653" t="s">
        <v>18</v>
      </c>
    </row>
    <row r="654" spans="1:14">
      <c r="A654">
        <v>749</v>
      </c>
      <c r="B654" s="4">
        <v>45133</v>
      </c>
      <c r="C654" s="5">
        <v>0.85624999999999996</v>
      </c>
      <c r="D654" t="s">
        <v>124</v>
      </c>
      <c r="E654" t="s">
        <v>16</v>
      </c>
      <c r="F654">
        <v>42</v>
      </c>
      <c r="G654" t="s">
        <v>20</v>
      </c>
      <c r="H654">
        <v>1</v>
      </c>
      <c r="I654">
        <v>30</v>
      </c>
      <c r="J654">
        <v>8.4</v>
      </c>
      <c r="K654">
        <v>30</v>
      </c>
      <c r="L654">
        <v>21.6</v>
      </c>
      <c r="M654">
        <v>0.72000000000000008</v>
      </c>
      <c r="N654" t="s">
        <v>18</v>
      </c>
    </row>
    <row r="655" spans="1:14">
      <c r="A655">
        <v>974</v>
      </c>
      <c r="B655" s="4">
        <v>45288</v>
      </c>
      <c r="C655" s="5">
        <v>0.77708333333333335</v>
      </c>
      <c r="D655" t="s">
        <v>81</v>
      </c>
      <c r="E655" t="s">
        <v>16</v>
      </c>
      <c r="F655">
        <v>47</v>
      </c>
      <c r="G655" t="s">
        <v>20</v>
      </c>
      <c r="H655">
        <v>1</v>
      </c>
      <c r="I655">
        <v>30</v>
      </c>
      <c r="J655">
        <v>11.7</v>
      </c>
      <c r="K655">
        <v>30</v>
      </c>
      <c r="L655">
        <v>18.3</v>
      </c>
      <c r="M655">
        <v>0.61</v>
      </c>
      <c r="N655" t="s">
        <v>21</v>
      </c>
    </row>
    <row r="656" spans="1:14">
      <c r="A656">
        <v>1188</v>
      </c>
      <c r="B656" s="4">
        <v>45081</v>
      </c>
      <c r="C656" s="5">
        <v>0.94652777777777775</v>
      </c>
      <c r="D656" t="s">
        <v>124</v>
      </c>
      <c r="E656" t="s">
        <v>16</v>
      </c>
      <c r="F656">
        <v>40</v>
      </c>
      <c r="G656" t="s">
        <v>17</v>
      </c>
      <c r="H656">
        <v>3</v>
      </c>
      <c r="I656">
        <v>25</v>
      </c>
      <c r="J656">
        <v>10.75</v>
      </c>
      <c r="K656">
        <v>75</v>
      </c>
      <c r="L656">
        <v>64.25</v>
      </c>
      <c r="M656">
        <v>0.85666666666666669</v>
      </c>
      <c r="N656" t="s">
        <v>18</v>
      </c>
    </row>
    <row r="657" spans="1:14">
      <c r="A657">
        <v>1357</v>
      </c>
      <c r="B657" s="4">
        <v>45005</v>
      </c>
      <c r="C657" s="5">
        <v>0.80138888888888893</v>
      </c>
      <c r="D657" t="s">
        <v>81</v>
      </c>
      <c r="E657" t="s">
        <v>23</v>
      </c>
      <c r="F657">
        <v>40</v>
      </c>
      <c r="G657" t="s">
        <v>30</v>
      </c>
      <c r="H657">
        <v>3</v>
      </c>
      <c r="I657">
        <v>25</v>
      </c>
      <c r="J657">
        <v>11.5</v>
      </c>
      <c r="K657">
        <v>75</v>
      </c>
      <c r="L657">
        <v>63.5</v>
      </c>
      <c r="M657">
        <v>0.84666666666666668</v>
      </c>
      <c r="N657" t="s">
        <v>18</v>
      </c>
    </row>
    <row r="658" spans="1:14">
      <c r="A658">
        <v>1646</v>
      </c>
      <c r="B658" s="4">
        <v>44944</v>
      </c>
      <c r="C658" s="5">
        <v>0.82152777777777775</v>
      </c>
      <c r="D658" t="s">
        <v>40</v>
      </c>
      <c r="E658" t="s">
        <v>16</v>
      </c>
      <c r="F658">
        <v>38</v>
      </c>
      <c r="G658" t="s">
        <v>17</v>
      </c>
      <c r="H658">
        <v>3</v>
      </c>
      <c r="I658">
        <v>30</v>
      </c>
      <c r="J658">
        <v>15.6</v>
      </c>
      <c r="K658">
        <v>90</v>
      </c>
      <c r="L658">
        <v>74.400000000000006</v>
      </c>
      <c r="M658">
        <v>0.82666666666666677</v>
      </c>
      <c r="N658" t="s">
        <v>18</v>
      </c>
    </row>
    <row r="659" spans="1:14">
      <c r="A659">
        <v>1749</v>
      </c>
      <c r="B659" s="4">
        <v>45053</v>
      </c>
      <c r="C659" s="5">
        <v>0.82986111111111116</v>
      </c>
      <c r="D659" t="s">
        <v>124</v>
      </c>
      <c r="E659" t="s">
        <v>16</v>
      </c>
      <c r="F659">
        <v>42</v>
      </c>
      <c r="G659" t="s">
        <v>20</v>
      </c>
      <c r="H659">
        <v>1</v>
      </c>
      <c r="I659">
        <v>30</v>
      </c>
      <c r="J659">
        <v>9</v>
      </c>
      <c r="K659">
        <v>30</v>
      </c>
      <c r="L659">
        <v>21</v>
      </c>
      <c r="M659">
        <v>0.7</v>
      </c>
      <c r="N659" t="s">
        <v>18</v>
      </c>
    </row>
    <row r="660" spans="1:14">
      <c r="A660">
        <v>1974</v>
      </c>
      <c r="B660" s="4">
        <v>44976</v>
      </c>
      <c r="C660" s="5">
        <v>0.84722222222222221</v>
      </c>
      <c r="D660" t="s">
        <v>81</v>
      </c>
      <c r="E660" t="s">
        <v>16</v>
      </c>
      <c r="F660">
        <v>47</v>
      </c>
      <c r="G660" t="s">
        <v>20</v>
      </c>
      <c r="H660">
        <v>1</v>
      </c>
      <c r="I660">
        <v>30</v>
      </c>
      <c r="J660">
        <v>12.9</v>
      </c>
      <c r="K660">
        <v>30</v>
      </c>
      <c r="L660">
        <v>17.100000000000001</v>
      </c>
      <c r="M660">
        <v>0.57000000000000006</v>
      </c>
      <c r="N660" t="s">
        <v>21</v>
      </c>
    </row>
    <row r="661" spans="1:14">
      <c r="A661">
        <v>190</v>
      </c>
      <c r="B661" s="4">
        <v>44951</v>
      </c>
      <c r="C661" s="5">
        <v>0.74722222222222223</v>
      </c>
      <c r="D661" t="s">
        <v>124</v>
      </c>
      <c r="E661" t="s">
        <v>23</v>
      </c>
      <c r="F661">
        <v>60</v>
      </c>
      <c r="G661" t="s">
        <v>20</v>
      </c>
      <c r="H661">
        <v>3</v>
      </c>
      <c r="I661">
        <v>30</v>
      </c>
      <c r="J661">
        <v>10.5</v>
      </c>
      <c r="K661">
        <v>90</v>
      </c>
      <c r="L661">
        <v>79.5</v>
      </c>
      <c r="M661">
        <v>0.8833333333333333</v>
      </c>
      <c r="N661" t="s">
        <v>28</v>
      </c>
    </row>
    <row r="662" spans="1:14">
      <c r="A662">
        <v>849</v>
      </c>
      <c r="B662" s="4">
        <v>45102</v>
      </c>
      <c r="C662" s="5">
        <v>0.81458333333333333</v>
      </c>
      <c r="D662" t="s">
        <v>22</v>
      </c>
      <c r="E662" t="s">
        <v>16</v>
      </c>
      <c r="F662">
        <v>32</v>
      </c>
      <c r="G662" t="s">
        <v>17</v>
      </c>
      <c r="H662">
        <v>2</v>
      </c>
      <c r="I662">
        <v>25</v>
      </c>
      <c r="J662">
        <v>12.5</v>
      </c>
      <c r="K662">
        <v>50</v>
      </c>
      <c r="L662">
        <v>37.5</v>
      </c>
      <c r="M662">
        <v>0.75</v>
      </c>
      <c r="N662" t="s">
        <v>39</v>
      </c>
    </row>
    <row r="663" spans="1:14">
      <c r="A663">
        <v>853</v>
      </c>
      <c r="B663" s="4">
        <v>45060</v>
      </c>
      <c r="C663" s="5">
        <v>0.93680555555555556</v>
      </c>
      <c r="D663" t="s">
        <v>81</v>
      </c>
      <c r="E663" t="s">
        <v>16</v>
      </c>
      <c r="F663">
        <v>21</v>
      </c>
      <c r="G663" t="s">
        <v>20</v>
      </c>
      <c r="H663">
        <v>2</v>
      </c>
      <c r="I663">
        <v>500</v>
      </c>
      <c r="J663">
        <v>155</v>
      </c>
      <c r="K663">
        <v>1000</v>
      </c>
      <c r="L663">
        <v>845</v>
      </c>
      <c r="M663">
        <v>0.84499999999999997</v>
      </c>
      <c r="N663" t="s">
        <v>31</v>
      </c>
    </row>
    <row r="664" spans="1:14">
      <c r="A664">
        <v>1190</v>
      </c>
      <c r="B664" s="4">
        <v>45198</v>
      </c>
      <c r="C664" s="5">
        <v>0.875</v>
      </c>
      <c r="D664" t="s">
        <v>159</v>
      </c>
      <c r="E664" t="s">
        <v>23</v>
      </c>
      <c r="F664">
        <v>60</v>
      </c>
      <c r="G664" t="s">
        <v>20</v>
      </c>
      <c r="H664">
        <v>3</v>
      </c>
      <c r="I664">
        <v>30</v>
      </c>
      <c r="J664">
        <v>10.8</v>
      </c>
      <c r="K664">
        <v>90</v>
      </c>
      <c r="L664">
        <v>79.2</v>
      </c>
      <c r="M664">
        <v>0.88</v>
      </c>
      <c r="N664" t="s">
        <v>28</v>
      </c>
    </row>
    <row r="665" spans="1:14">
      <c r="A665">
        <v>1849</v>
      </c>
      <c r="B665" s="4">
        <v>45128</v>
      </c>
      <c r="C665" s="5">
        <v>0.9458333333333333</v>
      </c>
      <c r="D665" t="s">
        <v>40</v>
      </c>
      <c r="E665" t="s">
        <v>16</v>
      </c>
      <c r="F665">
        <v>32</v>
      </c>
      <c r="G665" t="s">
        <v>17</v>
      </c>
      <c r="H665">
        <v>2</v>
      </c>
      <c r="I665">
        <v>25</v>
      </c>
      <c r="J665">
        <v>12</v>
      </c>
      <c r="K665">
        <v>50</v>
      </c>
      <c r="L665">
        <v>38</v>
      </c>
      <c r="M665">
        <v>0.76</v>
      </c>
      <c r="N665" t="s">
        <v>39</v>
      </c>
    </row>
    <row r="666" spans="1:14">
      <c r="A666">
        <v>1853</v>
      </c>
      <c r="B666" s="4">
        <v>45075</v>
      </c>
      <c r="C666" s="5">
        <v>0.77708333333333335</v>
      </c>
      <c r="D666" t="s">
        <v>124</v>
      </c>
      <c r="E666" t="s">
        <v>16</v>
      </c>
      <c r="F666">
        <v>21</v>
      </c>
      <c r="G666" t="s">
        <v>20</v>
      </c>
      <c r="H666">
        <v>2</v>
      </c>
      <c r="I666">
        <v>500</v>
      </c>
      <c r="J666">
        <v>190</v>
      </c>
      <c r="K666">
        <v>1000</v>
      </c>
      <c r="L666">
        <v>810</v>
      </c>
      <c r="M666">
        <v>0.81</v>
      </c>
      <c r="N666" t="s">
        <v>31</v>
      </c>
    </row>
    <row r="667" spans="1:14">
      <c r="A667">
        <v>252</v>
      </c>
      <c r="B667" s="4">
        <v>45051</v>
      </c>
      <c r="C667" s="5">
        <v>0.73402777777777772</v>
      </c>
      <c r="D667" t="s">
        <v>40</v>
      </c>
      <c r="E667" t="s">
        <v>16</v>
      </c>
      <c r="F667">
        <v>54</v>
      </c>
      <c r="G667" t="s">
        <v>30</v>
      </c>
      <c r="H667">
        <v>1</v>
      </c>
      <c r="I667">
        <v>300</v>
      </c>
      <c r="J667">
        <v>84</v>
      </c>
      <c r="K667">
        <v>300</v>
      </c>
      <c r="L667">
        <v>216</v>
      </c>
      <c r="M667">
        <v>0.72</v>
      </c>
      <c r="N667" t="s">
        <v>21</v>
      </c>
    </row>
    <row r="668" spans="1:14">
      <c r="A668">
        <v>606</v>
      </c>
      <c r="B668" s="4">
        <v>45090</v>
      </c>
      <c r="C668" s="5">
        <v>0.84652777777777777</v>
      </c>
      <c r="D668" t="s">
        <v>124</v>
      </c>
      <c r="E668" t="s">
        <v>16</v>
      </c>
      <c r="F668">
        <v>22</v>
      </c>
      <c r="G668" t="s">
        <v>30</v>
      </c>
      <c r="H668">
        <v>1</v>
      </c>
      <c r="I668">
        <v>50</v>
      </c>
      <c r="J668">
        <v>19.5</v>
      </c>
      <c r="K668">
        <v>50</v>
      </c>
      <c r="L668">
        <v>30.5</v>
      </c>
      <c r="M668">
        <v>0.61</v>
      </c>
      <c r="N668" t="s">
        <v>31</v>
      </c>
    </row>
    <row r="669" spans="1:14">
      <c r="A669">
        <v>779</v>
      </c>
      <c r="B669" s="4">
        <v>45061</v>
      </c>
      <c r="C669" s="5">
        <v>0.80486111111111114</v>
      </c>
      <c r="D669" t="s">
        <v>81</v>
      </c>
      <c r="E669" t="s">
        <v>23</v>
      </c>
      <c r="F669">
        <v>56</v>
      </c>
      <c r="G669" t="s">
        <v>30</v>
      </c>
      <c r="H669">
        <v>2</v>
      </c>
      <c r="I669">
        <v>500</v>
      </c>
      <c r="J669">
        <v>155</v>
      </c>
      <c r="K669">
        <v>1000</v>
      </c>
      <c r="L669">
        <v>845</v>
      </c>
      <c r="M669">
        <v>0.84499999999999997</v>
      </c>
      <c r="N669" t="s">
        <v>28</v>
      </c>
    </row>
    <row r="670" spans="1:14">
      <c r="A670">
        <v>824</v>
      </c>
      <c r="B670" s="4">
        <v>44982</v>
      </c>
      <c r="C670" s="5">
        <v>0.79861111111111116</v>
      </c>
      <c r="D670" t="s">
        <v>81</v>
      </c>
      <c r="E670" t="s">
        <v>16</v>
      </c>
      <c r="F670">
        <v>63</v>
      </c>
      <c r="G670" t="s">
        <v>17</v>
      </c>
      <c r="H670">
        <v>4</v>
      </c>
      <c r="I670">
        <v>30</v>
      </c>
      <c r="J670">
        <v>9.3000000000000007</v>
      </c>
      <c r="K670">
        <v>120</v>
      </c>
      <c r="L670">
        <v>110.7</v>
      </c>
      <c r="M670">
        <v>0.92249999999999999</v>
      </c>
      <c r="N670" t="s">
        <v>28</v>
      </c>
    </row>
    <row r="671" spans="1:14">
      <c r="A671">
        <v>866</v>
      </c>
      <c r="B671" s="4">
        <v>45113</v>
      </c>
      <c r="C671" s="5">
        <v>0.76111111111111107</v>
      </c>
      <c r="D671" t="s">
        <v>159</v>
      </c>
      <c r="E671" t="s">
        <v>16</v>
      </c>
      <c r="F671">
        <v>24</v>
      </c>
      <c r="G671" t="s">
        <v>30</v>
      </c>
      <c r="H671">
        <v>1</v>
      </c>
      <c r="I671">
        <v>50</v>
      </c>
      <c r="J671">
        <v>22.5</v>
      </c>
      <c r="K671">
        <v>50</v>
      </c>
      <c r="L671">
        <v>27.5</v>
      </c>
      <c r="M671">
        <v>0.55000000000000004</v>
      </c>
      <c r="N671" t="s">
        <v>31</v>
      </c>
    </row>
    <row r="672" spans="1:14">
      <c r="A672">
        <v>1252</v>
      </c>
      <c r="B672" s="4">
        <v>45290</v>
      </c>
      <c r="C672" s="5">
        <v>0.84583333333333333</v>
      </c>
      <c r="D672" t="s">
        <v>22</v>
      </c>
      <c r="E672" t="s">
        <v>16</v>
      </c>
      <c r="F672">
        <v>54</v>
      </c>
      <c r="G672" t="s">
        <v>30</v>
      </c>
      <c r="H672">
        <v>1</v>
      </c>
      <c r="I672">
        <v>300</v>
      </c>
      <c r="J672">
        <v>117</v>
      </c>
      <c r="K672">
        <v>300</v>
      </c>
      <c r="L672">
        <v>183</v>
      </c>
      <c r="M672">
        <v>0.61</v>
      </c>
      <c r="N672" t="s">
        <v>21</v>
      </c>
    </row>
    <row r="673" spans="1:14">
      <c r="A673">
        <v>1606</v>
      </c>
      <c r="B673" s="4">
        <v>45218</v>
      </c>
      <c r="C673" s="5">
        <v>0.82777777777777772</v>
      </c>
      <c r="D673" t="s">
        <v>124</v>
      </c>
      <c r="E673" t="s">
        <v>16</v>
      </c>
      <c r="F673">
        <v>22</v>
      </c>
      <c r="G673" t="s">
        <v>30</v>
      </c>
      <c r="H673">
        <v>1</v>
      </c>
      <c r="I673">
        <v>50</v>
      </c>
      <c r="J673">
        <v>26.5</v>
      </c>
      <c r="K673">
        <v>50</v>
      </c>
      <c r="L673">
        <v>23.5</v>
      </c>
      <c r="M673">
        <v>0.47</v>
      </c>
      <c r="N673" t="s">
        <v>31</v>
      </c>
    </row>
    <row r="674" spans="1:14">
      <c r="A674">
        <v>1779</v>
      </c>
      <c r="B674" s="4">
        <v>44928</v>
      </c>
      <c r="C674" s="5">
        <v>0.82291666666666663</v>
      </c>
      <c r="D674" t="s">
        <v>81</v>
      </c>
      <c r="E674" t="s">
        <v>23</v>
      </c>
      <c r="F674">
        <v>56</v>
      </c>
      <c r="G674" t="s">
        <v>30</v>
      </c>
      <c r="H674">
        <v>2</v>
      </c>
      <c r="I674">
        <v>500</v>
      </c>
      <c r="J674">
        <v>190</v>
      </c>
      <c r="K674">
        <v>1000</v>
      </c>
      <c r="L674">
        <v>810</v>
      </c>
      <c r="M674">
        <v>0.81</v>
      </c>
      <c r="N674" t="s">
        <v>28</v>
      </c>
    </row>
    <row r="675" spans="1:14">
      <c r="A675">
        <v>1824</v>
      </c>
      <c r="B675" s="4">
        <v>44950</v>
      </c>
      <c r="C675" s="5">
        <v>0.84652777777777777</v>
      </c>
      <c r="D675" t="s">
        <v>159</v>
      </c>
      <c r="E675" t="s">
        <v>16</v>
      </c>
      <c r="F675">
        <v>63</v>
      </c>
      <c r="G675" t="s">
        <v>17</v>
      </c>
      <c r="H675">
        <v>4</v>
      </c>
      <c r="I675">
        <v>30</v>
      </c>
      <c r="J675">
        <v>12.6</v>
      </c>
      <c r="K675">
        <v>120</v>
      </c>
      <c r="L675">
        <v>107.4</v>
      </c>
      <c r="M675">
        <v>0.89500000000000002</v>
      </c>
      <c r="N675" t="s">
        <v>28</v>
      </c>
    </row>
    <row r="676" spans="1:14">
      <c r="A676">
        <v>1866</v>
      </c>
      <c r="B676" s="4">
        <v>45155</v>
      </c>
      <c r="C676" s="5">
        <v>0.94305555555555554</v>
      </c>
      <c r="D676" t="s">
        <v>22</v>
      </c>
      <c r="E676" t="s">
        <v>16</v>
      </c>
      <c r="F676">
        <v>24</v>
      </c>
      <c r="G676" t="s">
        <v>30</v>
      </c>
      <c r="H676">
        <v>1</v>
      </c>
      <c r="I676">
        <v>50</v>
      </c>
      <c r="J676">
        <v>20</v>
      </c>
      <c r="K676">
        <v>50</v>
      </c>
      <c r="L676">
        <v>30</v>
      </c>
      <c r="M676">
        <v>0.6</v>
      </c>
      <c r="N676" t="s">
        <v>31</v>
      </c>
    </row>
    <row r="677" spans="1:14">
      <c r="A677">
        <v>5</v>
      </c>
      <c r="B677" s="4">
        <v>45174</v>
      </c>
      <c r="C677" s="5">
        <v>0.92361111111111116</v>
      </c>
      <c r="D677" t="s">
        <v>81</v>
      </c>
      <c r="E677" t="s">
        <v>16</v>
      </c>
      <c r="F677">
        <v>30</v>
      </c>
      <c r="G677" t="s">
        <v>20</v>
      </c>
      <c r="H677">
        <v>2</v>
      </c>
      <c r="I677">
        <v>50</v>
      </c>
      <c r="J677">
        <v>24</v>
      </c>
      <c r="K677">
        <v>100</v>
      </c>
      <c r="L677">
        <v>76</v>
      </c>
      <c r="M677">
        <v>0.76</v>
      </c>
      <c r="N677" t="s">
        <v>39</v>
      </c>
    </row>
    <row r="678" spans="1:14">
      <c r="A678">
        <v>90</v>
      </c>
      <c r="B678" s="4">
        <v>45179</v>
      </c>
      <c r="C678" s="5">
        <v>0.74513888888888891</v>
      </c>
      <c r="D678" t="s">
        <v>81</v>
      </c>
      <c r="E678" t="s">
        <v>23</v>
      </c>
      <c r="F678">
        <v>51</v>
      </c>
      <c r="G678" t="s">
        <v>30</v>
      </c>
      <c r="H678">
        <v>1</v>
      </c>
      <c r="I678">
        <v>30</v>
      </c>
      <c r="J678">
        <v>13.5</v>
      </c>
      <c r="K678">
        <v>30</v>
      </c>
      <c r="L678">
        <v>16.5</v>
      </c>
      <c r="M678">
        <v>0.55000000000000004</v>
      </c>
      <c r="N678" t="s">
        <v>21</v>
      </c>
    </row>
    <row r="679" spans="1:14">
      <c r="A679">
        <v>380</v>
      </c>
      <c r="B679" s="4">
        <v>45168</v>
      </c>
      <c r="C679" s="5">
        <v>0.93472222222222223</v>
      </c>
      <c r="D679" t="s">
        <v>124</v>
      </c>
      <c r="E679" t="s">
        <v>16</v>
      </c>
      <c r="F679">
        <v>56</v>
      </c>
      <c r="G679" t="s">
        <v>30</v>
      </c>
      <c r="H679">
        <v>2</v>
      </c>
      <c r="I679">
        <v>300</v>
      </c>
      <c r="J679">
        <v>102</v>
      </c>
      <c r="K679">
        <v>600</v>
      </c>
      <c r="L679">
        <v>498</v>
      </c>
      <c r="M679">
        <v>0.83</v>
      </c>
      <c r="N679" t="s">
        <v>28</v>
      </c>
    </row>
    <row r="680" spans="1:14">
      <c r="A680">
        <v>593</v>
      </c>
      <c r="B680" s="4">
        <v>44944</v>
      </c>
      <c r="C680" s="5">
        <v>0.92013888888888884</v>
      </c>
      <c r="D680" t="s">
        <v>124</v>
      </c>
      <c r="E680" t="s">
        <v>16</v>
      </c>
      <c r="F680">
        <v>35</v>
      </c>
      <c r="G680" t="s">
        <v>30</v>
      </c>
      <c r="H680">
        <v>2</v>
      </c>
      <c r="I680">
        <v>30</v>
      </c>
      <c r="J680">
        <v>13.2</v>
      </c>
      <c r="K680">
        <v>60</v>
      </c>
      <c r="L680">
        <v>46.8</v>
      </c>
      <c r="M680">
        <v>0.77999999999999992</v>
      </c>
      <c r="N680" t="s">
        <v>39</v>
      </c>
    </row>
    <row r="681" spans="1:14">
      <c r="A681">
        <v>820</v>
      </c>
      <c r="B681" s="4">
        <v>44974</v>
      </c>
      <c r="C681" s="5">
        <v>0.9506944444444444</v>
      </c>
      <c r="D681" t="s">
        <v>40</v>
      </c>
      <c r="E681" t="s">
        <v>16</v>
      </c>
      <c r="F681">
        <v>49</v>
      </c>
      <c r="G681" t="s">
        <v>30</v>
      </c>
      <c r="H681">
        <v>4</v>
      </c>
      <c r="I681">
        <v>50</v>
      </c>
      <c r="J681">
        <v>24</v>
      </c>
      <c r="K681">
        <v>200</v>
      </c>
      <c r="L681">
        <v>176</v>
      </c>
      <c r="M681">
        <v>0.88</v>
      </c>
      <c r="N681" t="s">
        <v>21</v>
      </c>
    </row>
    <row r="682" spans="1:14">
      <c r="A682">
        <v>1005</v>
      </c>
      <c r="B682" s="4">
        <v>45150</v>
      </c>
      <c r="C682" s="5">
        <v>0.85972222222222228</v>
      </c>
      <c r="D682" t="s">
        <v>124</v>
      </c>
      <c r="E682" t="s">
        <v>16</v>
      </c>
      <c r="F682">
        <v>30</v>
      </c>
      <c r="G682" t="s">
        <v>20</v>
      </c>
      <c r="H682">
        <v>2</v>
      </c>
      <c r="I682">
        <v>50</v>
      </c>
      <c r="J682">
        <v>17.5</v>
      </c>
      <c r="K682">
        <v>100</v>
      </c>
      <c r="L682">
        <v>82.5</v>
      </c>
      <c r="M682">
        <v>0.82499999999999996</v>
      </c>
      <c r="N682" t="s">
        <v>39</v>
      </c>
    </row>
    <row r="683" spans="1:14">
      <c r="A683">
        <v>1090</v>
      </c>
      <c r="B683" s="4">
        <v>44975</v>
      </c>
      <c r="C683" s="5">
        <v>0.82916666666666672</v>
      </c>
      <c r="D683" t="s">
        <v>159</v>
      </c>
      <c r="E683" t="s">
        <v>23</v>
      </c>
      <c r="F683">
        <v>51</v>
      </c>
      <c r="G683" t="s">
        <v>30</v>
      </c>
      <c r="H683">
        <v>1</v>
      </c>
      <c r="I683">
        <v>30</v>
      </c>
      <c r="J683">
        <v>7.5</v>
      </c>
      <c r="K683">
        <v>30</v>
      </c>
      <c r="L683">
        <v>22.5</v>
      </c>
      <c r="M683">
        <v>0.75</v>
      </c>
      <c r="N683" t="s">
        <v>21</v>
      </c>
    </row>
    <row r="684" spans="1:14">
      <c r="A684">
        <v>1380</v>
      </c>
      <c r="B684" s="4">
        <v>44966</v>
      </c>
      <c r="C684" s="5">
        <v>0.82291666666666663</v>
      </c>
      <c r="D684" t="s">
        <v>81</v>
      </c>
      <c r="E684" t="s">
        <v>16</v>
      </c>
      <c r="F684">
        <v>56</v>
      </c>
      <c r="G684" t="s">
        <v>30</v>
      </c>
      <c r="H684">
        <v>2</v>
      </c>
      <c r="I684">
        <v>300</v>
      </c>
      <c r="J684">
        <v>159</v>
      </c>
      <c r="K684">
        <v>600</v>
      </c>
      <c r="L684">
        <v>441</v>
      </c>
      <c r="M684">
        <v>0.73499999999999999</v>
      </c>
      <c r="N684" t="s">
        <v>28</v>
      </c>
    </row>
    <row r="685" spans="1:14">
      <c r="A685">
        <v>1593</v>
      </c>
      <c r="B685" s="4">
        <v>44981</v>
      </c>
      <c r="C685" s="5">
        <v>0.94374999999999998</v>
      </c>
      <c r="D685" t="s">
        <v>22</v>
      </c>
      <c r="E685" t="s">
        <v>16</v>
      </c>
      <c r="F685">
        <v>35</v>
      </c>
      <c r="G685" t="s">
        <v>30</v>
      </c>
      <c r="H685">
        <v>2</v>
      </c>
      <c r="I685">
        <v>30</v>
      </c>
      <c r="J685">
        <v>14.4</v>
      </c>
      <c r="K685">
        <v>60</v>
      </c>
      <c r="L685">
        <v>45.6</v>
      </c>
      <c r="M685">
        <v>0.76</v>
      </c>
      <c r="N685" t="s">
        <v>39</v>
      </c>
    </row>
    <row r="686" spans="1:14">
      <c r="A686">
        <v>1820</v>
      </c>
      <c r="B686" s="4">
        <v>45059</v>
      </c>
      <c r="C686" s="5">
        <v>0.89652777777777781</v>
      </c>
      <c r="D686" t="s">
        <v>40</v>
      </c>
      <c r="E686" t="s">
        <v>16</v>
      </c>
      <c r="F686">
        <v>49</v>
      </c>
      <c r="G686" t="s">
        <v>30</v>
      </c>
      <c r="H686">
        <v>4</v>
      </c>
      <c r="I686">
        <v>50</v>
      </c>
      <c r="J686">
        <v>22</v>
      </c>
      <c r="K686">
        <v>200</v>
      </c>
      <c r="L686">
        <v>178</v>
      </c>
      <c r="M686">
        <v>0.89</v>
      </c>
      <c r="N686" t="s">
        <v>21</v>
      </c>
    </row>
    <row r="687" spans="1:14">
      <c r="A687">
        <v>120</v>
      </c>
      <c r="B687" s="4">
        <v>45016</v>
      </c>
      <c r="C687" s="5">
        <v>0.81597222222222221</v>
      </c>
      <c r="D687" t="s">
        <v>159</v>
      </c>
      <c r="E687" t="s">
        <v>16</v>
      </c>
      <c r="F687">
        <v>60</v>
      </c>
      <c r="G687" t="s">
        <v>20</v>
      </c>
      <c r="H687">
        <v>1</v>
      </c>
      <c r="I687">
        <v>50</v>
      </c>
      <c r="J687">
        <v>12.5</v>
      </c>
      <c r="K687">
        <v>50</v>
      </c>
      <c r="L687">
        <v>37.5</v>
      </c>
      <c r="M687">
        <v>0.75</v>
      </c>
      <c r="N687" t="s">
        <v>28</v>
      </c>
    </row>
    <row r="688" spans="1:14">
      <c r="A688">
        <v>221</v>
      </c>
      <c r="B688" s="4">
        <v>45257</v>
      </c>
      <c r="C688" s="5">
        <v>0.87569444444444444</v>
      </c>
      <c r="D688" t="s">
        <v>81</v>
      </c>
      <c r="E688" t="s">
        <v>16</v>
      </c>
      <c r="F688">
        <v>39</v>
      </c>
      <c r="G688" t="s">
        <v>20</v>
      </c>
      <c r="H688">
        <v>2</v>
      </c>
      <c r="I688">
        <v>300</v>
      </c>
      <c r="J688">
        <v>111</v>
      </c>
      <c r="K688">
        <v>600</v>
      </c>
      <c r="L688">
        <v>489</v>
      </c>
      <c r="M688">
        <v>0.81499999999999995</v>
      </c>
      <c r="N688" t="s">
        <v>18</v>
      </c>
    </row>
    <row r="689" spans="1:14">
      <c r="A689">
        <v>341</v>
      </c>
      <c r="B689" s="4">
        <v>44946</v>
      </c>
      <c r="C689" s="5">
        <v>0.71250000000000002</v>
      </c>
      <c r="D689" t="s">
        <v>22</v>
      </c>
      <c r="E689" t="s">
        <v>16</v>
      </c>
      <c r="F689">
        <v>31</v>
      </c>
      <c r="G689" t="s">
        <v>17</v>
      </c>
      <c r="H689">
        <v>4</v>
      </c>
      <c r="I689">
        <v>50</v>
      </c>
      <c r="J689">
        <v>18.5</v>
      </c>
      <c r="K689">
        <v>200</v>
      </c>
      <c r="L689">
        <v>181.5</v>
      </c>
      <c r="M689">
        <v>0.90749999999999997</v>
      </c>
      <c r="N689" t="s">
        <v>39</v>
      </c>
    </row>
    <row r="690" spans="1:14">
      <c r="A690">
        <v>640</v>
      </c>
      <c r="B690" s="4">
        <v>45285</v>
      </c>
      <c r="C690" s="5">
        <v>0.83680555555555558</v>
      </c>
      <c r="D690" t="s">
        <v>81</v>
      </c>
      <c r="E690" t="s">
        <v>23</v>
      </c>
      <c r="F690">
        <v>51</v>
      </c>
      <c r="G690" t="s">
        <v>30</v>
      </c>
      <c r="H690">
        <v>4</v>
      </c>
      <c r="I690">
        <v>30</v>
      </c>
      <c r="J690">
        <v>12.6</v>
      </c>
      <c r="K690">
        <v>120</v>
      </c>
      <c r="L690">
        <v>107.4</v>
      </c>
      <c r="M690">
        <v>0.89500000000000002</v>
      </c>
      <c r="N690" t="s">
        <v>21</v>
      </c>
    </row>
    <row r="691" spans="1:14">
      <c r="A691">
        <v>744</v>
      </c>
      <c r="B691" s="4">
        <v>45069</v>
      </c>
      <c r="C691" s="5">
        <v>0.75138888888888888</v>
      </c>
      <c r="D691" t="s">
        <v>40</v>
      </c>
      <c r="E691" t="s">
        <v>16</v>
      </c>
      <c r="F691">
        <v>40</v>
      </c>
      <c r="G691" t="s">
        <v>30</v>
      </c>
      <c r="H691">
        <v>1</v>
      </c>
      <c r="I691">
        <v>25</v>
      </c>
      <c r="J691">
        <v>6.5</v>
      </c>
      <c r="K691">
        <v>25</v>
      </c>
      <c r="L691">
        <v>18.5</v>
      </c>
      <c r="M691">
        <v>0.74</v>
      </c>
      <c r="N691" t="s">
        <v>18</v>
      </c>
    </row>
    <row r="692" spans="1:14">
      <c r="A692">
        <v>1120</v>
      </c>
      <c r="B692" s="4">
        <v>44987</v>
      </c>
      <c r="C692" s="5">
        <v>0.81388888888888888</v>
      </c>
      <c r="D692" t="s">
        <v>159</v>
      </c>
      <c r="E692" t="s">
        <v>16</v>
      </c>
      <c r="F692">
        <v>60</v>
      </c>
      <c r="G692" t="s">
        <v>20</v>
      </c>
      <c r="H692">
        <v>1</v>
      </c>
      <c r="I692">
        <v>50</v>
      </c>
      <c r="J692">
        <v>26.5</v>
      </c>
      <c r="K692">
        <v>50</v>
      </c>
      <c r="L692">
        <v>23.5</v>
      </c>
      <c r="M692">
        <v>0.47</v>
      </c>
      <c r="N692" t="s">
        <v>28</v>
      </c>
    </row>
    <row r="693" spans="1:14">
      <c r="A693">
        <v>1221</v>
      </c>
      <c r="B693" s="4">
        <v>45183</v>
      </c>
      <c r="C693" s="5">
        <v>0.95625000000000004</v>
      </c>
      <c r="D693" t="s">
        <v>22</v>
      </c>
      <c r="E693" t="s">
        <v>16</v>
      </c>
      <c r="F693">
        <v>39</v>
      </c>
      <c r="G693" t="s">
        <v>20</v>
      </c>
      <c r="H693">
        <v>2</v>
      </c>
      <c r="I693">
        <v>300</v>
      </c>
      <c r="J693">
        <v>114</v>
      </c>
      <c r="K693">
        <v>600</v>
      </c>
      <c r="L693">
        <v>486</v>
      </c>
      <c r="M693">
        <v>0.81</v>
      </c>
      <c r="N693" t="s">
        <v>18</v>
      </c>
    </row>
    <row r="694" spans="1:14">
      <c r="A694">
        <v>1341</v>
      </c>
      <c r="B694" s="4">
        <v>44956</v>
      </c>
      <c r="C694" s="5">
        <v>0.92361111111111116</v>
      </c>
      <c r="D694" t="s">
        <v>40</v>
      </c>
      <c r="E694" t="s">
        <v>16</v>
      </c>
      <c r="F694">
        <v>31</v>
      </c>
      <c r="G694" t="s">
        <v>17</v>
      </c>
      <c r="H694">
        <v>4</v>
      </c>
      <c r="I694">
        <v>50</v>
      </c>
      <c r="J694">
        <v>21</v>
      </c>
      <c r="K694">
        <v>200</v>
      </c>
      <c r="L694">
        <v>179</v>
      </c>
      <c r="M694">
        <v>0.89500000000000002</v>
      </c>
      <c r="N694" t="s">
        <v>39</v>
      </c>
    </row>
    <row r="695" spans="1:14">
      <c r="A695">
        <v>1640</v>
      </c>
      <c r="B695" s="4">
        <v>45087</v>
      </c>
      <c r="C695" s="5">
        <v>0.82222222222222219</v>
      </c>
      <c r="D695" t="s">
        <v>22</v>
      </c>
      <c r="E695" t="s">
        <v>23</v>
      </c>
      <c r="F695">
        <v>51</v>
      </c>
      <c r="G695" t="s">
        <v>30</v>
      </c>
      <c r="H695">
        <v>4</v>
      </c>
      <c r="I695">
        <v>30</v>
      </c>
      <c r="J695">
        <v>14.1</v>
      </c>
      <c r="K695">
        <v>120</v>
      </c>
      <c r="L695">
        <v>105.9</v>
      </c>
      <c r="M695">
        <v>0.88250000000000006</v>
      </c>
      <c r="N695" t="s">
        <v>21</v>
      </c>
    </row>
    <row r="696" spans="1:14">
      <c r="A696">
        <v>1744</v>
      </c>
      <c r="B696" s="4">
        <v>45114</v>
      </c>
      <c r="C696" s="5">
        <v>0.90902777777777777</v>
      </c>
      <c r="D696" t="s">
        <v>159</v>
      </c>
      <c r="E696" t="s">
        <v>16</v>
      </c>
      <c r="F696">
        <v>40</v>
      </c>
      <c r="G696" t="s">
        <v>30</v>
      </c>
      <c r="H696">
        <v>1</v>
      </c>
      <c r="I696">
        <v>25</v>
      </c>
      <c r="J696">
        <v>8.75</v>
      </c>
      <c r="K696">
        <v>25</v>
      </c>
      <c r="L696">
        <v>16.25</v>
      </c>
      <c r="M696">
        <v>0.65</v>
      </c>
      <c r="N696" t="s">
        <v>18</v>
      </c>
    </row>
    <row r="697" spans="1:14">
      <c r="A697">
        <v>273</v>
      </c>
      <c r="B697" s="4">
        <v>45195</v>
      </c>
      <c r="C697" s="5">
        <v>0.85</v>
      </c>
      <c r="D697" t="s">
        <v>40</v>
      </c>
      <c r="E697" t="s">
        <v>23</v>
      </c>
      <c r="F697">
        <v>22</v>
      </c>
      <c r="G697" t="s">
        <v>20</v>
      </c>
      <c r="H697">
        <v>1</v>
      </c>
      <c r="I697">
        <v>50</v>
      </c>
      <c r="J697">
        <v>14.5</v>
      </c>
      <c r="K697">
        <v>50</v>
      </c>
      <c r="L697">
        <v>35.5</v>
      </c>
      <c r="M697">
        <v>0.71</v>
      </c>
      <c r="N697" t="s">
        <v>31</v>
      </c>
    </row>
    <row r="698" spans="1:14">
      <c r="A698">
        <v>283</v>
      </c>
      <c r="B698" s="4">
        <v>45078</v>
      </c>
      <c r="C698" s="5">
        <v>0.83888888888888891</v>
      </c>
      <c r="D698" t="s">
        <v>81</v>
      </c>
      <c r="E698" t="s">
        <v>23</v>
      </c>
      <c r="F698">
        <v>18</v>
      </c>
      <c r="G698" t="s">
        <v>30</v>
      </c>
      <c r="H698">
        <v>1</v>
      </c>
      <c r="I698">
        <v>500</v>
      </c>
      <c r="J698">
        <v>165</v>
      </c>
      <c r="K698">
        <v>500</v>
      </c>
      <c r="L698">
        <v>335</v>
      </c>
      <c r="M698">
        <v>0.67</v>
      </c>
      <c r="N698" t="s">
        <v>31</v>
      </c>
    </row>
    <row r="699" spans="1:14">
      <c r="A699">
        <v>452</v>
      </c>
      <c r="B699" s="4">
        <v>44956</v>
      </c>
      <c r="C699" s="5">
        <v>0.94513888888888886</v>
      </c>
      <c r="D699" t="s">
        <v>159</v>
      </c>
      <c r="E699" t="s">
        <v>23</v>
      </c>
      <c r="F699">
        <v>48</v>
      </c>
      <c r="G699" t="s">
        <v>17</v>
      </c>
      <c r="H699">
        <v>3</v>
      </c>
      <c r="I699">
        <v>500</v>
      </c>
      <c r="J699">
        <v>240</v>
      </c>
      <c r="K699">
        <v>1500</v>
      </c>
      <c r="L699">
        <v>1260</v>
      </c>
      <c r="M699">
        <v>0.84</v>
      </c>
      <c r="N699" t="s">
        <v>21</v>
      </c>
    </row>
    <row r="700" spans="1:14">
      <c r="A700">
        <v>469</v>
      </c>
      <c r="B700" s="4">
        <v>45006</v>
      </c>
      <c r="C700" s="5">
        <v>0.80833333333333335</v>
      </c>
      <c r="D700" t="s">
        <v>159</v>
      </c>
      <c r="E700" t="s">
        <v>16</v>
      </c>
      <c r="F700">
        <v>18</v>
      </c>
      <c r="G700" t="s">
        <v>20</v>
      </c>
      <c r="H700">
        <v>3</v>
      </c>
      <c r="I700">
        <v>25</v>
      </c>
      <c r="J700">
        <v>8.75</v>
      </c>
      <c r="K700">
        <v>75</v>
      </c>
      <c r="L700">
        <v>66.25</v>
      </c>
      <c r="M700">
        <v>0.8833333333333333</v>
      </c>
      <c r="N700" t="s">
        <v>31</v>
      </c>
    </row>
    <row r="701" spans="1:14">
      <c r="A701">
        <v>620</v>
      </c>
      <c r="B701" s="4">
        <v>45236</v>
      </c>
      <c r="C701" s="5">
        <v>0.87430555555555556</v>
      </c>
      <c r="D701" t="s">
        <v>159</v>
      </c>
      <c r="E701" t="s">
        <v>16</v>
      </c>
      <c r="F701">
        <v>63</v>
      </c>
      <c r="G701" t="s">
        <v>30</v>
      </c>
      <c r="H701">
        <v>3</v>
      </c>
      <c r="I701">
        <v>25</v>
      </c>
      <c r="J701">
        <v>7</v>
      </c>
      <c r="K701">
        <v>75</v>
      </c>
      <c r="L701">
        <v>68</v>
      </c>
      <c r="M701">
        <v>0.90666666666666662</v>
      </c>
      <c r="N701" t="s">
        <v>28</v>
      </c>
    </row>
    <row r="702" spans="1:14">
      <c r="A702">
        <v>946</v>
      </c>
      <c r="B702" s="4">
        <v>45146</v>
      </c>
      <c r="C702" s="5">
        <v>0.84375</v>
      </c>
      <c r="D702" t="s">
        <v>124</v>
      </c>
      <c r="E702" t="s">
        <v>16</v>
      </c>
      <c r="F702">
        <v>62</v>
      </c>
      <c r="G702" t="s">
        <v>30</v>
      </c>
      <c r="H702">
        <v>4</v>
      </c>
      <c r="I702">
        <v>500</v>
      </c>
      <c r="J702">
        <v>235</v>
      </c>
      <c r="K702">
        <v>2000</v>
      </c>
      <c r="L702">
        <v>1765</v>
      </c>
      <c r="M702">
        <v>0.88249999999999995</v>
      </c>
      <c r="N702" t="s">
        <v>28</v>
      </c>
    </row>
    <row r="703" spans="1:14">
      <c r="A703">
        <v>1273</v>
      </c>
      <c r="B703" s="4">
        <v>45097</v>
      </c>
      <c r="C703" s="5">
        <v>0.86041666666666672</v>
      </c>
      <c r="D703" t="s">
        <v>40</v>
      </c>
      <c r="E703" t="s">
        <v>23</v>
      </c>
      <c r="F703">
        <v>22</v>
      </c>
      <c r="G703" t="s">
        <v>20</v>
      </c>
      <c r="H703">
        <v>1</v>
      </c>
      <c r="I703">
        <v>50</v>
      </c>
      <c r="J703">
        <v>25.5</v>
      </c>
      <c r="K703">
        <v>50</v>
      </c>
      <c r="L703">
        <v>24.5</v>
      </c>
      <c r="M703">
        <v>0.49</v>
      </c>
      <c r="N703" t="s">
        <v>31</v>
      </c>
    </row>
    <row r="704" spans="1:14">
      <c r="A704">
        <v>1283</v>
      </c>
      <c r="B704" s="4">
        <v>45213</v>
      </c>
      <c r="C704" s="5">
        <v>0.84375</v>
      </c>
      <c r="D704" t="s">
        <v>40</v>
      </c>
      <c r="E704" t="s">
        <v>23</v>
      </c>
      <c r="F704">
        <v>18</v>
      </c>
      <c r="G704" t="s">
        <v>30</v>
      </c>
      <c r="H704">
        <v>1</v>
      </c>
      <c r="I704">
        <v>500</v>
      </c>
      <c r="J704">
        <v>130</v>
      </c>
      <c r="K704">
        <v>500</v>
      </c>
      <c r="L704">
        <v>370</v>
      </c>
      <c r="M704">
        <v>0.74</v>
      </c>
      <c r="N704" t="s">
        <v>31</v>
      </c>
    </row>
    <row r="705" spans="1:14">
      <c r="A705">
        <v>1452</v>
      </c>
      <c r="B705" s="4">
        <v>45144</v>
      </c>
      <c r="C705" s="5">
        <v>0.7368055555555556</v>
      </c>
      <c r="D705" t="s">
        <v>81</v>
      </c>
      <c r="E705" t="s">
        <v>23</v>
      </c>
      <c r="F705">
        <v>48</v>
      </c>
      <c r="G705" t="s">
        <v>17</v>
      </c>
      <c r="H705">
        <v>3</v>
      </c>
      <c r="I705">
        <v>500</v>
      </c>
      <c r="J705">
        <v>185</v>
      </c>
      <c r="K705">
        <v>1500</v>
      </c>
      <c r="L705">
        <v>1315</v>
      </c>
      <c r="M705">
        <v>0.87666666666666671</v>
      </c>
      <c r="N705" t="s">
        <v>21</v>
      </c>
    </row>
    <row r="706" spans="1:14">
      <c r="A706">
        <v>1469</v>
      </c>
      <c r="B706" s="4">
        <v>45268</v>
      </c>
      <c r="C706" s="5">
        <v>0.72361111111111109</v>
      </c>
      <c r="D706" t="s">
        <v>81</v>
      </c>
      <c r="E706" t="s">
        <v>16</v>
      </c>
      <c r="F706">
        <v>18</v>
      </c>
      <c r="G706" t="s">
        <v>20</v>
      </c>
      <c r="H706">
        <v>3</v>
      </c>
      <c r="I706">
        <v>25</v>
      </c>
      <c r="J706">
        <v>12.5</v>
      </c>
      <c r="K706">
        <v>75</v>
      </c>
      <c r="L706">
        <v>62.5</v>
      </c>
      <c r="M706">
        <v>0.83333333333333337</v>
      </c>
      <c r="N706" t="s">
        <v>31</v>
      </c>
    </row>
    <row r="707" spans="1:14">
      <c r="A707">
        <v>1620</v>
      </c>
      <c r="B707" s="4">
        <v>44960</v>
      </c>
      <c r="C707" s="5">
        <v>0.95</v>
      </c>
      <c r="D707" t="s">
        <v>22</v>
      </c>
      <c r="E707" t="s">
        <v>16</v>
      </c>
      <c r="F707">
        <v>63</v>
      </c>
      <c r="G707" t="s">
        <v>30</v>
      </c>
      <c r="H707">
        <v>3</v>
      </c>
      <c r="I707">
        <v>25</v>
      </c>
      <c r="J707">
        <v>7.75</v>
      </c>
      <c r="K707">
        <v>75</v>
      </c>
      <c r="L707">
        <v>67.25</v>
      </c>
      <c r="M707">
        <v>0.89666666666666661</v>
      </c>
      <c r="N707" t="s">
        <v>28</v>
      </c>
    </row>
    <row r="708" spans="1:14">
      <c r="A708">
        <v>1946</v>
      </c>
      <c r="B708" s="4">
        <v>45134</v>
      </c>
      <c r="C708" s="5">
        <v>0.8666666666666667</v>
      </c>
      <c r="D708" t="s">
        <v>22</v>
      </c>
      <c r="E708" t="s">
        <v>16</v>
      </c>
      <c r="F708">
        <v>62</v>
      </c>
      <c r="G708" t="s">
        <v>30</v>
      </c>
      <c r="H708">
        <v>4</v>
      </c>
      <c r="I708">
        <v>500</v>
      </c>
      <c r="J708">
        <v>165</v>
      </c>
      <c r="K708">
        <v>2000</v>
      </c>
      <c r="L708">
        <v>1835</v>
      </c>
      <c r="M708">
        <v>0.91749999999999998</v>
      </c>
      <c r="N708" t="s">
        <v>28</v>
      </c>
    </row>
    <row r="709" spans="1:14">
      <c r="A709">
        <v>148</v>
      </c>
      <c r="B709" s="4">
        <v>45110</v>
      </c>
      <c r="C709" s="5">
        <v>0.86041666666666672</v>
      </c>
      <c r="D709" t="s">
        <v>22</v>
      </c>
      <c r="E709" t="s">
        <v>16</v>
      </c>
      <c r="F709">
        <v>18</v>
      </c>
      <c r="G709" t="s">
        <v>17</v>
      </c>
      <c r="H709">
        <v>2</v>
      </c>
      <c r="I709">
        <v>30</v>
      </c>
      <c r="J709">
        <v>9.9</v>
      </c>
      <c r="K709">
        <v>60</v>
      </c>
      <c r="L709">
        <v>50.1</v>
      </c>
      <c r="M709">
        <v>0.83500000000000008</v>
      </c>
      <c r="N709" t="s">
        <v>31</v>
      </c>
    </row>
    <row r="710" spans="1:14">
      <c r="A710">
        <v>414</v>
      </c>
      <c r="B710" s="4">
        <v>45056</v>
      </c>
      <c r="C710" s="5">
        <v>0.81944444444444442</v>
      </c>
      <c r="D710" t="s">
        <v>40</v>
      </c>
      <c r="E710" t="s">
        <v>16</v>
      </c>
      <c r="F710">
        <v>48</v>
      </c>
      <c r="G710" t="s">
        <v>20</v>
      </c>
      <c r="H710">
        <v>4</v>
      </c>
      <c r="I710">
        <v>25</v>
      </c>
      <c r="J710">
        <v>9.75</v>
      </c>
      <c r="K710">
        <v>100</v>
      </c>
      <c r="L710">
        <v>90.25</v>
      </c>
      <c r="M710">
        <v>0.90249999999999997</v>
      </c>
      <c r="N710" t="s">
        <v>21</v>
      </c>
    </row>
    <row r="711" spans="1:14">
      <c r="A711">
        <v>883</v>
      </c>
      <c r="B711" s="4">
        <v>45158</v>
      </c>
      <c r="C711" s="5">
        <v>0.86319444444444449</v>
      </c>
      <c r="D711" t="s">
        <v>22</v>
      </c>
      <c r="E711" t="s">
        <v>16</v>
      </c>
      <c r="F711">
        <v>40</v>
      </c>
      <c r="G711" t="s">
        <v>30</v>
      </c>
      <c r="H711">
        <v>1</v>
      </c>
      <c r="I711">
        <v>500</v>
      </c>
      <c r="J711">
        <v>245</v>
      </c>
      <c r="K711">
        <v>500</v>
      </c>
      <c r="L711">
        <v>255</v>
      </c>
      <c r="M711">
        <v>0.51</v>
      </c>
      <c r="N711" t="s">
        <v>18</v>
      </c>
    </row>
    <row r="712" spans="1:14">
      <c r="A712">
        <v>1148</v>
      </c>
      <c r="B712" s="4">
        <v>45149</v>
      </c>
      <c r="C712" s="5">
        <v>0.9194444444444444</v>
      </c>
      <c r="D712" t="s">
        <v>124</v>
      </c>
      <c r="E712" t="s">
        <v>16</v>
      </c>
      <c r="F712">
        <v>18</v>
      </c>
      <c r="G712" t="s">
        <v>17</v>
      </c>
      <c r="H712">
        <v>2</v>
      </c>
      <c r="I712">
        <v>30</v>
      </c>
      <c r="J712">
        <v>10.8</v>
      </c>
      <c r="K712">
        <v>60</v>
      </c>
      <c r="L712">
        <v>49.2</v>
      </c>
      <c r="M712">
        <v>0.82000000000000006</v>
      </c>
      <c r="N712" t="s">
        <v>31</v>
      </c>
    </row>
    <row r="713" spans="1:14">
      <c r="A713">
        <v>1414</v>
      </c>
      <c r="B713" s="4">
        <v>45252</v>
      </c>
      <c r="C713" s="5">
        <v>0.89444444444444449</v>
      </c>
      <c r="D713" t="s">
        <v>159</v>
      </c>
      <c r="E713" t="s">
        <v>16</v>
      </c>
      <c r="F713">
        <v>48</v>
      </c>
      <c r="G713" t="s">
        <v>20</v>
      </c>
      <c r="H713">
        <v>4</v>
      </c>
      <c r="I713">
        <v>25</v>
      </c>
      <c r="J713">
        <v>11.25</v>
      </c>
      <c r="K713">
        <v>100</v>
      </c>
      <c r="L713">
        <v>88.75</v>
      </c>
      <c r="M713">
        <v>0.88749999999999996</v>
      </c>
      <c r="N713" t="s">
        <v>21</v>
      </c>
    </row>
    <row r="714" spans="1:14">
      <c r="A714">
        <v>1883</v>
      </c>
      <c r="B714" s="4">
        <v>45189</v>
      </c>
      <c r="C714" s="5">
        <v>0.74583333333333335</v>
      </c>
      <c r="D714" t="s">
        <v>81</v>
      </c>
      <c r="E714" t="s">
        <v>16</v>
      </c>
      <c r="F714">
        <v>40</v>
      </c>
      <c r="G714" t="s">
        <v>30</v>
      </c>
      <c r="H714">
        <v>1</v>
      </c>
      <c r="I714">
        <v>500</v>
      </c>
      <c r="J714">
        <v>200</v>
      </c>
      <c r="K714">
        <v>500</v>
      </c>
      <c r="L714">
        <v>300</v>
      </c>
      <c r="M714">
        <v>0.6</v>
      </c>
      <c r="N714" t="s">
        <v>18</v>
      </c>
    </row>
    <row r="715" spans="1:14">
      <c r="A715">
        <v>731</v>
      </c>
      <c r="B715" s="4">
        <v>45199</v>
      </c>
      <c r="C715" s="5">
        <v>0.78402777777777777</v>
      </c>
      <c r="D715" t="s">
        <v>40</v>
      </c>
      <c r="E715" t="s">
        <v>16</v>
      </c>
      <c r="F715">
        <v>54</v>
      </c>
      <c r="G715" t="s">
        <v>17</v>
      </c>
      <c r="H715">
        <v>4</v>
      </c>
      <c r="I715">
        <v>500</v>
      </c>
      <c r="J715">
        <v>165</v>
      </c>
      <c r="K715">
        <v>2000</v>
      </c>
      <c r="L715">
        <v>1835</v>
      </c>
      <c r="M715">
        <v>0.91749999999999998</v>
      </c>
      <c r="N715" t="s">
        <v>21</v>
      </c>
    </row>
    <row r="716" spans="1:14">
      <c r="A716">
        <v>930</v>
      </c>
      <c r="B716" s="4">
        <v>44938</v>
      </c>
      <c r="C716" s="5">
        <v>0.74583333333333335</v>
      </c>
      <c r="D716" t="s">
        <v>40</v>
      </c>
      <c r="E716" t="s">
        <v>16</v>
      </c>
      <c r="F716">
        <v>54</v>
      </c>
      <c r="G716" t="s">
        <v>17</v>
      </c>
      <c r="H716">
        <v>4</v>
      </c>
      <c r="I716">
        <v>50</v>
      </c>
      <c r="J716">
        <v>26</v>
      </c>
      <c r="K716">
        <v>200</v>
      </c>
      <c r="L716">
        <v>174</v>
      </c>
      <c r="M716">
        <v>0.87</v>
      </c>
      <c r="N716" t="s">
        <v>21</v>
      </c>
    </row>
    <row r="717" spans="1:14">
      <c r="A717">
        <v>1731</v>
      </c>
      <c r="B717" s="4">
        <v>45279</v>
      </c>
      <c r="C717" s="5">
        <v>0.7368055555555556</v>
      </c>
      <c r="D717" t="s">
        <v>81</v>
      </c>
      <c r="E717" t="s">
        <v>16</v>
      </c>
      <c r="F717">
        <v>54</v>
      </c>
      <c r="G717" t="s">
        <v>17</v>
      </c>
      <c r="H717">
        <v>4</v>
      </c>
      <c r="I717">
        <v>500</v>
      </c>
      <c r="J717">
        <v>195</v>
      </c>
      <c r="K717">
        <v>2000</v>
      </c>
      <c r="L717">
        <v>1805</v>
      </c>
      <c r="M717">
        <v>0.90249999999999997</v>
      </c>
      <c r="N717" t="s">
        <v>21</v>
      </c>
    </row>
    <row r="718" spans="1:14">
      <c r="A718">
        <v>1930</v>
      </c>
      <c r="B718" s="4">
        <v>45281</v>
      </c>
      <c r="C718" s="5">
        <v>0.83194444444444449</v>
      </c>
      <c r="D718" t="s">
        <v>22</v>
      </c>
      <c r="E718" t="s">
        <v>16</v>
      </c>
      <c r="F718">
        <v>54</v>
      </c>
      <c r="G718" t="s">
        <v>17</v>
      </c>
      <c r="H718">
        <v>4</v>
      </c>
      <c r="I718">
        <v>50</v>
      </c>
      <c r="J718">
        <v>13</v>
      </c>
      <c r="K718">
        <v>200</v>
      </c>
      <c r="L718">
        <v>187</v>
      </c>
      <c r="M718">
        <v>0.93500000000000005</v>
      </c>
      <c r="N718" t="s">
        <v>21</v>
      </c>
    </row>
    <row r="719" spans="1:14">
      <c r="A719">
        <v>518</v>
      </c>
      <c r="B719" s="4">
        <v>45138</v>
      </c>
      <c r="C719" s="5">
        <v>0.70902777777777781</v>
      </c>
      <c r="D719" t="s">
        <v>124</v>
      </c>
      <c r="E719" t="s">
        <v>23</v>
      </c>
      <c r="F719">
        <v>40</v>
      </c>
      <c r="G719" t="s">
        <v>17</v>
      </c>
      <c r="H719">
        <v>1</v>
      </c>
      <c r="I719">
        <v>30</v>
      </c>
      <c r="J719">
        <v>16.2</v>
      </c>
      <c r="K719">
        <v>30</v>
      </c>
      <c r="L719">
        <v>13.8</v>
      </c>
      <c r="M719">
        <v>0.46</v>
      </c>
      <c r="N719" t="s">
        <v>18</v>
      </c>
    </row>
    <row r="720" spans="1:14">
      <c r="A720">
        <v>1518</v>
      </c>
      <c r="B720" s="4">
        <v>45064</v>
      </c>
      <c r="C720" s="5">
        <v>0.8354166666666667</v>
      </c>
      <c r="D720" t="s">
        <v>81</v>
      </c>
      <c r="E720" t="s">
        <v>23</v>
      </c>
      <c r="F720">
        <v>40</v>
      </c>
      <c r="G720" t="s">
        <v>17</v>
      </c>
      <c r="H720">
        <v>1</v>
      </c>
      <c r="I720">
        <v>30</v>
      </c>
      <c r="J720">
        <v>12.6</v>
      </c>
      <c r="K720">
        <v>30</v>
      </c>
      <c r="L720">
        <v>17.399999999999999</v>
      </c>
      <c r="M720">
        <v>0.57999999999999996</v>
      </c>
      <c r="N720" t="s">
        <v>18</v>
      </c>
    </row>
    <row r="721" spans="1:14">
      <c r="A721">
        <v>758</v>
      </c>
      <c r="B721" s="4">
        <v>45039</v>
      </c>
      <c r="C721" s="5">
        <v>0.77083333333333337</v>
      </c>
      <c r="D721" t="s">
        <v>40</v>
      </c>
      <c r="E721" t="s">
        <v>16</v>
      </c>
      <c r="F721">
        <v>64</v>
      </c>
      <c r="G721" t="s">
        <v>17</v>
      </c>
      <c r="H721">
        <v>4</v>
      </c>
      <c r="I721">
        <v>25</v>
      </c>
      <c r="J721">
        <v>6.75</v>
      </c>
      <c r="K721">
        <v>100</v>
      </c>
      <c r="L721">
        <v>93.25</v>
      </c>
      <c r="M721">
        <v>0.9325</v>
      </c>
      <c r="N721" t="s">
        <v>28</v>
      </c>
    </row>
    <row r="722" spans="1:14">
      <c r="A722">
        <v>1758</v>
      </c>
      <c r="B722" s="4">
        <v>45129</v>
      </c>
      <c r="C722" s="5">
        <v>0.7631944444444444</v>
      </c>
      <c r="D722" t="s">
        <v>81</v>
      </c>
      <c r="E722" t="s">
        <v>16</v>
      </c>
      <c r="F722">
        <v>64</v>
      </c>
      <c r="G722" t="s">
        <v>17</v>
      </c>
      <c r="H722">
        <v>4</v>
      </c>
      <c r="I722">
        <v>25</v>
      </c>
      <c r="J722">
        <v>7.5</v>
      </c>
      <c r="K722">
        <v>100</v>
      </c>
      <c r="L722">
        <v>92.5</v>
      </c>
      <c r="M722">
        <v>0.92500000000000004</v>
      </c>
      <c r="N722" t="s">
        <v>28</v>
      </c>
    </row>
    <row r="723" spans="1:14">
      <c r="A723">
        <v>639</v>
      </c>
      <c r="B723" s="4">
        <v>45139</v>
      </c>
      <c r="C723" s="5">
        <v>0.82430555555555551</v>
      </c>
      <c r="D723" t="s">
        <v>159</v>
      </c>
      <c r="E723" t="s">
        <v>23</v>
      </c>
      <c r="F723">
        <v>62</v>
      </c>
      <c r="G723" t="s">
        <v>20</v>
      </c>
      <c r="H723">
        <v>4</v>
      </c>
      <c r="I723">
        <v>50</v>
      </c>
      <c r="J723">
        <v>26.5</v>
      </c>
      <c r="K723">
        <v>200</v>
      </c>
      <c r="L723">
        <v>173.5</v>
      </c>
      <c r="M723">
        <v>0.86750000000000005</v>
      </c>
      <c r="N723" t="s">
        <v>28</v>
      </c>
    </row>
    <row r="724" spans="1:14">
      <c r="A724">
        <v>838</v>
      </c>
      <c r="B724" s="4">
        <v>45199</v>
      </c>
      <c r="C724" s="5">
        <v>0.88888888888888884</v>
      </c>
      <c r="D724" t="s">
        <v>40</v>
      </c>
      <c r="E724" t="s">
        <v>16</v>
      </c>
      <c r="F724">
        <v>47</v>
      </c>
      <c r="G724" t="s">
        <v>30</v>
      </c>
      <c r="H724">
        <v>2</v>
      </c>
      <c r="I724">
        <v>300</v>
      </c>
      <c r="J724">
        <v>153</v>
      </c>
      <c r="K724">
        <v>600</v>
      </c>
      <c r="L724">
        <v>447</v>
      </c>
      <c r="M724">
        <v>0.745</v>
      </c>
      <c r="N724" t="s">
        <v>21</v>
      </c>
    </row>
    <row r="725" spans="1:14">
      <c r="A725">
        <v>1639</v>
      </c>
      <c r="B725" s="4">
        <v>45280</v>
      </c>
      <c r="C725" s="5">
        <v>0.75902777777777775</v>
      </c>
      <c r="D725" t="s">
        <v>22</v>
      </c>
      <c r="E725" t="s">
        <v>23</v>
      </c>
      <c r="F725">
        <v>62</v>
      </c>
      <c r="G725" t="s">
        <v>20</v>
      </c>
      <c r="H725">
        <v>4</v>
      </c>
      <c r="I725">
        <v>50</v>
      </c>
      <c r="J725">
        <v>24</v>
      </c>
      <c r="K725">
        <v>200</v>
      </c>
      <c r="L725">
        <v>176</v>
      </c>
      <c r="M725">
        <v>0.88</v>
      </c>
      <c r="N725" t="s">
        <v>28</v>
      </c>
    </row>
    <row r="726" spans="1:14">
      <c r="A726">
        <v>1838</v>
      </c>
      <c r="B726" s="4">
        <v>45105</v>
      </c>
      <c r="C726" s="5">
        <v>0.71250000000000002</v>
      </c>
      <c r="D726" t="s">
        <v>159</v>
      </c>
      <c r="E726" t="s">
        <v>16</v>
      </c>
      <c r="F726">
        <v>47</v>
      </c>
      <c r="G726" t="s">
        <v>30</v>
      </c>
      <c r="H726">
        <v>2</v>
      </c>
      <c r="I726">
        <v>300</v>
      </c>
      <c r="J726">
        <v>102</v>
      </c>
      <c r="K726">
        <v>600</v>
      </c>
      <c r="L726">
        <v>498</v>
      </c>
      <c r="M726">
        <v>0.83</v>
      </c>
      <c r="N726" t="s">
        <v>21</v>
      </c>
    </row>
    <row r="727" spans="1:14">
      <c r="A727">
        <v>353</v>
      </c>
      <c r="B727" s="4">
        <v>45003</v>
      </c>
      <c r="C727" s="5">
        <v>0.89930555555555558</v>
      </c>
      <c r="D727" t="s">
        <v>22</v>
      </c>
      <c r="E727" t="s">
        <v>16</v>
      </c>
      <c r="F727">
        <v>31</v>
      </c>
      <c r="G727" t="s">
        <v>30</v>
      </c>
      <c r="H727">
        <v>1</v>
      </c>
      <c r="I727">
        <v>500</v>
      </c>
      <c r="J727">
        <v>270</v>
      </c>
      <c r="K727">
        <v>500</v>
      </c>
      <c r="L727">
        <v>230</v>
      </c>
      <c r="M727">
        <v>0.46</v>
      </c>
      <c r="N727" t="s">
        <v>39</v>
      </c>
    </row>
    <row r="728" spans="1:14">
      <c r="A728">
        <v>501</v>
      </c>
      <c r="B728" s="4">
        <v>45105</v>
      </c>
      <c r="C728" s="5">
        <v>0.84791666666666665</v>
      </c>
      <c r="D728" t="s">
        <v>124</v>
      </c>
      <c r="E728" t="s">
        <v>16</v>
      </c>
      <c r="F728">
        <v>39</v>
      </c>
      <c r="G728" t="s">
        <v>30</v>
      </c>
      <c r="H728">
        <v>2</v>
      </c>
      <c r="I728">
        <v>30</v>
      </c>
      <c r="J728">
        <v>9</v>
      </c>
      <c r="K728">
        <v>60</v>
      </c>
      <c r="L728">
        <v>51</v>
      </c>
      <c r="M728">
        <v>0.85</v>
      </c>
      <c r="N728" t="s">
        <v>18</v>
      </c>
    </row>
    <row r="729" spans="1:14">
      <c r="A729">
        <v>721</v>
      </c>
      <c r="B729" s="4">
        <v>45100</v>
      </c>
      <c r="C729" s="5">
        <v>0.71527777777777779</v>
      </c>
      <c r="D729" t="s">
        <v>22</v>
      </c>
      <c r="E729" t="s">
        <v>23</v>
      </c>
      <c r="F729">
        <v>52</v>
      </c>
      <c r="G729" t="s">
        <v>17</v>
      </c>
      <c r="H729">
        <v>1</v>
      </c>
      <c r="I729">
        <v>500</v>
      </c>
      <c r="J729">
        <v>145</v>
      </c>
      <c r="K729">
        <v>500</v>
      </c>
      <c r="L729">
        <v>355</v>
      </c>
      <c r="M729">
        <v>0.71</v>
      </c>
      <c r="N729" t="s">
        <v>21</v>
      </c>
    </row>
    <row r="730" spans="1:14">
      <c r="A730">
        <v>1353</v>
      </c>
      <c r="B730" s="4">
        <v>45173</v>
      </c>
      <c r="C730" s="5">
        <v>0.91597222222222219</v>
      </c>
      <c r="D730" t="s">
        <v>81</v>
      </c>
      <c r="E730" t="s">
        <v>16</v>
      </c>
      <c r="F730">
        <v>31</v>
      </c>
      <c r="G730" t="s">
        <v>30</v>
      </c>
      <c r="H730">
        <v>1</v>
      </c>
      <c r="I730">
        <v>500</v>
      </c>
      <c r="J730">
        <v>235</v>
      </c>
      <c r="K730">
        <v>500</v>
      </c>
      <c r="L730">
        <v>265</v>
      </c>
      <c r="M730">
        <v>0.53</v>
      </c>
      <c r="N730" t="s">
        <v>39</v>
      </c>
    </row>
    <row r="731" spans="1:14">
      <c r="A731">
        <v>1501</v>
      </c>
      <c r="B731" s="4">
        <v>44957</v>
      </c>
      <c r="C731" s="5">
        <v>0.75</v>
      </c>
      <c r="D731" t="s">
        <v>40</v>
      </c>
      <c r="E731" t="s">
        <v>16</v>
      </c>
      <c r="F731">
        <v>39</v>
      </c>
      <c r="G731" t="s">
        <v>30</v>
      </c>
      <c r="H731">
        <v>2</v>
      </c>
      <c r="I731">
        <v>30</v>
      </c>
      <c r="J731">
        <v>13.5</v>
      </c>
      <c r="K731">
        <v>60</v>
      </c>
      <c r="L731">
        <v>46.5</v>
      </c>
      <c r="M731">
        <v>0.77500000000000002</v>
      </c>
      <c r="N731" t="s">
        <v>18</v>
      </c>
    </row>
    <row r="732" spans="1:14">
      <c r="A732">
        <v>1721</v>
      </c>
      <c r="B732" s="4">
        <v>44947</v>
      </c>
      <c r="C732" s="5">
        <v>0.9458333333333333</v>
      </c>
      <c r="D732" t="s">
        <v>81</v>
      </c>
      <c r="E732" t="s">
        <v>23</v>
      </c>
      <c r="F732">
        <v>52</v>
      </c>
      <c r="G732" t="s">
        <v>17</v>
      </c>
      <c r="H732">
        <v>1</v>
      </c>
      <c r="I732">
        <v>500</v>
      </c>
      <c r="J732">
        <v>215</v>
      </c>
      <c r="K732">
        <v>500</v>
      </c>
      <c r="L732">
        <v>285</v>
      </c>
      <c r="M732">
        <v>0.56999999999999995</v>
      </c>
      <c r="N732" t="s">
        <v>21</v>
      </c>
    </row>
    <row r="733" spans="1:14">
      <c r="A733">
        <v>123</v>
      </c>
      <c r="B733" s="4">
        <v>45149</v>
      </c>
      <c r="C733" s="5">
        <v>0.79166666666666663</v>
      </c>
      <c r="D733" t="s">
        <v>81</v>
      </c>
      <c r="E733" t="s">
        <v>23</v>
      </c>
      <c r="F733">
        <v>40</v>
      </c>
      <c r="G733" t="s">
        <v>30</v>
      </c>
      <c r="H733">
        <v>2</v>
      </c>
      <c r="I733">
        <v>30</v>
      </c>
      <c r="J733">
        <v>11.7</v>
      </c>
      <c r="K733">
        <v>60</v>
      </c>
      <c r="L733">
        <v>48.3</v>
      </c>
      <c r="M733">
        <v>0.80499999999999994</v>
      </c>
      <c r="N733" t="s">
        <v>18</v>
      </c>
    </row>
    <row r="734" spans="1:14">
      <c r="A734">
        <v>164</v>
      </c>
      <c r="B734" s="4">
        <v>44985</v>
      </c>
      <c r="C734" s="5">
        <v>0.7680555555555556</v>
      </c>
      <c r="D734" t="s">
        <v>81</v>
      </c>
      <c r="E734" t="s">
        <v>23</v>
      </c>
      <c r="F734">
        <v>47</v>
      </c>
      <c r="G734" t="s">
        <v>20</v>
      </c>
      <c r="H734">
        <v>3</v>
      </c>
      <c r="I734">
        <v>500</v>
      </c>
      <c r="J734">
        <v>185</v>
      </c>
      <c r="K734">
        <v>1500</v>
      </c>
      <c r="L734">
        <v>1315</v>
      </c>
      <c r="M734">
        <v>0.87666666666666671</v>
      </c>
      <c r="N734" t="s">
        <v>21</v>
      </c>
    </row>
    <row r="735" spans="1:14">
      <c r="A735">
        <v>425</v>
      </c>
      <c r="B735" s="4">
        <v>45088</v>
      </c>
      <c r="C735" s="5">
        <v>0.76944444444444449</v>
      </c>
      <c r="D735" t="s">
        <v>124</v>
      </c>
      <c r="E735" t="s">
        <v>23</v>
      </c>
      <c r="F735">
        <v>55</v>
      </c>
      <c r="G735" t="s">
        <v>30</v>
      </c>
      <c r="H735">
        <v>4</v>
      </c>
      <c r="I735">
        <v>30</v>
      </c>
      <c r="J735">
        <v>15.6</v>
      </c>
      <c r="K735">
        <v>120</v>
      </c>
      <c r="L735">
        <v>104.4</v>
      </c>
      <c r="M735">
        <v>0.87</v>
      </c>
      <c r="N735" t="s">
        <v>21</v>
      </c>
    </row>
    <row r="736" spans="1:14">
      <c r="A736">
        <v>1123</v>
      </c>
      <c r="B736" s="4">
        <v>45271</v>
      </c>
      <c r="C736" s="5">
        <v>0.87777777777777777</v>
      </c>
      <c r="D736" t="s">
        <v>40</v>
      </c>
      <c r="E736" t="s">
        <v>23</v>
      </c>
      <c r="F736">
        <v>40</v>
      </c>
      <c r="G736" t="s">
        <v>30</v>
      </c>
      <c r="H736">
        <v>2</v>
      </c>
      <c r="I736">
        <v>30</v>
      </c>
      <c r="J736">
        <v>10.8</v>
      </c>
      <c r="K736">
        <v>60</v>
      </c>
      <c r="L736">
        <v>49.2</v>
      </c>
      <c r="M736">
        <v>0.82000000000000006</v>
      </c>
      <c r="N736" t="s">
        <v>18</v>
      </c>
    </row>
    <row r="737" spans="1:14">
      <c r="A737">
        <v>1164</v>
      </c>
      <c r="B737" s="4">
        <v>45023</v>
      </c>
      <c r="C737" s="5">
        <v>0.87013888888888891</v>
      </c>
      <c r="D737" t="s">
        <v>40</v>
      </c>
      <c r="E737" t="s">
        <v>23</v>
      </c>
      <c r="F737">
        <v>47</v>
      </c>
      <c r="G737" t="s">
        <v>20</v>
      </c>
      <c r="H737">
        <v>3</v>
      </c>
      <c r="I737">
        <v>500</v>
      </c>
      <c r="J737">
        <v>245</v>
      </c>
      <c r="K737">
        <v>1500</v>
      </c>
      <c r="L737">
        <v>1255</v>
      </c>
      <c r="M737">
        <v>0.83666666666666667</v>
      </c>
      <c r="N737" t="s">
        <v>21</v>
      </c>
    </row>
    <row r="738" spans="1:14">
      <c r="A738">
        <v>1425</v>
      </c>
      <c r="B738" s="4">
        <v>45262</v>
      </c>
      <c r="C738" s="5">
        <v>0.92708333333333337</v>
      </c>
      <c r="D738" t="s">
        <v>40</v>
      </c>
      <c r="E738" t="s">
        <v>23</v>
      </c>
      <c r="F738">
        <v>55</v>
      </c>
      <c r="G738" t="s">
        <v>30</v>
      </c>
      <c r="H738">
        <v>4</v>
      </c>
      <c r="I738">
        <v>30</v>
      </c>
      <c r="J738">
        <v>10.199999999999999</v>
      </c>
      <c r="K738">
        <v>120</v>
      </c>
      <c r="L738">
        <v>109.8</v>
      </c>
      <c r="M738">
        <v>0.91499999999999992</v>
      </c>
      <c r="N738" t="s">
        <v>21</v>
      </c>
    </row>
    <row r="739" spans="1:14">
      <c r="A739">
        <v>48</v>
      </c>
      <c r="B739" s="4">
        <v>45205</v>
      </c>
      <c r="C739" s="5">
        <v>0.7319444444444444</v>
      </c>
      <c r="D739" t="s">
        <v>124</v>
      </c>
      <c r="E739" t="s">
        <v>16</v>
      </c>
      <c r="F739">
        <v>54</v>
      </c>
      <c r="G739" t="s">
        <v>30</v>
      </c>
      <c r="H739">
        <v>3</v>
      </c>
      <c r="I739">
        <v>300</v>
      </c>
      <c r="J739">
        <v>123</v>
      </c>
      <c r="K739">
        <v>900</v>
      </c>
      <c r="L739">
        <v>777</v>
      </c>
      <c r="M739">
        <v>0.86333333333333329</v>
      </c>
      <c r="N739" t="s">
        <v>21</v>
      </c>
    </row>
    <row r="740" spans="1:14">
      <c r="A740">
        <v>118</v>
      </c>
      <c r="B740" s="4">
        <v>44998</v>
      </c>
      <c r="C740" s="5">
        <v>0.83819444444444446</v>
      </c>
      <c r="D740" t="s">
        <v>81</v>
      </c>
      <c r="E740" t="s">
        <v>23</v>
      </c>
      <c r="F740">
        <v>30</v>
      </c>
      <c r="G740" t="s">
        <v>30</v>
      </c>
      <c r="H740">
        <v>4</v>
      </c>
      <c r="I740">
        <v>500</v>
      </c>
      <c r="J740">
        <v>270</v>
      </c>
      <c r="K740">
        <v>2000</v>
      </c>
      <c r="L740">
        <v>1730</v>
      </c>
      <c r="M740">
        <v>0.86499999999999999</v>
      </c>
      <c r="N740" t="s">
        <v>39</v>
      </c>
    </row>
    <row r="741" spans="1:14">
      <c r="A741">
        <v>203</v>
      </c>
      <c r="B741" s="4">
        <v>44997</v>
      </c>
      <c r="C741" s="5">
        <v>0.8979166666666667</v>
      </c>
      <c r="D741" t="s">
        <v>159</v>
      </c>
      <c r="E741" t="s">
        <v>16</v>
      </c>
      <c r="F741">
        <v>56</v>
      </c>
      <c r="G741" t="s">
        <v>17</v>
      </c>
      <c r="H741">
        <v>2</v>
      </c>
      <c r="I741">
        <v>500</v>
      </c>
      <c r="J741">
        <v>175</v>
      </c>
      <c r="K741">
        <v>1000</v>
      </c>
      <c r="L741">
        <v>825</v>
      </c>
      <c r="M741">
        <v>0.82499999999999996</v>
      </c>
      <c r="N741" t="s">
        <v>28</v>
      </c>
    </row>
    <row r="742" spans="1:14">
      <c r="A742">
        <v>305</v>
      </c>
      <c r="B742" s="4">
        <v>45007</v>
      </c>
      <c r="C742" s="5">
        <v>0.92291666666666672</v>
      </c>
      <c r="D742" t="s">
        <v>159</v>
      </c>
      <c r="E742" t="s">
        <v>23</v>
      </c>
      <c r="F742">
        <v>18</v>
      </c>
      <c r="G742" t="s">
        <v>20</v>
      </c>
      <c r="H742">
        <v>1</v>
      </c>
      <c r="I742">
        <v>30</v>
      </c>
      <c r="J742">
        <v>14.4</v>
      </c>
      <c r="K742">
        <v>30</v>
      </c>
      <c r="L742">
        <v>15.6</v>
      </c>
      <c r="M742">
        <v>0.52</v>
      </c>
      <c r="N742" t="s">
        <v>31</v>
      </c>
    </row>
    <row r="743" spans="1:14">
      <c r="A743">
        <v>358</v>
      </c>
      <c r="B743" s="4">
        <v>45211</v>
      </c>
      <c r="C743" s="5">
        <v>0.77222222222222225</v>
      </c>
      <c r="D743" t="s">
        <v>159</v>
      </c>
      <c r="E743" t="s">
        <v>23</v>
      </c>
      <c r="F743">
        <v>32</v>
      </c>
      <c r="G743" t="s">
        <v>20</v>
      </c>
      <c r="H743">
        <v>1</v>
      </c>
      <c r="I743">
        <v>300</v>
      </c>
      <c r="J743">
        <v>132</v>
      </c>
      <c r="K743">
        <v>300</v>
      </c>
      <c r="L743">
        <v>168</v>
      </c>
      <c r="M743">
        <v>0.56000000000000005</v>
      </c>
      <c r="N743" t="s">
        <v>39</v>
      </c>
    </row>
    <row r="744" spans="1:14">
      <c r="A744">
        <v>376</v>
      </c>
      <c r="B744" s="4">
        <v>44955</v>
      </c>
      <c r="C744" s="5">
        <v>0.76458333333333328</v>
      </c>
      <c r="D744" t="s">
        <v>159</v>
      </c>
      <c r="E744" t="s">
        <v>23</v>
      </c>
      <c r="F744">
        <v>64</v>
      </c>
      <c r="G744" t="s">
        <v>20</v>
      </c>
      <c r="H744">
        <v>1</v>
      </c>
      <c r="I744">
        <v>30</v>
      </c>
      <c r="J744">
        <v>12</v>
      </c>
      <c r="K744">
        <v>30</v>
      </c>
      <c r="L744">
        <v>18</v>
      </c>
      <c r="M744">
        <v>0.6</v>
      </c>
      <c r="N744" t="s">
        <v>28</v>
      </c>
    </row>
    <row r="745" spans="1:14">
      <c r="A745">
        <v>398</v>
      </c>
      <c r="B745" s="4">
        <v>44980</v>
      </c>
      <c r="C745" s="5">
        <v>0.88680555555555551</v>
      </c>
      <c r="D745" t="s">
        <v>22</v>
      </c>
      <c r="E745" t="s">
        <v>23</v>
      </c>
      <c r="F745">
        <v>48</v>
      </c>
      <c r="G745" t="s">
        <v>17</v>
      </c>
      <c r="H745">
        <v>2</v>
      </c>
      <c r="I745">
        <v>300</v>
      </c>
      <c r="J745">
        <v>114</v>
      </c>
      <c r="K745">
        <v>600</v>
      </c>
      <c r="L745">
        <v>486</v>
      </c>
      <c r="M745">
        <v>0.81</v>
      </c>
      <c r="N745" t="s">
        <v>21</v>
      </c>
    </row>
    <row r="746" spans="1:14">
      <c r="A746">
        <v>411</v>
      </c>
      <c r="B746" s="4">
        <v>45132</v>
      </c>
      <c r="C746" s="5">
        <v>0.83611111111111114</v>
      </c>
      <c r="D746" t="s">
        <v>81</v>
      </c>
      <c r="E746" t="s">
        <v>16</v>
      </c>
      <c r="F746">
        <v>62</v>
      </c>
      <c r="G746" t="s">
        <v>30</v>
      </c>
      <c r="H746">
        <v>4</v>
      </c>
      <c r="I746">
        <v>50</v>
      </c>
      <c r="J746">
        <v>24.5</v>
      </c>
      <c r="K746">
        <v>200</v>
      </c>
      <c r="L746">
        <v>175.5</v>
      </c>
      <c r="M746">
        <v>0.87749999999999995</v>
      </c>
      <c r="N746" t="s">
        <v>28</v>
      </c>
    </row>
    <row r="747" spans="1:14">
      <c r="A747">
        <v>504</v>
      </c>
      <c r="B747" s="4">
        <v>45016</v>
      </c>
      <c r="C747" s="5">
        <v>0.75486111111111109</v>
      </c>
      <c r="D747" t="s">
        <v>159</v>
      </c>
      <c r="E747" t="s">
        <v>23</v>
      </c>
      <c r="F747">
        <v>38</v>
      </c>
      <c r="G747" t="s">
        <v>20</v>
      </c>
      <c r="H747">
        <v>3</v>
      </c>
      <c r="I747">
        <v>50</v>
      </c>
      <c r="J747">
        <v>22</v>
      </c>
      <c r="K747">
        <v>150</v>
      </c>
      <c r="L747">
        <v>128</v>
      </c>
      <c r="M747">
        <v>0.85333333333333339</v>
      </c>
      <c r="N747" t="s">
        <v>18</v>
      </c>
    </row>
    <row r="748" spans="1:14">
      <c r="A748">
        <v>970</v>
      </c>
      <c r="B748" s="4">
        <v>45071</v>
      </c>
      <c r="C748" s="5">
        <v>0.75902777777777775</v>
      </c>
      <c r="D748" t="s">
        <v>124</v>
      </c>
      <c r="E748" t="s">
        <v>16</v>
      </c>
      <c r="F748">
        <v>59</v>
      </c>
      <c r="G748" t="s">
        <v>30</v>
      </c>
      <c r="H748">
        <v>4</v>
      </c>
      <c r="I748">
        <v>500</v>
      </c>
      <c r="J748">
        <v>220</v>
      </c>
      <c r="K748">
        <v>2000</v>
      </c>
      <c r="L748">
        <v>1780</v>
      </c>
      <c r="M748">
        <v>0.89</v>
      </c>
      <c r="N748" t="s">
        <v>28</v>
      </c>
    </row>
    <row r="749" spans="1:14">
      <c r="A749">
        <v>996</v>
      </c>
      <c r="B749" s="4">
        <v>45110</v>
      </c>
      <c r="C749" s="5">
        <v>0.73472222222222228</v>
      </c>
      <c r="D749" t="s">
        <v>124</v>
      </c>
      <c r="E749" t="s">
        <v>16</v>
      </c>
      <c r="F749">
        <v>62</v>
      </c>
      <c r="G749" t="s">
        <v>17</v>
      </c>
      <c r="H749">
        <v>1</v>
      </c>
      <c r="I749">
        <v>50</v>
      </c>
      <c r="J749">
        <v>13.5</v>
      </c>
      <c r="K749">
        <v>50</v>
      </c>
      <c r="L749">
        <v>36.5</v>
      </c>
      <c r="M749">
        <v>0.73</v>
      </c>
      <c r="N749" t="s">
        <v>28</v>
      </c>
    </row>
    <row r="750" spans="1:14">
      <c r="A750">
        <v>1048</v>
      </c>
      <c r="B750" s="4">
        <v>45119</v>
      </c>
      <c r="C750" s="5">
        <v>0.80138888888888893</v>
      </c>
      <c r="D750" t="s">
        <v>81</v>
      </c>
      <c r="E750" t="s">
        <v>16</v>
      </c>
      <c r="F750">
        <v>54</v>
      </c>
      <c r="G750" t="s">
        <v>30</v>
      </c>
      <c r="H750">
        <v>3</v>
      </c>
      <c r="I750">
        <v>300</v>
      </c>
      <c r="J750">
        <v>93</v>
      </c>
      <c r="K750">
        <v>900</v>
      </c>
      <c r="L750">
        <v>807</v>
      </c>
      <c r="M750">
        <v>0.89666666666666661</v>
      </c>
      <c r="N750" t="s">
        <v>21</v>
      </c>
    </row>
    <row r="751" spans="1:14">
      <c r="A751">
        <v>1118</v>
      </c>
      <c r="B751" s="4">
        <v>45212</v>
      </c>
      <c r="C751" s="5">
        <v>0.72499999999999998</v>
      </c>
      <c r="D751" t="s">
        <v>40</v>
      </c>
      <c r="E751" t="s">
        <v>23</v>
      </c>
      <c r="F751">
        <v>30</v>
      </c>
      <c r="G751" t="s">
        <v>30</v>
      </c>
      <c r="H751">
        <v>4</v>
      </c>
      <c r="I751">
        <v>500</v>
      </c>
      <c r="J751">
        <v>170</v>
      </c>
      <c r="K751">
        <v>2000</v>
      </c>
      <c r="L751">
        <v>1830</v>
      </c>
      <c r="M751">
        <v>0.91500000000000004</v>
      </c>
      <c r="N751" t="s">
        <v>39</v>
      </c>
    </row>
    <row r="752" spans="1:14">
      <c r="A752">
        <v>1203</v>
      </c>
      <c r="B752" s="4">
        <v>45256</v>
      </c>
      <c r="C752" s="5">
        <v>0.77500000000000002</v>
      </c>
      <c r="D752" t="s">
        <v>124</v>
      </c>
      <c r="E752" t="s">
        <v>16</v>
      </c>
      <c r="F752">
        <v>56</v>
      </c>
      <c r="G752" t="s">
        <v>17</v>
      </c>
      <c r="H752">
        <v>2</v>
      </c>
      <c r="I752">
        <v>500</v>
      </c>
      <c r="J752">
        <v>145</v>
      </c>
      <c r="K752">
        <v>1000</v>
      </c>
      <c r="L752">
        <v>855</v>
      </c>
      <c r="M752">
        <v>0.85499999999999998</v>
      </c>
      <c r="N752" t="s">
        <v>28</v>
      </c>
    </row>
    <row r="753" spans="1:14">
      <c r="A753">
        <v>1305</v>
      </c>
      <c r="B753" s="4">
        <v>45021</v>
      </c>
      <c r="C753" s="5">
        <v>0.76666666666666672</v>
      </c>
      <c r="D753" t="s">
        <v>22</v>
      </c>
      <c r="E753" t="s">
        <v>23</v>
      </c>
      <c r="F753">
        <v>18</v>
      </c>
      <c r="G753" t="s">
        <v>20</v>
      </c>
      <c r="H753">
        <v>1</v>
      </c>
      <c r="I753">
        <v>30</v>
      </c>
      <c r="J753">
        <v>7.8</v>
      </c>
      <c r="K753">
        <v>30</v>
      </c>
      <c r="L753">
        <v>22.2</v>
      </c>
      <c r="M753">
        <v>0.74</v>
      </c>
      <c r="N753" t="s">
        <v>31</v>
      </c>
    </row>
    <row r="754" spans="1:14">
      <c r="A754">
        <v>1358</v>
      </c>
      <c r="B754" s="4">
        <v>45050</v>
      </c>
      <c r="C754" s="5">
        <v>0.90277777777777779</v>
      </c>
      <c r="D754" t="s">
        <v>22</v>
      </c>
      <c r="E754" t="s">
        <v>23</v>
      </c>
      <c r="F754">
        <v>32</v>
      </c>
      <c r="G754" t="s">
        <v>20</v>
      </c>
      <c r="H754">
        <v>1</v>
      </c>
      <c r="I754">
        <v>300</v>
      </c>
      <c r="J754">
        <v>156</v>
      </c>
      <c r="K754">
        <v>300</v>
      </c>
      <c r="L754">
        <v>144</v>
      </c>
      <c r="M754">
        <v>0.48</v>
      </c>
      <c r="N754" t="s">
        <v>39</v>
      </c>
    </row>
    <row r="755" spans="1:14">
      <c r="A755">
        <v>1376</v>
      </c>
      <c r="B755" s="4">
        <v>45122</v>
      </c>
      <c r="C755" s="5">
        <v>0.8256944444444444</v>
      </c>
      <c r="D755" t="s">
        <v>81</v>
      </c>
      <c r="E755" t="s">
        <v>23</v>
      </c>
      <c r="F755">
        <v>64</v>
      </c>
      <c r="G755" t="s">
        <v>20</v>
      </c>
      <c r="H755">
        <v>1</v>
      </c>
      <c r="I755">
        <v>30</v>
      </c>
      <c r="J755">
        <v>9.9</v>
      </c>
      <c r="K755">
        <v>30</v>
      </c>
      <c r="L755">
        <v>20.100000000000001</v>
      </c>
      <c r="M755">
        <v>0.67</v>
      </c>
      <c r="N755" t="s">
        <v>28</v>
      </c>
    </row>
    <row r="756" spans="1:14">
      <c r="A756">
        <v>1398</v>
      </c>
      <c r="B756" s="4">
        <v>45126</v>
      </c>
      <c r="C756" s="5">
        <v>0.72222222222222221</v>
      </c>
      <c r="D756" t="s">
        <v>40</v>
      </c>
      <c r="E756" t="s">
        <v>23</v>
      </c>
      <c r="F756">
        <v>48</v>
      </c>
      <c r="G756" t="s">
        <v>17</v>
      </c>
      <c r="H756">
        <v>2</v>
      </c>
      <c r="I756">
        <v>300</v>
      </c>
      <c r="J756">
        <v>120</v>
      </c>
      <c r="K756">
        <v>600</v>
      </c>
      <c r="L756">
        <v>480</v>
      </c>
      <c r="M756">
        <v>0.8</v>
      </c>
      <c r="N756" t="s">
        <v>21</v>
      </c>
    </row>
    <row r="757" spans="1:14">
      <c r="A757">
        <v>1411</v>
      </c>
      <c r="B757" s="4">
        <v>45254</v>
      </c>
      <c r="C757" s="5">
        <v>0.8520833333333333</v>
      </c>
      <c r="D757" t="s">
        <v>40</v>
      </c>
      <c r="E757" t="s">
        <v>16</v>
      </c>
      <c r="F757">
        <v>62</v>
      </c>
      <c r="G757" t="s">
        <v>30</v>
      </c>
      <c r="H757">
        <v>4</v>
      </c>
      <c r="I757">
        <v>50</v>
      </c>
      <c r="J757">
        <v>26</v>
      </c>
      <c r="K757">
        <v>200</v>
      </c>
      <c r="L757">
        <v>174</v>
      </c>
      <c r="M757">
        <v>0.87</v>
      </c>
      <c r="N757" t="s">
        <v>28</v>
      </c>
    </row>
    <row r="758" spans="1:14">
      <c r="A758">
        <v>1504</v>
      </c>
      <c r="B758" s="4">
        <v>44951</v>
      </c>
      <c r="C758" s="5">
        <v>0.70902777777777781</v>
      </c>
      <c r="D758" t="s">
        <v>159</v>
      </c>
      <c r="E758" t="s">
        <v>23</v>
      </c>
      <c r="F758">
        <v>38</v>
      </c>
      <c r="G758" t="s">
        <v>20</v>
      </c>
      <c r="H758">
        <v>3</v>
      </c>
      <c r="I758">
        <v>50</v>
      </c>
      <c r="J758">
        <v>25.5</v>
      </c>
      <c r="K758">
        <v>150</v>
      </c>
      <c r="L758">
        <v>124.5</v>
      </c>
      <c r="M758">
        <v>0.83</v>
      </c>
      <c r="N758" t="s">
        <v>18</v>
      </c>
    </row>
    <row r="759" spans="1:14">
      <c r="A759">
        <v>1970</v>
      </c>
      <c r="B759" s="4">
        <v>45068</v>
      </c>
      <c r="C759" s="5">
        <v>0.73888888888888893</v>
      </c>
      <c r="D759" t="s">
        <v>22</v>
      </c>
      <c r="E759" t="s">
        <v>16</v>
      </c>
      <c r="F759">
        <v>59</v>
      </c>
      <c r="G759" t="s">
        <v>30</v>
      </c>
      <c r="H759">
        <v>4</v>
      </c>
      <c r="I759">
        <v>500</v>
      </c>
      <c r="J759">
        <v>230</v>
      </c>
      <c r="K759">
        <v>2000</v>
      </c>
      <c r="L759">
        <v>1770</v>
      </c>
      <c r="M759">
        <v>0.88500000000000001</v>
      </c>
      <c r="N759" t="s">
        <v>28</v>
      </c>
    </row>
    <row r="760" spans="1:14">
      <c r="A760">
        <v>1996</v>
      </c>
      <c r="B760" s="4">
        <v>45267</v>
      </c>
      <c r="C760" s="5">
        <v>0.78402777777777777</v>
      </c>
      <c r="D760" t="s">
        <v>124</v>
      </c>
      <c r="E760" t="s">
        <v>16</v>
      </c>
      <c r="F760">
        <v>62</v>
      </c>
      <c r="G760" t="s">
        <v>17</v>
      </c>
      <c r="H760">
        <v>1</v>
      </c>
      <c r="I760">
        <v>50</v>
      </c>
      <c r="J760">
        <v>25</v>
      </c>
      <c r="K760">
        <v>50</v>
      </c>
      <c r="L760">
        <v>25</v>
      </c>
      <c r="M760">
        <v>0.5</v>
      </c>
      <c r="N760" t="s">
        <v>28</v>
      </c>
    </row>
    <row r="761" spans="1:14">
      <c r="A761">
        <v>81</v>
      </c>
      <c r="B761" s="4">
        <v>45084</v>
      </c>
      <c r="C761" s="5">
        <v>0.95</v>
      </c>
      <c r="D761" t="s">
        <v>159</v>
      </c>
      <c r="E761" t="s">
        <v>16</v>
      </c>
      <c r="F761">
        <v>40</v>
      </c>
      <c r="G761" t="s">
        <v>30</v>
      </c>
      <c r="H761">
        <v>1</v>
      </c>
      <c r="I761">
        <v>50</v>
      </c>
      <c r="J761">
        <v>14.5</v>
      </c>
      <c r="K761">
        <v>50</v>
      </c>
      <c r="L761">
        <v>35.5</v>
      </c>
      <c r="M761">
        <v>0.71</v>
      </c>
      <c r="N761" t="s">
        <v>18</v>
      </c>
    </row>
    <row r="762" spans="1:14">
      <c r="A762">
        <v>155</v>
      </c>
      <c r="B762" s="4">
        <v>45125</v>
      </c>
      <c r="C762" s="5">
        <v>0.75347222222222221</v>
      </c>
      <c r="D762" t="s">
        <v>81</v>
      </c>
      <c r="E762" t="s">
        <v>16</v>
      </c>
      <c r="F762">
        <v>31</v>
      </c>
      <c r="G762" t="s">
        <v>30</v>
      </c>
      <c r="H762">
        <v>4</v>
      </c>
      <c r="I762">
        <v>500</v>
      </c>
      <c r="J762">
        <v>150</v>
      </c>
      <c r="K762">
        <v>2000</v>
      </c>
      <c r="L762">
        <v>1850</v>
      </c>
      <c r="M762">
        <v>0.92500000000000004</v>
      </c>
      <c r="N762" t="s">
        <v>39</v>
      </c>
    </row>
    <row r="763" spans="1:14">
      <c r="A763">
        <v>470</v>
      </c>
      <c r="B763" s="4">
        <v>45286</v>
      </c>
      <c r="C763" s="5">
        <v>0.79027777777777775</v>
      </c>
      <c r="D763" t="s">
        <v>159</v>
      </c>
      <c r="E763" t="s">
        <v>23</v>
      </c>
      <c r="F763">
        <v>57</v>
      </c>
      <c r="G763" t="s">
        <v>17</v>
      </c>
      <c r="H763">
        <v>2</v>
      </c>
      <c r="I763">
        <v>500</v>
      </c>
      <c r="J763">
        <v>165</v>
      </c>
      <c r="K763">
        <v>1000</v>
      </c>
      <c r="L763">
        <v>835</v>
      </c>
      <c r="M763">
        <v>0.83499999999999996</v>
      </c>
      <c r="N763" t="s">
        <v>28</v>
      </c>
    </row>
    <row r="764" spans="1:14">
      <c r="A764">
        <v>1081</v>
      </c>
      <c r="B764" s="4">
        <v>45104</v>
      </c>
      <c r="C764" s="5">
        <v>0.93263888888888891</v>
      </c>
      <c r="D764" t="s">
        <v>22</v>
      </c>
      <c r="E764" t="s">
        <v>16</v>
      </c>
      <c r="F764">
        <v>40</v>
      </c>
      <c r="G764" t="s">
        <v>30</v>
      </c>
      <c r="H764">
        <v>1</v>
      </c>
      <c r="I764">
        <v>50</v>
      </c>
      <c r="J764">
        <v>17</v>
      </c>
      <c r="K764">
        <v>50</v>
      </c>
      <c r="L764">
        <v>33</v>
      </c>
      <c r="M764">
        <v>0.66</v>
      </c>
      <c r="N764" t="s">
        <v>18</v>
      </c>
    </row>
    <row r="765" spans="1:14">
      <c r="A765">
        <v>1155</v>
      </c>
      <c r="B765" s="4">
        <v>45263</v>
      </c>
      <c r="C765" s="5">
        <v>0.76527777777777772</v>
      </c>
      <c r="D765" t="s">
        <v>81</v>
      </c>
      <c r="E765" t="s">
        <v>16</v>
      </c>
      <c r="F765">
        <v>31</v>
      </c>
      <c r="G765" t="s">
        <v>30</v>
      </c>
      <c r="H765">
        <v>4</v>
      </c>
      <c r="I765">
        <v>500</v>
      </c>
      <c r="J765">
        <v>255</v>
      </c>
      <c r="K765">
        <v>2000</v>
      </c>
      <c r="L765">
        <v>1745</v>
      </c>
      <c r="M765">
        <v>0.87250000000000005</v>
      </c>
      <c r="N765" t="s">
        <v>39</v>
      </c>
    </row>
    <row r="766" spans="1:14">
      <c r="A766">
        <v>1470</v>
      </c>
      <c r="B766" s="4">
        <v>45103</v>
      </c>
      <c r="C766" s="5">
        <v>0.82430555555555551</v>
      </c>
      <c r="D766" t="s">
        <v>40</v>
      </c>
      <c r="E766" t="s">
        <v>23</v>
      </c>
      <c r="F766">
        <v>57</v>
      </c>
      <c r="G766" t="s">
        <v>17</v>
      </c>
      <c r="H766">
        <v>2</v>
      </c>
      <c r="I766">
        <v>500</v>
      </c>
      <c r="J766">
        <v>165</v>
      </c>
      <c r="K766">
        <v>1000</v>
      </c>
      <c r="L766">
        <v>835</v>
      </c>
      <c r="M766">
        <v>0.83499999999999996</v>
      </c>
      <c r="N766" t="s">
        <v>28</v>
      </c>
    </row>
    <row r="767" spans="1:14">
      <c r="A767">
        <v>106</v>
      </c>
      <c r="B767" s="4">
        <v>45063</v>
      </c>
      <c r="C767" s="5">
        <v>0.79027777777777775</v>
      </c>
      <c r="D767" t="s">
        <v>40</v>
      </c>
      <c r="E767" t="s">
        <v>23</v>
      </c>
      <c r="F767">
        <v>46</v>
      </c>
      <c r="G767" t="s">
        <v>17</v>
      </c>
      <c r="H767">
        <v>1</v>
      </c>
      <c r="I767">
        <v>50</v>
      </c>
      <c r="J767">
        <v>15</v>
      </c>
      <c r="K767">
        <v>50</v>
      </c>
      <c r="L767">
        <v>35</v>
      </c>
      <c r="M767">
        <v>0.7</v>
      </c>
      <c r="N767" t="s">
        <v>21</v>
      </c>
    </row>
    <row r="768" spans="1:14">
      <c r="A768">
        <v>818</v>
      </c>
      <c r="B768" s="4">
        <v>45075</v>
      </c>
      <c r="C768" s="5">
        <v>0.78888888888888886</v>
      </c>
      <c r="D768" t="s">
        <v>159</v>
      </c>
      <c r="E768" t="s">
        <v>16</v>
      </c>
      <c r="F768">
        <v>30</v>
      </c>
      <c r="G768" t="s">
        <v>30</v>
      </c>
      <c r="H768">
        <v>1</v>
      </c>
      <c r="I768">
        <v>500</v>
      </c>
      <c r="J768">
        <v>265</v>
      </c>
      <c r="K768">
        <v>500</v>
      </c>
      <c r="L768">
        <v>235</v>
      </c>
      <c r="M768">
        <v>0.47</v>
      </c>
      <c r="N768" t="s">
        <v>39</v>
      </c>
    </row>
    <row r="769" spans="1:14">
      <c r="A769">
        <v>1106</v>
      </c>
      <c r="B769" s="4">
        <v>45150</v>
      </c>
      <c r="C769" s="5">
        <v>0.74305555555555558</v>
      </c>
      <c r="D769" t="s">
        <v>81</v>
      </c>
      <c r="E769" t="s">
        <v>23</v>
      </c>
      <c r="F769">
        <v>46</v>
      </c>
      <c r="G769" t="s">
        <v>17</v>
      </c>
      <c r="H769">
        <v>1</v>
      </c>
      <c r="I769">
        <v>50</v>
      </c>
      <c r="J769">
        <v>14</v>
      </c>
      <c r="K769">
        <v>50</v>
      </c>
      <c r="L769">
        <v>36</v>
      </c>
      <c r="M769">
        <v>0.72</v>
      </c>
      <c r="N769" t="s">
        <v>21</v>
      </c>
    </row>
    <row r="770" spans="1:14">
      <c r="A770">
        <v>1818</v>
      </c>
      <c r="B770" s="4">
        <v>45189</v>
      </c>
      <c r="C770" s="5">
        <v>0.72847222222222219</v>
      </c>
      <c r="D770" t="s">
        <v>159</v>
      </c>
      <c r="E770" t="s">
        <v>16</v>
      </c>
      <c r="F770">
        <v>30</v>
      </c>
      <c r="G770" t="s">
        <v>30</v>
      </c>
      <c r="H770">
        <v>1</v>
      </c>
      <c r="I770">
        <v>500</v>
      </c>
      <c r="J770">
        <v>150</v>
      </c>
      <c r="K770">
        <v>500</v>
      </c>
      <c r="L770">
        <v>350</v>
      </c>
      <c r="M770">
        <v>0.7</v>
      </c>
      <c r="N770" t="s">
        <v>39</v>
      </c>
    </row>
    <row r="771" spans="1:14">
      <c r="A771">
        <v>94</v>
      </c>
      <c r="B771" s="4">
        <v>44998</v>
      </c>
      <c r="C771" s="5">
        <v>0.94374999999999998</v>
      </c>
      <c r="D771" t="s">
        <v>22</v>
      </c>
      <c r="E771" t="s">
        <v>23</v>
      </c>
      <c r="F771">
        <v>47</v>
      </c>
      <c r="G771" t="s">
        <v>20</v>
      </c>
      <c r="H771">
        <v>2</v>
      </c>
      <c r="I771">
        <v>500</v>
      </c>
      <c r="J771">
        <v>250</v>
      </c>
      <c r="K771">
        <v>1000</v>
      </c>
      <c r="L771">
        <v>750</v>
      </c>
      <c r="M771">
        <v>0.75</v>
      </c>
      <c r="N771" t="s">
        <v>21</v>
      </c>
    </row>
    <row r="772" spans="1:14">
      <c r="A772">
        <v>811</v>
      </c>
      <c r="B772" s="4">
        <v>45031</v>
      </c>
      <c r="C772" s="5">
        <v>0.77361111111111114</v>
      </c>
      <c r="D772" t="s">
        <v>124</v>
      </c>
      <c r="E772" t="s">
        <v>16</v>
      </c>
      <c r="F772">
        <v>61</v>
      </c>
      <c r="G772" t="s">
        <v>20</v>
      </c>
      <c r="H772">
        <v>2</v>
      </c>
      <c r="I772">
        <v>25</v>
      </c>
      <c r="J772">
        <v>6.75</v>
      </c>
      <c r="K772">
        <v>50</v>
      </c>
      <c r="L772">
        <v>43.25</v>
      </c>
      <c r="M772">
        <v>0.86499999999999999</v>
      </c>
      <c r="N772" t="s">
        <v>28</v>
      </c>
    </row>
    <row r="773" spans="1:14">
      <c r="A773">
        <v>881</v>
      </c>
      <c r="B773" s="4">
        <v>45281</v>
      </c>
      <c r="C773" s="5">
        <v>0.86944444444444446</v>
      </c>
      <c r="D773" t="s">
        <v>159</v>
      </c>
      <c r="E773" t="s">
        <v>16</v>
      </c>
      <c r="F773">
        <v>22</v>
      </c>
      <c r="G773" t="s">
        <v>30</v>
      </c>
      <c r="H773">
        <v>1</v>
      </c>
      <c r="I773">
        <v>300</v>
      </c>
      <c r="J773">
        <v>99</v>
      </c>
      <c r="K773">
        <v>300</v>
      </c>
      <c r="L773">
        <v>201</v>
      </c>
      <c r="M773">
        <v>0.67</v>
      </c>
      <c r="N773" t="s">
        <v>31</v>
      </c>
    </row>
    <row r="774" spans="1:14">
      <c r="A774">
        <v>1094</v>
      </c>
      <c r="B774" s="4">
        <v>45092</v>
      </c>
      <c r="C774" s="5">
        <v>0.8569444444444444</v>
      </c>
      <c r="D774" t="s">
        <v>40</v>
      </c>
      <c r="E774" t="s">
        <v>23</v>
      </c>
      <c r="F774">
        <v>47</v>
      </c>
      <c r="G774" t="s">
        <v>20</v>
      </c>
      <c r="H774">
        <v>2</v>
      </c>
      <c r="I774">
        <v>500</v>
      </c>
      <c r="J774">
        <v>210</v>
      </c>
      <c r="K774">
        <v>1000</v>
      </c>
      <c r="L774">
        <v>790</v>
      </c>
      <c r="M774">
        <v>0.79</v>
      </c>
      <c r="N774" t="s">
        <v>21</v>
      </c>
    </row>
    <row r="775" spans="1:14">
      <c r="A775">
        <v>1811</v>
      </c>
      <c r="B775" s="4">
        <v>45269</v>
      </c>
      <c r="C775" s="5">
        <v>0.91527777777777775</v>
      </c>
      <c r="D775" t="s">
        <v>22</v>
      </c>
      <c r="E775" t="s">
        <v>16</v>
      </c>
      <c r="F775">
        <v>61</v>
      </c>
      <c r="G775" t="s">
        <v>20</v>
      </c>
      <c r="H775">
        <v>2</v>
      </c>
      <c r="I775">
        <v>25</v>
      </c>
      <c r="J775">
        <v>8.5</v>
      </c>
      <c r="K775">
        <v>50</v>
      </c>
      <c r="L775">
        <v>41.5</v>
      </c>
      <c r="M775">
        <v>0.83</v>
      </c>
      <c r="N775" t="s">
        <v>28</v>
      </c>
    </row>
    <row r="776" spans="1:14">
      <c r="A776">
        <v>1881</v>
      </c>
      <c r="B776" s="4">
        <v>45118</v>
      </c>
      <c r="C776" s="5">
        <v>0.72430555555555554</v>
      </c>
      <c r="D776" t="s">
        <v>22</v>
      </c>
      <c r="E776" t="s">
        <v>16</v>
      </c>
      <c r="F776">
        <v>22</v>
      </c>
      <c r="G776" t="s">
        <v>30</v>
      </c>
      <c r="H776">
        <v>1</v>
      </c>
      <c r="I776">
        <v>300</v>
      </c>
      <c r="J776">
        <v>147</v>
      </c>
      <c r="K776">
        <v>300</v>
      </c>
      <c r="L776">
        <v>153</v>
      </c>
      <c r="M776">
        <v>0.51</v>
      </c>
      <c r="N776" t="s">
        <v>31</v>
      </c>
    </row>
    <row r="777" spans="1:14">
      <c r="A777">
        <v>403</v>
      </c>
      <c r="B777" s="4">
        <v>45038</v>
      </c>
      <c r="C777" s="5">
        <v>0.81319444444444444</v>
      </c>
      <c r="D777" t="s">
        <v>22</v>
      </c>
      <c r="E777" t="s">
        <v>16</v>
      </c>
      <c r="F777">
        <v>32</v>
      </c>
      <c r="G777" t="s">
        <v>17</v>
      </c>
      <c r="H777">
        <v>2</v>
      </c>
      <c r="I777">
        <v>300</v>
      </c>
      <c r="J777">
        <v>78</v>
      </c>
      <c r="K777">
        <v>600</v>
      </c>
      <c r="L777">
        <v>522</v>
      </c>
      <c r="M777">
        <v>0.87</v>
      </c>
      <c r="N777" t="s">
        <v>39</v>
      </c>
    </row>
    <row r="778" spans="1:14">
      <c r="A778">
        <v>653</v>
      </c>
      <c r="B778" s="4">
        <v>45255</v>
      </c>
      <c r="C778" s="5">
        <v>0.95347222222222228</v>
      </c>
      <c r="D778" t="s">
        <v>81</v>
      </c>
      <c r="E778" t="s">
        <v>16</v>
      </c>
      <c r="F778">
        <v>54</v>
      </c>
      <c r="G778" t="s">
        <v>17</v>
      </c>
      <c r="H778">
        <v>3</v>
      </c>
      <c r="I778">
        <v>25</v>
      </c>
      <c r="J778">
        <v>9.25</v>
      </c>
      <c r="K778">
        <v>75</v>
      </c>
      <c r="L778">
        <v>65.75</v>
      </c>
      <c r="M778">
        <v>0.87666666666666671</v>
      </c>
      <c r="N778" t="s">
        <v>21</v>
      </c>
    </row>
    <row r="779" spans="1:14">
      <c r="A779">
        <v>694</v>
      </c>
      <c r="B779" s="4">
        <v>45107</v>
      </c>
      <c r="C779" s="5">
        <v>0.74097222222222225</v>
      </c>
      <c r="D779" t="s">
        <v>81</v>
      </c>
      <c r="E779" t="s">
        <v>23</v>
      </c>
      <c r="F779">
        <v>39</v>
      </c>
      <c r="G779" t="s">
        <v>30</v>
      </c>
      <c r="H779">
        <v>2</v>
      </c>
      <c r="I779">
        <v>25</v>
      </c>
      <c r="J779">
        <v>10</v>
      </c>
      <c r="K779">
        <v>50</v>
      </c>
      <c r="L779">
        <v>40</v>
      </c>
      <c r="M779">
        <v>0.8</v>
      </c>
      <c r="N779" t="s">
        <v>18</v>
      </c>
    </row>
    <row r="780" spans="1:14">
      <c r="A780">
        <v>1403</v>
      </c>
      <c r="B780" s="4">
        <v>45010</v>
      </c>
      <c r="C780" s="5">
        <v>0.76388888888888884</v>
      </c>
      <c r="D780" t="s">
        <v>159</v>
      </c>
      <c r="E780" t="s">
        <v>16</v>
      </c>
      <c r="F780">
        <v>32</v>
      </c>
      <c r="G780" t="s">
        <v>17</v>
      </c>
      <c r="H780">
        <v>2</v>
      </c>
      <c r="I780">
        <v>300</v>
      </c>
      <c r="J780">
        <v>162</v>
      </c>
      <c r="K780">
        <v>600</v>
      </c>
      <c r="L780">
        <v>438</v>
      </c>
      <c r="M780">
        <v>0.73</v>
      </c>
      <c r="N780" t="s">
        <v>39</v>
      </c>
    </row>
    <row r="781" spans="1:14">
      <c r="A781">
        <v>1653</v>
      </c>
      <c r="B781" s="4">
        <v>45130</v>
      </c>
      <c r="C781" s="5">
        <v>0.81527777777777777</v>
      </c>
      <c r="D781" t="s">
        <v>124</v>
      </c>
      <c r="E781" t="s">
        <v>16</v>
      </c>
      <c r="F781">
        <v>54</v>
      </c>
      <c r="G781" t="s">
        <v>17</v>
      </c>
      <c r="H781">
        <v>3</v>
      </c>
      <c r="I781">
        <v>25</v>
      </c>
      <c r="J781">
        <v>12.75</v>
      </c>
      <c r="K781">
        <v>75</v>
      </c>
      <c r="L781">
        <v>62.25</v>
      </c>
      <c r="M781">
        <v>0.83</v>
      </c>
      <c r="N781" t="s">
        <v>21</v>
      </c>
    </row>
    <row r="782" spans="1:14">
      <c r="A782">
        <v>1694</v>
      </c>
      <c r="B782" s="4">
        <v>44936</v>
      </c>
      <c r="C782" s="5">
        <v>0.80694444444444446</v>
      </c>
      <c r="D782" t="s">
        <v>159</v>
      </c>
      <c r="E782" t="s">
        <v>23</v>
      </c>
      <c r="F782">
        <v>39</v>
      </c>
      <c r="G782" t="s">
        <v>30</v>
      </c>
      <c r="H782">
        <v>2</v>
      </c>
      <c r="I782">
        <v>25</v>
      </c>
      <c r="J782">
        <v>9.75</v>
      </c>
      <c r="K782">
        <v>50</v>
      </c>
      <c r="L782">
        <v>40.25</v>
      </c>
      <c r="M782">
        <v>0.80500000000000005</v>
      </c>
      <c r="N782" t="s">
        <v>18</v>
      </c>
    </row>
    <row r="783" spans="1:14">
      <c r="A783">
        <v>4</v>
      </c>
      <c r="B783" s="4">
        <v>45165</v>
      </c>
      <c r="C783" s="5">
        <v>0.7583333333333333</v>
      </c>
      <c r="D783" t="s">
        <v>81</v>
      </c>
      <c r="E783" t="s">
        <v>16</v>
      </c>
      <c r="F783">
        <v>37</v>
      </c>
      <c r="G783" t="s">
        <v>17</v>
      </c>
      <c r="H783">
        <v>1</v>
      </c>
      <c r="I783">
        <v>500</v>
      </c>
      <c r="J783">
        <v>200</v>
      </c>
      <c r="K783">
        <v>500</v>
      </c>
      <c r="L783">
        <v>300</v>
      </c>
      <c r="M783">
        <v>0.6</v>
      </c>
      <c r="N783" t="s">
        <v>18</v>
      </c>
    </row>
    <row r="784" spans="1:14">
      <c r="A784">
        <v>647</v>
      </c>
      <c r="B784" s="4">
        <v>44986</v>
      </c>
      <c r="C784" s="5">
        <v>0.82847222222222228</v>
      </c>
      <c r="D784" t="s">
        <v>22</v>
      </c>
      <c r="E784" t="s">
        <v>16</v>
      </c>
      <c r="F784">
        <v>59</v>
      </c>
      <c r="G784" t="s">
        <v>17</v>
      </c>
      <c r="H784">
        <v>3</v>
      </c>
      <c r="I784">
        <v>500</v>
      </c>
      <c r="J784">
        <v>190</v>
      </c>
      <c r="K784">
        <v>1500</v>
      </c>
      <c r="L784">
        <v>1310</v>
      </c>
      <c r="M784">
        <v>0.87333333333333329</v>
      </c>
      <c r="N784" t="s">
        <v>28</v>
      </c>
    </row>
    <row r="785" spans="1:14">
      <c r="A785">
        <v>911</v>
      </c>
      <c r="B785" s="4">
        <v>45122</v>
      </c>
      <c r="C785" s="5">
        <v>0.72847222222222219</v>
      </c>
      <c r="D785" t="s">
        <v>81</v>
      </c>
      <c r="E785" t="s">
        <v>16</v>
      </c>
      <c r="F785">
        <v>42</v>
      </c>
      <c r="G785" t="s">
        <v>30</v>
      </c>
      <c r="H785">
        <v>3</v>
      </c>
      <c r="I785">
        <v>300</v>
      </c>
      <c r="J785">
        <v>84</v>
      </c>
      <c r="K785">
        <v>900</v>
      </c>
      <c r="L785">
        <v>816</v>
      </c>
      <c r="M785">
        <v>0.90666666666666662</v>
      </c>
      <c r="N785" t="s">
        <v>18</v>
      </c>
    </row>
    <row r="786" spans="1:14">
      <c r="A786">
        <v>1004</v>
      </c>
      <c r="B786" s="4">
        <v>44937</v>
      </c>
      <c r="C786" s="5">
        <v>0.90694444444444444</v>
      </c>
      <c r="D786" t="s">
        <v>124</v>
      </c>
      <c r="E786" t="s">
        <v>16</v>
      </c>
      <c r="F786">
        <v>37</v>
      </c>
      <c r="G786" t="s">
        <v>17</v>
      </c>
      <c r="H786">
        <v>1</v>
      </c>
      <c r="I786">
        <v>500</v>
      </c>
      <c r="J786">
        <v>230</v>
      </c>
      <c r="K786">
        <v>500</v>
      </c>
      <c r="L786">
        <v>270</v>
      </c>
      <c r="M786">
        <v>0.54</v>
      </c>
      <c r="N786" t="s">
        <v>18</v>
      </c>
    </row>
    <row r="787" spans="1:14">
      <c r="A787">
        <v>1647</v>
      </c>
      <c r="B787" s="4">
        <v>45047</v>
      </c>
      <c r="C787" s="5">
        <v>0.85138888888888886</v>
      </c>
      <c r="D787" t="s">
        <v>22</v>
      </c>
      <c r="E787" t="s">
        <v>16</v>
      </c>
      <c r="F787">
        <v>59</v>
      </c>
      <c r="G787" t="s">
        <v>17</v>
      </c>
      <c r="H787">
        <v>3</v>
      </c>
      <c r="I787">
        <v>500</v>
      </c>
      <c r="J787">
        <v>240</v>
      </c>
      <c r="K787">
        <v>1500</v>
      </c>
      <c r="L787">
        <v>1260</v>
      </c>
      <c r="M787">
        <v>0.84</v>
      </c>
      <c r="N787" t="s">
        <v>28</v>
      </c>
    </row>
    <row r="788" spans="1:14">
      <c r="A788">
        <v>1911</v>
      </c>
      <c r="B788" s="4">
        <v>45273</v>
      </c>
      <c r="C788" s="5">
        <v>0.7729166666666667</v>
      </c>
      <c r="D788" t="s">
        <v>159</v>
      </c>
      <c r="E788" t="s">
        <v>16</v>
      </c>
      <c r="F788">
        <v>42</v>
      </c>
      <c r="G788" t="s">
        <v>30</v>
      </c>
      <c r="H788">
        <v>3</v>
      </c>
      <c r="I788">
        <v>300</v>
      </c>
      <c r="J788">
        <v>75</v>
      </c>
      <c r="K788">
        <v>900</v>
      </c>
      <c r="L788">
        <v>825</v>
      </c>
      <c r="M788">
        <v>0.91666666666666663</v>
      </c>
      <c r="N788" t="s">
        <v>18</v>
      </c>
    </row>
    <row r="789" spans="1:14">
      <c r="A789">
        <v>419</v>
      </c>
      <c r="B789" s="4">
        <v>45016</v>
      </c>
      <c r="C789" s="5">
        <v>0.8041666666666667</v>
      </c>
      <c r="D789" t="s">
        <v>22</v>
      </c>
      <c r="E789" t="s">
        <v>23</v>
      </c>
      <c r="F789">
        <v>44</v>
      </c>
      <c r="G789" t="s">
        <v>17</v>
      </c>
      <c r="H789">
        <v>3</v>
      </c>
      <c r="I789">
        <v>30</v>
      </c>
      <c r="J789">
        <v>11.7</v>
      </c>
      <c r="K789">
        <v>90</v>
      </c>
      <c r="L789">
        <v>78.3</v>
      </c>
      <c r="M789">
        <v>0.87</v>
      </c>
      <c r="N789" t="s">
        <v>18</v>
      </c>
    </row>
    <row r="790" spans="1:14">
      <c r="A790">
        <v>642</v>
      </c>
      <c r="B790" s="4">
        <v>45050</v>
      </c>
      <c r="C790" s="5">
        <v>0.90277777777777779</v>
      </c>
      <c r="D790" t="s">
        <v>40</v>
      </c>
      <c r="E790" t="s">
        <v>23</v>
      </c>
      <c r="F790">
        <v>54</v>
      </c>
      <c r="G790" t="s">
        <v>17</v>
      </c>
      <c r="H790">
        <v>4</v>
      </c>
      <c r="I790">
        <v>25</v>
      </c>
      <c r="J790">
        <v>12</v>
      </c>
      <c r="K790">
        <v>100</v>
      </c>
      <c r="L790">
        <v>88</v>
      </c>
      <c r="M790">
        <v>0.88</v>
      </c>
      <c r="N790" t="s">
        <v>21</v>
      </c>
    </row>
    <row r="791" spans="1:14">
      <c r="A791">
        <v>843</v>
      </c>
      <c r="B791" s="4">
        <v>44951</v>
      </c>
      <c r="C791" s="5">
        <v>0.94861111111111107</v>
      </c>
      <c r="D791" t="s">
        <v>81</v>
      </c>
      <c r="E791" t="s">
        <v>16</v>
      </c>
      <c r="F791">
        <v>21</v>
      </c>
      <c r="G791" t="s">
        <v>20</v>
      </c>
      <c r="H791">
        <v>3</v>
      </c>
      <c r="I791">
        <v>500</v>
      </c>
      <c r="J791">
        <v>180</v>
      </c>
      <c r="K791">
        <v>1500</v>
      </c>
      <c r="L791">
        <v>1320</v>
      </c>
      <c r="M791">
        <v>0.88</v>
      </c>
      <c r="N791" t="s">
        <v>31</v>
      </c>
    </row>
    <row r="792" spans="1:14">
      <c r="A792">
        <v>895</v>
      </c>
      <c r="B792" s="4">
        <v>45169</v>
      </c>
      <c r="C792" s="5">
        <v>0.91041666666666665</v>
      </c>
      <c r="D792" t="s">
        <v>81</v>
      </c>
      <c r="E792" t="s">
        <v>23</v>
      </c>
      <c r="F792">
        <v>55</v>
      </c>
      <c r="G792" t="s">
        <v>17</v>
      </c>
      <c r="H792">
        <v>4</v>
      </c>
      <c r="I792">
        <v>30</v>
      </c>
      <c r="J792">
        <v>14.4</v>
      </c>
      <c r="K792">
        <v>120</v>
      </c>
      <c r="L792">
        <v>105.6</v>
      </c>
      <c r="M792">
        <v>0.88</v>
      </c>
      <c r="N792" t="s">
        <v>21</v>
      </c>
    </row>
    <row r="793" spans="1:14">
      <c r="A793">
        <v>1419</v>
      </c>
      <c r="B793" s="4">
        <v>44962</v>
      </c>
      <c r="C793" s="5">
        <v>0.77916666666666667</v>
      </c>
      <c r="D793" t="s">
        <v>81</v>
      </c>
      <c r="E793" t="s">
        <v>23</v>
      </c>
      <c r="F793">
        <v>44</v>
      </c>
      <c r="G793" t="s">
        <v>17</v>
      </c>
      <c r="H793">
        <v>3</v>
      </c>
      <c r="I793">
        <v>30</v>
      </c>
      <c r="J793">
        <v>9.3000000000000007</v>
      </c>
      <c r="K793">
        <v>90</v>
      </c>
      <c r="L793">
        <v>80.7</v>
      </c>
      <c r="M793">
        <v>0.89666666666666672</v>
      </c>
      <c r="N793" t="s">
        <v>18</v>
      </c>
    </row>
    <row r="794" spans="1:14">
      <c r="A794">
        <v>1642</v>
      </c>
      <c r="B794" s="4">
        <v>45287</v>
      </c>
      <c r="C794" s="5">
        <v>0.77083333333333337</v>
      </c>
      <c r="D794" t="s">
        <v>159</v>
      </c>
      <c r="E794" t="s">
        <v>23</v>
      </c>
      <c r="F794">
        <v>54</v>
      </c>
      <c r="G794" t="s">
        <v>17</v>
      </c>
      <c r="H794">
        <v>4</v>
      </c>
      <c r="I794">
        <v>25</v>
      </c>
      <c r="J794">
        <v>11.5</v>
      </c>
      <c r="K794">
        <v>100</v>
      </c>
      <c r="L794">
        <v>88.5</v>
      </c>
      <c r="M794">
        <v>0.88500000000000001</v>
      </c>
      <c r="N794" t="s">
        <v>21</v>
      </c>
    </row>
    <row r="795" spans="1:14">
      <c r="A795">
        <v>1843</v>
      </c>
      <c r="B795" s="4">
        <v>45190</v>
      </c>
      <c r="C795" s="5">
        <v>0.79027777777777775</v>
      </c>
      <c r="D795" t="s">
        <v>40</v>
      </c>
      <c r="E795" t="s">
        <v>16</v>
      </c>
      <c r="F795">
        <v>21</v>
      </c>
      <c r="G795" t="s">
        <v>20</v>
      </c>
      <c r="H795">
        <v>3</v>
      </c>
      <c r="I795">
        <v>500</v>
      </c>
      <c r="J795">
        <v>240</v>
      </c>
      <c r="K795">
        <v>1500</v>
      </c>
      <c r="L795">
        <v>1260</v>
      </c>
      <c r="M795">
        <v>0.84</v>
      </c>
      <c r="N795" t="s">
        <v>31</v>
      </c>
    </row>
    <row r="796" spans="1:14">
      <c r="A796">
        <v>1895</v>
      </c>
      <c r="B796" s="4">
        <v>45012</v>
      </c>
      <c r="C796" s="5">
        <v>0.87430555555555556</v>
      </c>
      <c r="D796" t="s">
        <v>159</v>
      </c>
      <c r="E796" t="s">
        <v>23</v>
      </c>
      <c r="F796">
        <v>55</v>
      </c>
      <c r="G796" t="s">
        <v>17</v>
      </c>
      <c r="H796">
        <v>4</v>
      </c>
      <c r="I796">
        <v>30</v>
      </c>
      <c r="J796">
        <v>15.3</v>
      </c>
      <c r="K796">
        <v>120</v>
      </c>
      <c r="L796">
        <v>104.7</v>
      </c>
      <c r="M796">
        <v>0.87250000000000005</v>
      </c>
      <c r="N796" t="s">
        <v>21</v>
      </c>
    </row>
    <row r="797" spans="1:14">
      <c r="A797">
        <v>31</v>
      </c>
      <c r="B797" s="4">
        <v>45291</v>
      </c>
      <c r="C797" s="5">
        <v>0.74097222222222225</v>
      </c>
      <c r="D797" t="s">
        <v>81</v>
      </c>
      <c r="E797" t="s">
        <v>16</v>
      </c>
      <c r="F797">
        <v>44</v>
      </c>
      <c r="G797" t="s">
        <v>30</v>
      </c>
      <c r="H797">
        <v>4</v>
      </c>
      <c r="I797">
        <v>300</v>
      </c>
      <c r="J797">
        <v>129</v>
      </c>
      <c r="K797">
        <v>1200</v>
      </c>
      <c r="L797">
        <v>1071</v>
      </c>
      <c r="M797">
        <v>0.89249999999999996</v>
      </c>
      <c r="N797" t="s">
        <v>18</v>
      </c>
    </row>
    <row r="798" spans="1:14">
      <c r="A798">
        <v>37</v>
      </c>
      <c r="B798" s="4">
        <v>45072</v>
      </c>
      <c r="C798" s="5">
        <v>0.9458333333333333</v>
      </c>
      <c r="D798" t="s">
        <v>124</v>
      </c>
      <c r="E798" t="s">
        <v>23</v>
      </c>
      <c r="F798">
        <v>18</v>
      </c>
      <c r="G798" t="s">
        <v>20</v>
      </c>
      <c r="H798">
        <v>3</v>
      </c>
      <c r="I798">
        <v>25</v>
      </c>
      <c r="J798">
        <v>8.75</v>
      </c>
      <c r="K798">
        <v>75</v>
      </c>
      <c r="L798">
        <v>66.25</v>
      </c>
      <c r="M798">
        <v>0.8833333333333333</v>
      </c>
      <c r="N798" t="s">
        <v>31</v>
      </c>
    </row>
    <row r="799" spans="1:14">
      <c r="A799">
        <v>72</v>
      </c>
      <c r="B799" s="4">
        <v>45266</v>
      </c>
      <c r="C799" s="5">
        <v>0.80486111111111114</v>
      </c>
      <c r="D799" t="s">
        <v>22</v>
      </c>
      <c r="E799" t="s">
        <v>23</v>
      </c>
      <c r="F799">
        <v>20</v>
      </c>
      <c r="G799" t="s">
        <v>30</v>
      </c>
      <c r="H799">
        <v>4</v>
      </c>
      <c r="I799">
        <v>500</v>
      </c>
      <c r="J799">
        <v>195</v>
      </c>
      <c r="K799">
        <v>2000</v>
      </c>
      <c r="L799">
        <v>1805</v>
      </c>
      <c r="M799">
        <v>0.90249999999999997</v>
      </c>
      <c r="N799" t="s">
        <v>31</v>
      </c>
    </row>
    <row r="800" spans="1:14">
      <c r="A800">
        <v>243</v>
      </c>
      <c r="B800" s="4">
        <v>45101</v>
      </c>
      <c r="C800" s="5">
        <v>0.75138888888888888</v>
      </c>
      <c r="D800" t="s">
        <v>22</v>
      </c>
      <c r="E800" t="s">
        <v>23</v>
      </c>
      <c r="F800">
        <v>47</v>
      </c>
      <c r="G800" t="s">
        <v>30</v>
      </c>
      <c r="H800">
        <v>3</v>
      </c>
      <c r="I800">
        <v>300</v>
      </c>
      <c r="J800">
        <v>156</v>
      </c>
      <c r="K800">
        <v>900</v>
      </c>
      <c r="L800">
        <v>744</v>
      </c>
      <c r="M800">
        <v>0.82666666666666666</v>
      </c>
      <c r="N800" t="s">
        <v>21</v>
      </c>
    </row>
    <row r="801" spans="1:14">
      <c r="A801">
        <v>281</v>
      </c>
      <c r="B801" s="4">
        <v>45187</v>
      </c>
      <c r="C801" s="5">
        <v>0.83958333333333335</v>
      </c>
      <c r="D801" t="s">
        <v>159</v>
      </c>
      <c r="E801" t="s">
        <v>23</v>
      </c>
      <c r="F801">
        <v>29</v>
      </c>
      <c r="G801" t="s">
        <v>20</v>
      </c>
      <c r="H801">
        <v>4</v>
      </c>
      <c r="I801">
        <v>500</v>
      </c>
      <c r="J801">
        <v>275</v>
      </c>
      <c r="K801">
        <v>2000</v>
      </c>
      <c r="L801">
        <v>1725</v>
      </c>
      <c r="M801">
        <v>0.86250000000000004</v>
      </c>
      <c r="N801" t="s">
        <v>39</v>
      </c>
    </row>
    <row r="802" spans="1:14">
      <c r="A802">
        <v>489</v>
      </c>
      <c r="B802" s="4">
        <v>45230</v>
      </c>
      <c r="C802" s="5">
        <v>0.91736111111111107</v>
      </c>
      <c r="D802" t="s">
        <v>40</v>
      </c>
      <c r="E802" t="s">
        <v>16</v>
      </c>
      <c r="F802">
        <v>44</v>
      </c>
      <c r="G802" t="s">
        <v>30</v>
      </c>
      <c r="H802">
        <v>1</v>
      </c>
      <c r="I802">
        <v>30</v>
      </c>
      <c r="J802">
        <v>14.4</v>
      </c>
      <c r="K802">
        <v>30</v>
      </c>
      <c r="L802">
        <v>15.6</v>
      </c>
      <c r="M802">
        <v>0.52</v>
      </c>
      <c r="N802" t="s">
        <v>18</v>
      </c>
    </row>
    <row r="803" spans="1:14">
      <c r="A803">
        <v>491</v>
      </c>
      <c r="B803" s="4">
        <v>45290</v>
      </c>
      <c r="C803" s="5">
        <v>0.88263888888888886</v>
      </c>
      <c r="D803" t="s">
        <v>159</v>
      </c>
      <c r="E803" t="s">
        <v>23</v>
      </c>
      <c r="F803">
        <v>60</v>
      </c>
      <c r="G803" t="s">
        <v>30</v>
      </c>
      <c r="H803">
        <v>3</v>
      </c>
      <c r="I803">
        <v>300</v>
      </c>
      <c r="J803">
        <v>78</v>
      </c>
      <c r="K803">
        <v>900</v>
      </c>
      <c r="L803">
        <v>822</v>
      </c>
      <c r="M803">
        <v>0.91333333333333333</v>
      </c>
      <c r="N803" t="s">
        <v>28</v>
      </c>
    </row>
    <row r="804" spans="1:14">
      <c r="A804">
        <v>729</v>
      </c>
      <c r="B804" s="4">
        <v>45164</v>
      </c>
      <c r="C804" s="5">
        <v>0.93680555555555556</v>
      </c>
      <c r="D804" t="s">
        <v>81</v>
      </c>
      <c r="E804" t="s">
        <v>16</v>
      </c>
      <c r="F804">
        <v>29</v>
      </c>
      <c r="G804" t="s">
        <v>17</v>
      </c>
      <c r="H804">
        <v>4</v>
      </c>
      <c r="I804">
        <v>300</v>
      </c>
      <c r="J804">
        <v>84</v>
      </c>
      <c r="K804">
        <v>1200</v>
      </c>
      <c r="L804">
        <v>1116</v>
      </c>
      <c r="M804">
        <v>0.93</v>
      </c>
      <c r="N804" t="s">
        <v>39</v>
      </c>
    </row>
    <row r="805" spans="1:14">
      <c r="A805">
        <v>822</v>
      </c>
      <c r="B805" s="4">
        <v>44973</v>
      </c>
      <c r="C805" s="5">
        <v>0.73541666666666672</v>
      </c>
      <c r="D805" t="s">
        <v>81</v>
      </c>
      <c r="E805" t="s">
        <v>23</v>
      </c>
      <c r="F805">
        <v>52</v>
      </c>
      <c r="G805" t="s">
        <v>20</v>
      </c>
      <c r="H805">
        <v>3</v>
      </c>
      <c r="I805">
        <v>50</v>
      </c>
      <c r="J805">
        <v>13.5</v>
      </c>
      <c r="K805">
        <v>150</v>
      </c>
      <c r="L805">
        <v>136.5</v>
      </c>
      <c r="M805">
        <v>0.91</v>
      </c>
      <c r="N805" t="s">
        <v>21</v>
      </c>
    </row>
    <row r="806" spans="1:14">
      <c r="A806">
        <v>1031</v>
      </c>
      <c r="B806" s="4">
        <v>45242</v>
      </c>
      <c r="C806" s="5">
        <v>0.88541666666666663</v>
      </c>
      <c r="D806" t="s">
        <v>81</v>
      </c>
      <c r="E806" t="s">
        <v>16</v>
      </c>
      <c r="F806">
        <v>44</v>
      </c>
      <c r="G806" t="s">
        <v>30</v>
      </c>
      <c r="H806">
        <v>4</v>
      </c>
      <c r="I806">
        <v>300</v>
      </c>
      <c r="J806">
        <v>126</v>
      </c>
      <c r="K806">
        <v>1200</v>
      </c>
      <c r="L806">
        <v>1074</v>
      </c>
      <c r="M806">
        <v>0.89500000000000002</v>
      </c>
      <c r="N806" t="s">
        <v>18</v>
      </c>
    </row>
    <row r="807" spans="1:14">
      <c r="A807">
        <v>1037</v>
      </c>
      <c r="B807" s="4">
        <v>45216</v>
      </c>
      <c r="C807" s="5">
        <v>0.73472222222222228</v>
      </c>
      <c r="D807" t="s">
        <v>124</v>
      </c>
      <c r="E807" t="s">
        <v>23</v>
      </c>
      <c r="F807">
        <v>18</v>
      </c>
      <c r="G807" t="s">
        <v>20</v>
      </c>
      <c r="H807">
        <v>3</v>
      </c>
      <c r="I807">
        <v>25</v>
      </c>
      <c r="J807">
        <v>11.5</v>
      </c>
      <c r="K807">
        <v>75</v>
      </c>
      <c r="L807">
        <v>63.5</v>
      </c>
      <c r="M807">
        <v>0.84666666666666668</v>
      </c>
      <c r="N807" t="s">
        <v>31</v>
      </c>
    </row>
    <row r="808" spans="1:14">
      <c r="A808">
        <v>1072</v>
      </c>
      <c r="B808" s="4">
        <v>44981</v>
      </c>
      <c r="C808" s="5">
        <v>0.75694444444444442</v>
      </c>
      <c r="D808" t="s">
        <v>159</v>
      </c>
      <c r="E808" t="s">
        <v>23</v>
      </c>
      <c r="F808">
        <v>20</v>
      </c>
      <c r="G808" t="s">
        <v>30</v>
      </c>
      <c r="H808">
        <v>4</v>
      </c>
      <c r="I808">
        <v>500</v>
      </c>
      <c r="J808">
        <v>180</v>
      </c>
      <c r="K808">
        <v>2000</v>
      </c>
      <c r="L808">
        <v>1820</v>
      </c>
      <c r="M808">
        <v>0.91</v>
      </c>
      <c r="N808" t="s">
        <v>31</v>
      </c>
    </row>
    <row r="809" spans="1:14">
      <c r="A809">
        <v>1243</v>
      </c>
      <c r="B809" s="4">
        <v>45268</v>
      </c>
      <c r="C809" s="5">
        <v>0.71597222222222223</v>
      </c>
      <c r="D809" t="s">
        <v>159</v>
      </c>
      <c r="E809" t="s">
        <v>23</v>
      </c>
      <c r="F809">
        <v>47</v>
      </c>
      <c r="G809" t="s">
        <v>30</v>
      </c>
      <c r="H809">
        <v>3</v>
      </c>
      <c r="I809">
        <v>300</v>
      </c>
      <c r="J809">
        <v>138</v>
      </c>
      <c r="K809">
        <v>900</v>
      </c>
      <c r="L809">
        <v>762</v>
      </c>
      <c r="M809">
        <v>0.84666666666666668</v>
      </c>
      <c r="N809" t="s">
        <v>21</v>
      </c>
    </row>
    <row r="810" spans="1:14">
      <c r="A810">
        <v>1281</v>
      </c>
      <c r="B810" s="4">
        <v>44999</v>
      </c>
      <c r="C810" s="5">
        <v>0.81527777777777777</v>
      </c>
      <c r="D810" t="s">
        <v>159</v>
      </c>
      <c r="E810" t="s">
        <v>23</v>
      </c>
      <c r="F810">
        <v>29</v>
      </c>
      <c r="G810" t="s">
        <v>20</v>
      </c>
      <c r="H810">
        <v>4</v>
      </c>
      <c r="I810">
        <v>500</v>
      </c>
      <c r="J810">
        <v>165</v>
      </c>
      <c r="K810">
        <v>2000</v>
      </c>
      <c r="L810">
        <v>1835</v>
      </c>
      <c r="M810">
        <v>0.91749999999999998</v>
      </c>
      <c r="N810" t="s">
        <v>39</v>
      </c>
    </row>
    <row r="811" spans="1:14">
      <c r="A811">
        <v>1489</v>
      </c>
      <c r="B811" s="4">
        <v>45044</v>
      </c>
      <c r="C811" s="5">
        <v>0.77083333333333337</v>
      </c>
      <c r="D811" t="s">
        <v>124</v>
      </c>
      <c r="E811" t="s">
        <v>16</v>
      </c>
      <c r="F811">
        <v>44</v>
      </c>
      <c r="G811" t="s">
        <v>30</v>
      </c>
      <c r="H811">
        <v>1</v>
      </c>
      <c r="I811">
        <v>30</v>
      </c>
      <c r="J811">
        <v>10.5</v>
      </c>
      <c r="K811">
        <v>30</v>
      </c>
      <c r="L811">
        <v>19.5</v>
      </c>
      <c r="M811">
        <v>0.65</v>
      </c>
      <c r="N811" t="s">
        <v>18</v>
      </c>
    </row>
    <row r="812" spans="1:14">
      <c r="A812">
        <v>1491</v>
      </c>
      <c r="B812" s="4">
        <v>45072</v>
      </c>
      <c r="C812" s="5">
        <v>0.92638888888888893</v>
      </c>
      <c r="D812" t="s">
        <v>148</v>
      </c>
      <c r="E812" t="s">
        <v>23</v>
      </c>
      <c r="F812">
        <v>60</v>
      </c>
      <c r="G812" t="s">
        <v>30</v>
      </c>
      <c r="H812">
        <v>3</v>
      </c>
      <c r="I812">
        <v>300</v>
      </c>
      <c r="J812">
        <v>129</v>
      </c>
      <c r="K812">
        <v>900</v>
      </c>
      <c r="L812">
        <v>771</v>
      </c>
      <c r="M812">
        <v>0.85666666666666669</v>
      </c>
      <c r="N812" t="s">
        <v>28</v>
      </c>
    </row>
    <row r="813" spans="1:14">
      <c r="A813">
        <v>1729</v>
      </c>
      <c r="B813" s="4">
        <v>45252</v>
      </c>
      <c r="C813" s="5">
        <v>0.78819444444444442</v>
      </c>
      <c r="D813" t="s">
        <v>43</v>
      </c>
      <c r="E813" t="s">
        <v>16</v>
      </c>
      <c r="F813">
        <v>29</v>
      </c>
      <c r="G813" t="s">
        <v>17</v>
      </c>
      <c r="H813">
        <v>4</v>
      </c>
      <c r="I813">
        <v>300</v>
      </c>
      <c r="J813">
        <v>81</v>
      </c>
      <c r="K813">
        <v>1200</v>
      </c>
      <c r="L813">
        <v>1119</v>
      </c>
      <c r="M813">
        <v>0.9325</v>
      </c>
      <c r="N813" t="s">
        <v>39</v>
      </c>
    </row>
    <row r="814" spans="1:14">
      <c r="A814">
        <v>1822</v>
      </c>
      <c r="B814" s="4">
        <v>45178</v>
      </c>
      <c r="C814" s="5">
        <v>0.71875</v>
      </c>
      <c r="D814" t="s">
        <v>60</v>
      </c>
      <c r="E814" t="s">
        <v>23</v>
      </c>
      <c r="F814">
        <v>52</v>
      </c>
      <c r="G814" t="s">
        <v>20</v>
      </c>
      <c r="H814">
        <v>3</v>
      </c>
      <c r="I814">
        <v>50</v>
      </c>
      <c r="J814">
        <v>21</v>
      </c>
      <c r="K814">
        <v>150</v>
      </c>
      <c r="L814">
        <v>129</v>
      </c>
      <c r="M814">
        <v>0.86</v>
      </c>
      <c r="N814" t="s">
        <v>21</v>
      </c>
    </row>
    <row r="815" spans="1:14">
      <c r="A815">
        <v>840</v>
      </c>
      <c r="B815" s="4">
        <v>45108</v>
      </c>
      <c r="C815" s="5">
        <v>0.79097222222222219</v>
      </c>
      <c r="D815" t="s">
        <v>137</v>
      </c>
      <c r="E815" t="s">
        <v>16</v>
      </c>
      <c r="F815">
        <v>62</v>
      </c>
      <c r="G815" t="s">
        <v>17</v>
      </c>
      <c r="H815">
        <v>2</v>
      </c>
      <c r="I815">
        <v>25</v>
      </c>
      <c r="J815">
        <v>11.75</v>
      </c>
      <c r="K815">
        <v>50</v>
      </c>
      <c r="L815">
        <v>38.25</v>
      </c>
      <c r="M815">
        <v>0.76500000000000001</v>
      </c>
      <c r="N815" t="s">
        <v>28</v>
      </c>
    </row>
    <row r="816" spans="1:14">
      <c r="A816">
        <v>1840</v>
      </c>
      <c r="B816" s="4">
        <v>45058</v>
      </c>
      <c r="C816" s="5">
        <v>0.84861111111111109</v>
      </c>
      <c r="D816" t="s">
        <v>103</v>
      </c>
      <c r="E816" t="s">
        <v>16</v>
      </c>
      <c r="F816">
        <v>62</v>
      </c>
      <c r="G816" t="s">
        <v>17</v>
      </c>
      <c r="H816">
        <v>2</v>
      </c>
      <c r="I816">
        <v>25</v>
      </c>
      <c r="J816">
        <v>11</v>
      </c>
      <c r="K816">
        <v>50</v>
      </c>
      <c r="L816">
        <v>39</v>
      </c>
      <c r="M816">
        <v>0.78</v>
      </c>
      <c r="N816" t="s">
        <v>28</v>
      </c>
    </row>
    <row r="817" spans="1:14">
      <c r="A817">
        <v>404</v>
      </c>
      <c r="B817" s="4">
        <v>44970</v>
      </c>
      <c r="C817" s="5">
        <v>0.82986111111111116</v>
      </c>
      <c r="D817" t="s">
        <v>36</v>
      </c>
      <c r="E817" t="s">
        <v>16</v>
      </c>
      <c r="F817">
        <v>46</v>
      </c>
      <c r="G817" t="s">
        <v>30</v>
      </c>
      <c r="H817">
        <v>2</v>
      </c>
      <c r="I817">
        <v>500</v>
      </c>
      <c r="J817">
        <v>160</v>
      </c>
      <c r="K817">
        <v>1000</v>
      </c>
      <c r="L817">
        <v>840</v>
      </c>
      <c r="M817">
        <v>0.84</v>
      </c>
      <c r="N817" t="s">
        <v>21</v>
      </c>
    </row>
    <row r="818" spans="1:14">
      <c r="A818">
        <v>899</v>
      </c>
      <c r="B818" s="4">
        <v>45068</v>
      </c>
      <c r="C818" s="5">
        <v>0.89861111111111114</v>
      </c>
      <c r="D818" t="s">
        <v>59</v>
      </c>
      <c r="E818" t="s">
        <v>16</v>
      </c>
      <c r="F818">
        <v>26</v>
      </c>
      <c r="G818" t="s">
        <v>17</v>
      </c>
      <c r="H818">
        <v>2</v>
      </c>
      <c r="I818">
        <v>300</v>
      </c>
      <c r="J818">
        <v>153</v>
      </c>
      <c r="K818">
        <v>600</v>
      </c>
      <c r="L818">
        <v>447</v>
      </c>
      <c r="M818">
        <v>0.745</v>
      </c>
      <c r="N818" t="s">
        <v>39</v>
      </c>
    </row>
    <row r="819" spans="1:14">
      <c r="A819">
        <v>990</v>
      </c>
      <c r="B819" s="4">
        <v>45014</v>
      </c>
      <c r="C819" s="5">
        <v>0.90625</v>
      </c>
      <c r="D819" t="s">
        <v>47</v>
      </c>
      <c r="E819" t="s">
        <v>23</v>
      </c>
      <c r="F819">
        <v>58</v>
      </c>
      <c r="G819" t="s">
        <v>20</v>
      </c>
      <c r="H819">
        <v>2</v>
      </c>
      <c r="I819">
        <v>500</v>
      </c>
      <c r="J819">
        <v>235</v>
      </c>
      <c r="K819">
        <v>1000</v>
      </c>
      <c r="L819">
        <v>765</v>
      </c>
      <c r="M819">
        <v>0.76500000000000001</v>
      </c>
      <c r="N819" t="s">
        <v>28</v>
      </c>
    </row>
    <row r="820" spans="1:14">
      <c r="A820">
        <v>1404</v>
      </c>
      <c r="B820" s="4">
        <v>45158</v>
      </c>
      <c r="C820" s="5">
        <v>0.76041666666666663</v>
      </c>
      <c r="D820" t="s">
        <v>133</v>
      </c>
      <c r="E820" t="s">
        <v>16</v>
      </c>
      <c r="F820">
        <v>46</v>
      </c>
      <c r="G820" t="s">
        <v>30</v>
      </c>
      <c r="H820">
        <v>2</v>
      </c>
      <c r="I820">
        <v>500</v>
      </c>
      <c r="J820">
        <v>185</v>
      </c>
      <c r="K820">
        <v>1000</v>
      </c>
      <c r="L820">
        <v>815</v>
      </c>
      <c r="M820">
        <v>0.81499999999999995</v>
      </c>
      <c r="N820" t="s">
        <v>21</v>
      </c>
    </row>
    <row r="821" spans="1:14">
      <c r="A821">
        <v>1899</v>
      </c>
      <c r="B821" s="4">
        <v>45049</v>
      </c>
      <c r="C821" s="5">
        <v>0.87708333333333333</v>
      </c>
      <c r="D821" t="s">
        <v>97</v>
      </c>
      <c r="E821" t="s">
        <v>16</v>
      </c>
      <c r="F821">
        <v>26</v>
      </c>
      <c r="G821" t="s">
        <v>17</v>
      </c>
      <c r="H821">
        <v>2</v>
      </c>
      <c r="I821">
        <v>300</v>
      </c>
      <c r="J821">
        <v>99</v>
      </c>
      <c r="K821">
        <v>600</v>
      </c>
      <c r="L821">
        <v>501</v>
      </c>
      <c r="M821">
        <v>0.83499999999999996</v>
      </c>
      <c r="N821" t="s">
        <v>39</v>
      </c>
    </row>
    <row r="822" spans="1:14">
      <c r="A822">
        <v>1990</v>
      </c>
      <c r="B822" s="4">
        <v>45252</v>
      </c>
      <c r="C822" s="5">
        <v>0.70972222222222225</v>
      </c>
      <c r="D822" t="s">
        <v>25</v>
      </c>
      <c r="E822" t="s">
        <v>23</v>
      </c>
      <c r="F822">
        <v>58</v>
      </c>
      <c r="G822" t="s">
        <v>20</v>
      </c>
      <c r="H822">
        <v>2</v>
      </c>
      <c r="I822">
        <v>500</v>
      </c>
      <c r="J822">
        <v>155</v>
      </c>
      <c r="K822">
        <v>1000</v>
      </c>
      <c r="L822">
        <v>845</v>
      </c>
      <c r="M822">
        <v>0.84499999999999997</v>
      </c>
      <c r="N822" t="s">
        <v>28</v>
      </c>
    </row>
    <row r="823" spans="1:14">
      <c r="A823">
        <v>382</v>
      </c>
      <c r="B823" s="4">
        <v>45121</v>
      </c>
      <c r="C823" s="5">
        <v>0.88888888888888884</v>
      </c>
      <c r="D823" t="s">
        <v>91</v>
      </c>
      <c r="E823" t="s">
        <v>23</v>
      </c>
      <c r="F823">
        <v>53</v>
      </c>
      <c r="G823" t="s">
        <v>17</v>
      </c>
      <c r="H823">
        <v>2</v>
      </c>
      <c r="I823">
        <v>500</v>
      </c>
      <c r="J823">
        <v>245</v>
      </c>
      <c r="K823">
        <v>1000</v>
      </c>
      <c r="L823">
        <v>755</v>
      </c>
      <c r="M823">
        <v>0.755</v>
      </c>
      <c r="N823" t="s">
        <v>21</v>
      </c>
    </row>
    <row r="824" spans="1:14">
      <c r="A824">
        <v>578</v>
      </c>
      <c r="B824" s="4">
        <v>45265</v>
      </c>
      <c r="C824" s="5">
        <v>0.9458333333333333</v>
      </c>
      <c r="D824" t="s">
        <v>47</v>
      </c>
      <c r="E824" t="s">
        <v>23</v>
      </c>
      <c r="F824">
        <v>54</v>
      </c>
      <c r="G824" t="s">
        <v>17</v>
      </c>
      <c r="H824">
        <v>4</v>
      </c>
      <c r="I824">
        <v>30</v>
      </c>
      <c r="J824">
        <v>9.3000000000000007</v>
      </c>
      <c r="K824">
        <v>120</v>
      </c>
      <c r="L824">
        <v>110.7</v>
      </c>
      <c r="M824">
        <v>0.92249999999999999</v>
      </c>
      <c r="N824" t="s">
        <v>21</v>
      </c>
    </row>
    <row r="825" spans="1:14">
      <c r="A825">
        <v>923</v>
      </c>
      <c r="B825" s="4">
        <v>45087</v>
      </c>
      <c r="C825" s="5">
        <v>0.72222222222222221</v>
      </c>
      <c r="D825" t="s">
        <v>74</v>
      </c>
      <c r="E825" t="s">
        <v>16</v>
      </c>
      <c r="F825">
        <v>32</v>
      </c>
      <c r="G825" t="s">
        <v>20</v>
      </c>
      <c r="H825">
        <v>3</v>
      </c>
      <c r="I825">
        <v>300</v>
      </c>
      <c r="J825">
        <v>165</v>
      </c>
      <c r="K825">
        <v>900</v>
      </c>
      <c r="L825">
        <v>735</v>
      </c>
      <c r="M825">
        <v>0.81666666666666665</v>
      </c>
      <c r="N825" t="s">
        <v>39</v>
      </c>
    </row>
    <row r="826" spans="1:14">
      <c r="A826">
        <v>1382</v>
      </c>
      <c r="B826" s="4">
        <v>45066</v>
      </c>
      <c r="C826" s="5">
        <v>0.75902777777777775</v>
      </c>
      <c r="D826" t="s">
        <v>104</v>
      </c>
      <c r="E826" t="s">
        <v>23</v>
      </c>
      <c r="F826">
        <v>53</v>
      </c>
      <c r="G826" t="s">
        <v>17</v>
      </c>
      <c r="H826">
        <v>2</v>
      </c>
      <c r="I826">
        <v>500</v>
      </c>
      <c r="J826">
        <v>185</v>
      </c>
      <c r="K826">
        <v>1000</v>
      </c>
      <c r="L826">
        <v>815</v>
      </c>
      <c r="M826">
        <v>0.81499999999999995</v>
      </c>
      <c r="N826" t="s">
        <v>21</v>
      </c>
    </row>
    <row r="827" spans="1:14">
      <c r="A827">
        <v>1578</v>
      </c>
      <c r="B827" s="4">
        <v>45250</v>
      </c>
      <c r="C827" s="5">
        <v>0.77986111111111112</v>
      </c>
      <c r="D827" t="s">
        <v>32</v>
      </c>
      <c r="E827" t="s">
        <v>23</v>
      </c>
      <c r="F827">
        <v>54</v>
      </c>
      <c r="G827" t="s">
        <v>17</v>
      </c>
      <c r="H827">
        <v>4</v>
      </c>
      <c r="I827">
        <v>30</v>
      </c>
      <c r="J827">
        <v>12</v>
      </c>
      <c r="K827">
        <v>120</v>
      </c>
      <c r="L827">
        <v>108</v>
      </c>
      <c r="M827">
        <v>0.9</v>
      </c>
      <c r="N827" t="s">
        <v>21</v>
      </c>
    </row>
    <row r="828" spans="1:14">
      <c r="A828">
        <v>1923</v>
      </c>
      <c r="B828" s="4">
        <v>44654</v>
      </c>
      <c r="C828" s="5">
        <v>0.73472222222222228</v>
      </c>
      <c r="D828" t="s">
        <v>145</v>
      </c>
      <c r="E828" t="s">
        <v>16</v>
      </c>
      <c r="F828">
        <v>32</v>
      </c>
      <c r="G828" t="s">
        <v>20</v>
      </c>
      <c r="H828">
        <v>3</v>
      </c>
      <c r="I828">
        <v>300</v>
      </c>
      <c r="J828">
        <v>159</v>
      </c>
      <c r="K828">
        <v>900</v>
      </c>
      <c r="L828">
        <v>741</v>
      </c>
      <c r="M828">
        <v>0.82333333333333336</v>
      </c>
      <c r="N828" t="s">
        <v>39</v>
      </c>
    </row>
    <row r="829" spans="1:14">
      <c r="A829">
        <v>307</v>
      </c>
      <c r="B829" s="4">
        <v>44876</v>
      </c>
      <c r="C829" s="5">
        <v>0.95416666666666672</v>
      </c>
      <c r="D829" t="s">
        <v>146</v>
      </c>
      <c r="E829" t="s">
        <v>23</v>
      </c>
      <c r="F829">
        <v>26</v>
      </c>
      <c r="G829" t="s">
        <v>30</v>
      </c>
      <c r="H829">
        <v>2</v>
      </c>
      <c r="I829">
        <v>25</v>
      </c>
      <c r="J829">
        <v>8.5</v>
      </c>
      <c r="K829">
        <v>50</v>
      </c>
      <c r="L829">
        <v>41.5</v>
      </c>
      <c r="M829">
        <v>0.83</v>
      </c>
      <c r="N829" t="s">
        <v>39</v>
      </c>
    </row>
    <row r="830" spans="1:14">
      <c r="A830">
        <v>561</v>
      </c>
      <c r="B830" s="4">
        <v>44771</v>
      </c>
      <c r="C830" s="5">
        <v>0.71111111111111114</v>
      </c>
      <c r="D830" t="s">
        <v>170</v>
      </c>
      <c r="E830" t="s">
        <v>23</v>
      </c>
      <c r="F830">
        <v>64</v>
      </c>
      <c r="G830" t="s">
        <v>17</v>
      </c>
      <c r="H830">
        <v>4</v>
      </c>
      <c r="I830">
        <v>500</v>
      </c>
      <c r="J830">
        <v>250</v>
      </c>
      <c r="K830">
        <v>2000</v>
      </c>
      <c r="L830">
        <v>1750</v>
      </c>
      <c r="M830">
        <v>0.875</v>
      </c>
      <c r="N830" t="s">
        <v>28</v>
      </c>
    </row>
    <row r="831" spans="1:14">
      <c r="A831">
        <v>651</v>
      </c>
      <c r="B831" s="4">
        <v>45197</v>
      </c>
      <c r="C831" s="5">
        <v>0.87638888888888888</v>
      </c>
      <c r="D831" t="s">
        <v>152</v>
      </c>
      <c r="E831" t="s">
        <v>16</v>
      </c>
      <c r="F831">
        <v>51</v>
      </c>
      <c r="G831" t="s">
        <v>17</v>
      </c>
      <c r="H831">
        <v>3</v>
      </c>
      <c r="I831">
        <v>50</v>
      </c>
      <c r="J831">
        <v>26</v>
      </c>
      <c r="K831">
        <v>150</v>
      </c>
      <c r="L831">
        <v>124</v>
      </c>
      <c r="M831">
        <v>0.82666666666666666</v>
      </c>
      <c r="N831" t="s">
        <v>21</v>
      </c>
    </row>
    <row r="832" spans="1:14">
      <c r="A832">
        <v>1307</v>
      </c>
      <c r="B832" s="4">
        <v>44590</v>
      </c>
      <c r="C832" s="5">
        <v>0.9243055555555556</v>
      </c>
      <c r="D832" t="s">
        <v>47</v>
      </c>
      <c r="E832" t="s">
        <v>23</v>
      </c>
      <c r="F832">
        <v>26</v>
      </c>
      <c r="G832" t="s">
        <v>30</v>
      </c>
      <c r="H832">
        <v>2</v>
      </c>
      <c r="I832">
        <v>25</v>
      </c>
      <c r="J832">
        <v>11.75</v>
      </c>
      <c r="K832">
        <v>50</v>
      </c>
      <c r="L832">
        <v>38.25</v>
      </c>
      <c r="M832">
        <v>0.76500000000000001</v>
      </c>
      <c r="N832" t="s">
        <v>39</v>
      </c>
    </row>
    <row r="833" spans="1:14">
      <c r="A833">
        <v>1561</v>
      </c>
      <c r="B833" s="4">
        <v>45186</v>
      </c>
      <c r="C833" s="5">
        <v>0.81805555555555554</v>
      </c>
      <c r="D833" t="s">
        <v>50</v>
      </c>
      <c r="E833" t="s">
        <v>23</v>
      </c>
      <c r="F833">
        <v>64</v>
      </c>
      <c r="G833" t="s">
        <v>17</v>
      </c>
      <c r="H833">
        <v>4</v>
      </c>
      <c r="I833">
        <v>500</v>
      </c>
      <c r="J833">
        <v>170</v>
      </c>
      <c r="K833">
        <v>2000</v>
      </c>
      <c r="L833">
        <v>1830</v>
      </c>
      <c r="M833">
        <v>0.91500000000000004</v>
      </c>
      <c r="N833" t="s">
        <v>28</v>
      </c>
    </row>
    <row r="834" spans="1:14">
      <c r="A834">
        <v>1651</v>
      </c>
      <c r="B834" s="4">
        <v>44899</v>
      </c>
      <c r="C834" s="5">
        <v>0.89513888888888893</v>
      </c>
      <c r="D834" t="s">
        <v>133</v>
      </c>
      <c r="E834" t="s">
        <v>16</v>
      </c>
      <c r="F834">
        <v>51</v>
      </c>
      <c r="G834" t="s">
        <v>17</v>
      </c>
      <c r="H834">
        <v>3</v>
      </c>
      <c r="I834">
        <v>50</v>
      </c>
      <c r="J834">
        <v>23.5</v>
      </c>
      <c r="K834">
        <v>150</v>
      </c>
      <c r="L834">
        <v>126.5</v>
      </c>
      <c r="M834">
        <v>0.84333333333333338</v>
      </c>
      <c r="N834" t="s">
        <v>21</v>
      </c>
    </row>
    <row r="835" spans="1:14">
      <c r="A835">
        <v>988</v>
      </c>
      <c r="B835" s="4">
        <v>44778</v>
      </c>
      <c r="C835" s="5">
        <v>0.77847222222222223</v>
      </c>
      <c r="D835" t="s">
        <v>24</v>
      </c>
      <c r="E835" t="s">
        <v>23</v>
      </c>
      <c r="F835">
        <v>63</v>
      </c>
      <c r="G835" t="s">
        <v>17</v>
      </c>
      <c r="H835">
        <v>3</v>
      </c>
      <c r="I835">
        <v>25</v>
      </c>
      <c r="J835">
        <v>8</v>
      </c>
      <c r="K835">
        <v>75</v>
      </c>
      <c r="L835">
        <v>67</v>
      </c>
      <c r="M835">
        <v>0.89333333333333331</v>
      </c>
      <c r="N835" t="s">
        <v>28</v>
      </c>
    </row>
    <row r="836" spans="1:14">
      <c r="A836">
        <v>1988</v>
      </c>
      <c r="B836" s="4">
        <v>45260</v>
      </c>
      <c r="C836" s="5">
        <v>0.78263888888888888</v>
      </c>
      <c r="D836" t="s">
        <v>27</v>
      </c>
      <c r="E836" t="s">
        <v>23</v>
      </c>
      <c r="F836">
        <v>63</v>
      </c>
      <c r="G836" t="s">
        <v>17</v>
      </c>
      <c r="H836">
        <v>3</v>
      </c>
      <c r="I836">
        <v>25</v>
      </c>
      <c r="J836">
        <v>7.25</v>
      </c>
      <c r="K836">
        <v>75</v>
      </c>
      <c r="L836">
        <v>67.75</v>
      </c>
      <c r="M836">
        <v>0.90333333333333332</v>
      </c>
      <c r="N836" t="s">
        <v>28</v>
      </c>
    </row>
    <row r="837" spans="1:14">
      <c r="A837">
        <v>67</v>
      </c>
      <c r="B837" s="4">
        <v>45157</v>
      </c>
      <c r="C837" s="5">
        <v>0.84652777777777777</v>
      </c>
      <c r="D837" t="s">
        <v>122</v>
      </c>
      <c r="E837" t="s">
        <v>23</v>
      </c>
      <c r="F837">
        <v>48</v>
      </c>
      <c r="G837" t="s">
        <v>20</v>
      </c>
      <c r="H837">
        <v>4</v>
      </c>
      <c r="I837">
        <v>300</v>
      </c>
      <c r="J837">
        <v>129</v>
      </c>
      <c r="K837">
        <v>1200</v>
      </c>
      <c r="L837">
        <v>1071</v>
      </c>
      <c r="M837">
        <v>0.89249999999999996</v>
      </c>
      <c r="N837" t="s">
        <v>21</v>
      </c>
    </row>
    <row r="838" spans="1:14">
      <c r="A838">
        <v>1067</v>
      </c>
      <c r="B838" s="4">
        <v>45202</v>
      </c>
      <c r="C838" s="5">
        <v>0.70902777777777781</v>
      </c>
      <c r="D838" t="s">
        <v>127</v>
      </c>
      <c r="E838" t="s">
        <v>23</v>
      </c>
      <c r="F838">
        <v>48</v>
      </c>
      <c r="G838" t="s">
        <v>20</v>
      </c>
      <c r="H838">
        <v>4</v>
      </c>
      <c r="I838">
        <v>300</v>
      </c>
      <c r="J838">
        <v>129</v>
      </c>
      <c r="K838">
        <v>1200</v>
      </c>
      <c r="L838">
        <v>1071</v>
      </c>
      <c r="M838">
        <v>0.89249999999999996</v>
      </c>
      <c r="N838" t="s">
        <v>21</v>
      </c>
    </row>
    <row r="839" spans="1:14">
      <c r="A839">
        <v>915</v>
      </c>
      <c r="B839" s="4">
        <v>45210</v>
      </c>
      <c r="C839" s="5">
        <v>0.79583333333333328</v>
      </c>
      <c r="D839" t="s">
        <v>135</v>
      </c>
      <c r="E839" t="s">
        <v>23</v>
      </c>
      <c r="F839">
        <v>26</v>
      </c>
      <c r="G839" t="s">
        <v>20</v>
      </c>
      <c r="H839">
        <v>3</v>
      </c>
      <c r="I839">
        <v>30</v>
      </c>
      <c r="J839">
        <v>12.9</v>
      </c>
      <c r="K839">
        <v>90</v>
      </c>
      <c r="L839">
        <v>77.099999999999994</v>
      </c>
      <c r="M839">
        <v>0.85666666666666658</v>
      </c>
      <c r="N839" t="s">
        <v>39</v>
      </c>
    </row>
    <row r="840" spans="1:14">
      <c r="A840">
        <v>985</v>
      </c>
      <c r="B840" s="4">
        <v>45090</v>
      </c>
      <c r="C840" s="5">
        <v>0.93958333333333333</v>
      </c>
      <c r="D840" t="s">
        <v>156</v>
      </c>
      <c r="E840" t="s">
        <v>23</v>
      </c>
      <c r="F840">
        <v>19</v>
      </c>
      <c r="G840" t="s">
        <v>30</v>
      </c>
      <c r="H840">
        <v>2</v>
      </c>
      <c r="I840">
        <v>25</v>
      </c>
      <c r="J840">
        <v>9</v>
      </c>
      <c r="K840">
        <v>50</v>
      </c>
      <c r="L840">
        <v>41</v>
      </c>
      <c r="M840">
        <v>0.82</v>
      </c>
      <c r="N840" t="s">
        <v>31</v>
      </c>
    </row>
    <row r="841" spans="1:14">
      <c r="A841">
        <v>1915</v>
      </c>
      <c r="B841" s="4">
        <v>45117</v>
      </c>
      <c r="C841" s="5">
        <v>0.95138888888888884</v>
      </c>
      <c r="D841" t="s">
        <v>158</v>
      </c>
      <c r="E841" t="s">
        <v>23</v>
      </c>
      <c r="F841">
        <v>26</v>
      </c>
      <c r="G841" t="s">
        <v>20</v>
      </c>
      <c r="H841">
        <v>3</v>
      </c>
      <c r="I841">
        <v>30</v>
      </c>
      <c r="J841">
        <v>9.3000000000000007</v>
      </c>
      <c r="K841">
        <v>90</v>
      </c>
      <c r="L841">
        <v>80.7</v>
      </c>
      <c r="M841">
        <v>0.89666666666666672</v>
      </c>
      <c r="N841" t="s">
        <v>39</v>
      </c>
    </row>
    <row r="842" spans="1:14">
      <c r="A842">
        <v>1985</v>
      </c>
      <c r="B842" s="4">
        <v>45016</v>
      </c>
      <c r="C842" s="5">
        <v>0.84375</v>
      </c>
      <c r="D842" t="s">
        <v>156</v>
      </c>
      <c r="E842" t="s">
        <v>23</v>
      </c>
      <c r="F842">
        <v>19</v>
      </c>
      <c r="G842" t="s">
        <v>30</v>
      </c>
      <c r="H842">
        <v>2</v>
      </c>
      <c r="I842">
        <v>25</v>
      </c>
      <c r="J842">
        <v>9.75</v>
      </c>
      <c r="K842">
        <v>50</v>
      </c>
      <c r="L842">
        <v>40.25</v>
      </c>
      <c r="M842">
        <v>0.80500000000000005</v>
      </c>
      <c r="N842" t="s">
        <v>31</v>
      </c>
    </row>
    <row r="843" spans="1:14">
      <c r="A843">
        <v>56</v>
      </c>
      <c r="B843" s="4">
        <v>44922</v>
      </c>
      <c r="C843" s="5">
        <v>0.81736111111111109</v>
      </c>
      <c r="D843" t="s">
        <v>111</v>
      </c>
      <c r="E843" t="s">
        <v>23</v>
      </c>
      <c r="F843">
        <v>26</v>
      </c>
      <c r="G843" t="s">
        <v>17</v>
      </c>
      <c r="H843">
        <v>3</v>
      </c>
      <c r="I843">
        <v>300</v>
      </c>
      <c r="J843">
        <v>120</v>
      </c>
      <c r="K843">
        <v>900</v>
      </c>
      <c r="L843">
        <v>780</v>
      </c>
      <c r="M843">
        <v>0.8666666666666667</v>
      </c>
      <c r="N843" t="s">
        <v>39</v>
      </c>
    </row>
    <row r="844" spans="1:14">
      <c r="A844">
        <v>159</v>
      </c>
      <c r="B844" s="4">
        <v>44875</v>
      </c>
      <c r="C844" s="5">
        <v>0.89583333333333337</v>
      </c>
      <c r="D844" t="s">
        <v>123</v>
      </c>
      <c r="E844" t="s">
        <v>16</v>
      </c>
      <c r="F844">
        <v>26</v>
      </c>
      <c r="G844" t="s">
        <v>17</v>
      </c>
      <c r="H844">
        <v>4</v>
      </c>
      <c r="I844">
        <v>50</v>
      </c>
      <c r="J844">
        <v>23.5</v>
      </c>
      <c r="K844">
        <v>200</v>
      </c>
      <c r="L844">
        <v>176.5</v>
      </c>
      <c r="M844">
        <v>0.88249999999999995</v>
      </c>
      <c r="N844" t="s">
        <v>39</v>
      </c>
    </row>
    <row r="845" spans="1:14">
      <c r="A845">
        <v>862</v>
      </c>
      <c r="B845" s="4">
        <v>44906</v>
      </c>
      <c r="C845" s="5">
        <v>0.90069444444444446</v>
      </c>
      <c r="D845" t="s">
        <v>91</v>
      </c>
      <c r="E845" t="s">
        <v>16</v>
      </c>
      <c r="F845">
        <v>28</v>
      </c>
      <c r="G845" t="s">
        <v>30</v>
      </c>
      <c r="H845">
        <v>4</v>
      </c>
      <c r="I845">
        <v>300</v>
      </c>
      <c r="J845">
        <v>78</v>
      </c>
      <c r="K845">
        <v>1200</v>
      </c>
      <c r="L845">
        <v>1122</v>
      </c>
      <c r="M845">
        <v>0.93500000000000005</v>
      </c>
      <c r="N845" t="s">
        <v>39</v>
      </c>
    </row>
    <row r="846" spans="1:14">
      <c r="A846">
        <v>1056</v>
      </c>
      <c r="B846" s="4">
        <v>44668</v>
      </c>
      <c r="C846" s="5">
        <v>0.82361111111111107</v>
      </c>
      <c r="D846" t="s">
        <v>29</v>
      </c>
      <c r="E846" t="s">
        <v>23</v>
      </c>
      <c r="F846">
        <v>26</v>
      </c>
      <c r="G846" t="s">
        <v>17</v>
      </c>
      <c r="H846">
        <v>3</v>
      </c>
      <c r="I846">
        <v>300</v>
      </c>
      <c r="J846">
        <v>114</v>
      </c>
      <c r="K846">
        <v>900</v>
      </c>
      <c r="L846">
        <v>786</v>
      </c>
      <c r="M846">
        <v>0.87333333333333329</v>
      </c>
      <c r="N846" t="s">
        <v>39</v>
      </c>
    </row>
    <row r="847" spans="1:14">
      <c r="A847">
        <v>1159</v>
      </c>
      <c r="B847" s="4">
        <v>45018</v>
      </c>
      <c r="C847" s="5">
        <v>0.75555555555555554</v>
      </c>
      <c r="D847" t="s">
        <v>77</v>
      </c>
      <c r="E847" t="s">
        <v>16</v>
      </c>
      <c r="F847">
        <v>26</v>
      </c>
      <c r="G847" t="s">
        <v>17</v>
      </c>
      <c r="H847">
        <v>4</v>
      </c>
      <c r="I847">
        <v>50</v>
      </c>
      <c r="J847">
        <v>18</v>
      </c>
      <c r="K847">
        <v>200</v>
      </c>
      <c r="L847">
        <v>182</v>
      </c>
      <c r="M847">
        <v>0.91</v>
      </c>
      <c r="N847" t="s">
        <v>39</v>
      </c>
    </row>
    <row r="848" spans="1:14">
      <c r="A848">
        <v>1862</v>
      </c>
      <c r="B848" s="4">
        <v>44598</v>
      </c>
      <c r="C848" s="5">
        <v>0.95138888888888884</v>
      </c>
      <c r="D848" t="s">
        <v>167</v>
      </c>
      <c r="E848" t="s">
        <v>16</v>
      </c>
      <c r="F848">
        <v>28</v>
      </c>
      <c r="G848" t="s">
        <v>30</v>
      </c>
      <c r="H848">
        <v>4</v>
      </c>
      <c r="I848">
        <v>300</v>
      </c>
      <c r="J848">
        <v>165</v>
      </c>
      <c r="K848">
        <v>1200</v>
      </c>
      <c r="L848">
        <v>1035</v>
      </c>
      <c r="M848">
        <v>0.86250000000000004</v>
      </c>
      <c r="N848" t="s">
        <v>39</v>
      </c>
    </row>
    <row r="849" spans="1:14">
      <c r="A849">
        <v>315</v>
      </c>
      <c r="B849" s="4">
        <v>45110</v>
      </c>
      <c r="C849" s="5">
        <v>0.78680555555555554</v>
      </c>
      <c r="D849" t="s">
        <v>106</v>
      </c>
      <c r="E849" t="s">
        <v>16</v>
      </c>
      <c r="F849">
        <v>47</v>
      </c>
      <c r="G849" t="s">
        <v>17</v>
      </c>
      <c r="H849">
        <v>2</v>
      </c>
      <c r="I849">
        <v>30</v>
      </c>
      <c r="J849">
        <v>15</v>
      </c>
      <c r="K849">
        <v>60</v>
      </c>
      <c r="L849">
        <v>45</v>
      </c>
      <c r="M849">
        <v>0.75</v>
      </c>
      <c r="N849" t="s">
        <v>21</v>
      </c>
    </row>
    <row r="850" spans="1:14">
      <c r="A850">
        <v>545</v>
      </c>
      <c r="B850" s="4">
        <v>45279</v>
      </c>
      <c r="C850" s="5">
        <v>0.72083333333333333</v>
      </c>
      <c r="D850" t="s">
        <v>89</v>
      </c>
      <c r="E850" t="s">
        <v>16</v>
      </c>
      <c r="F850">
        <v>27</v>
      </c>
      <c r="G850" t="s">
        <v>17</v>
      </c>
      <c r="H850">
        <v>2</v>
      </c>
      <c r="I850">
        <v>25</v>
      </c>
      <c r="J850">
        <v>8.25</v>
      </c>
      <c r="K850">
        <v>50</v>
      </c>
      <c r="L850">
        <v>41.75</v>
      </c>
      <c r="M850">
        <v>0.83499999999999996</v>
      </c>
      <c r="N850" t="s">
        <v>39</v>
      </c>
    </row>
    <row r="851" spans="1:14">
      <c r="A851">
        <v>902</v>
      </c>
      <c r="B851" s="4">
        <v>44606</v>
      </c>
      <c r="C851" s="5">
        <v>0.71944444444444444</v>
      </c>
      <c r="D851" t="s">
        <v>171</v>
      </c>
      <c r="E851" t="s">
        <v>23</v>
      </c>
      <c r="F851">
        <v>54</v>
      </c>
      <c r="G851" t="s">
        <v>20</v>
      </c>
      <c r="H851">
        <v>1</v>
      </c>
      <c r="I851">
        <v>50</v>
      </c>
      <c r="J851">
        <v>21.5</v>
      </c>
      <c r="K851">
        <v>50</v>
      </c>
      <c r="L851">
        <v>28.5</v>
      </c>
      <c r="M851">
        <v>0.56999999999999995</v>
      </c>
      <c r="N851" t="s">
        <v>21</v>
      </c>
    </row>
    <row r="852" spans="1:14">
      <c r="A852">
        <v>1315</v>
      </c>
      <c r="B852" s="4">
        <v>44804</v>
      </c>
      <c r="C852" s="5">
        <v>0.86944444444444446</v>
      </c>
      <c r="D852" t="s">
        <v>160</v>
      </c>
      <c r="E852" t="s">
        <v>16</v>
      </c>
      <c r="F852">
        <v>47</v>
      </c>
      <c r="G852" t="s">
        <v>17</v>
      </c>
      <c r="H852">
        <v>2</v>
      </c>
      <c r="I852">
        <v>30</v>
      </c>
      <c r="J852">
        <v>12.9</v>
      </c>
      <c r="K852">
        <v>60</v>
      </c>
      <c r="L852">
        <v>47.1</v>
      </c>
      <c r="M852">
        <v>0.78500000000000003</v>
      </c>
      <c r="N852" t="s">
        <v>21</v>
      </c>
    </row>
    <row r="853" spans="1:14">
      <c r="A853">
        <v>1545</v>
      </c>
      <c r="B853" s="4">
        <v>45122</v>
      </c>
      <c r="C853" s="5">
        <v>0.76458333333333328</v>
      </c>
      <c r="D853" t="s">
        <v>50</v>
      </c>
      <c r="E853" t="s">
        <v>16</v>
      </c>
      <c r="F853">
        <v>27</v>
      </c>
      <c r="G853" t="s">
        <v>17</v>
      </c>
      <c r="H853">
        <v>2</v>
      </c>
      <c r="I853">
        <v>25</v>
      </c>
      <c r="J853">
        <v>8.25</v>
      </c>
      <c r="K853">
        <v>50</v>
      </c>
      <c r="L853">
        <v>41.75</v>
      </c>
      <c r="M853">
        <v>0.83499999999999996</v>
      </c>
      <c r="N853" t="s">
        <v>39</v>
      </c>
    </row>
    <row r="854" spans="1:14">
      <c r="A854">
        <v>1902</v>
      </c>
      <c r="B854" s="4">
        <v>44916</v>
      </c>
      <c r="C854" s="5">
        <v>0.71666666666666667</v>
      </c>
      <c r="D854" t="s">
        <v>111</v>
      </c>
      <c r="E854" t="s">
        <v>23</v>
      </c>
      <c r="F854">
        <v>54</v>
      </c>
      <c r="G854" t="s">
        <v>20</v>
      </c>
      <c r="H854">
        <v>1</v>
      </c>
      <c r="I854">
        <v>50</v>
      </c>
      <c r="J854">
        <v>14</v>
      </c>
      <c r="K854">
        <v>50</v>
      </c>
      <c r="L854">
        <v>36</v>
      </c>
      <c r="M854">
        <v>0.72</v>
      </c>
      <c r="N854" t="s">
        <v>21</v>
      </c>
    </row>
    <row r="855" spans="1:14">
      <c r="A855">
        <v>170</v>
      </c>
      <c r="B855" s="4">
        <v>45190</v>
      </c>
      <c r="C855" s="5">
        <v>0.86527777777777781</v>
      </c>
      <c r="D855" t="s">
        <v>125</v>
      </c>
      <c r="E855" t="s">
        <v>23</v>
      </c>
      <c r="F855">
        <v>25</v>
      </c>
      <c r="G855" t="s">
        <v>17</v>
      </c>
      <c r="H855">
        <v>2</v>
      </c>
      <c r="I855">
        <v>25</v>
      </c>
      <c r="J855">
        <v>12.5</v>
      </c>
      <c r="K855">
        <v>50</v>
      </c>
      <c r="L855">
        <v>37.5</v>
      </c>
      <c r="M855">
        <v>0.75</v>
      </c>
      <c r="N855" t="s">
        <v>31</v>
      </c>
    </row>
    <row r="856" spans="1:14">
      <c r="A856">
        <v>685</v>
      </c>
      <c r="B856" s="4">
        <v>45111</v>
      </c>
      <c r="C856" s="5">
        <v>0.92708333333333337</v>
      </c>
      <c r="D856" t="s">
        <v>78</v>
      </c>
      <c r="E856" t="s">
        <v>16</v>
      </c>
      <c r="F856">
        <v>57</v>
      </c>
      <c r="G856" t="s">
        <v>30</v>
      </c>
      <c r="H856">
        <v>2</v>
      </c>
      <c r="I856">
        <v>25</v>
      </c>
      <c r="J856">
        <v>7.75</v>
      </c>
      <c r="K856">
        <v>50</v>
      </c>
      <c r="L856">
        <v>42.25</v>
      </c>
      <c r="M856">
        <v>0.84499999999999997</v>
      </c>
      <c r="N856" t="s">
        <v>28</v>
      </c>
    </row>
    <row r="857" spans="1:14">
      <c r="A857">
        <v>958</v>
      </c>
      <c r="B857" s="4">
        <v>44562</v>
      </c>
      <c r="C857" s="5">
        <v>0.88472222222222219</v>
      </c>
      <c r="D857" t="s">
        <v>57</v>
      </c>
      <c r="E857" t="s">
        <v>16</v>
      </c>
      <c r="F857">
        <v>62</v>
      </c>
      <c r="G857" t="s">
        <v>30</v>
      </c>
      <c r="H857">
        <v>2</v>
      </c>
      <c r="I857">
        <v>25</v>
      </c>
      <c r="J857">
        <v>11</v>
      </c>
      <c r="K857">
        <v>50</v>
      </c>
      <c r="L857">
        <v>39</v>
      </c>
      <c r="M857">
        <v>0.78</v>
      </c>
      <c r="N857" t="s">
        <v>28</v>
      </c>
    </row>
    <row r="858" spans="1:14">
      <c r="A858">
        <v>1170</v>
      </c>
      <c r="B858" s="4">
        <v>44932</v>
      </c>
      <c r="C858" s="5">
        <v>0.71736111111111112</v>
      </c>
      <c r="D858" t="s">
        <v>157</v>
      </c>
      <c r="E858" t="s">
        <v>23</v>
      </c>
      <c r="F858">
        <v>25</v>
      </c>
      <c r="G858" t="s">
        <v>17</v>
      </c>
      <c r="H858">
        <v>2</v>
      </c>
      <c r="I858">
        <v>25</v>
      </c>
      <c r="J858">
        <v>8</v>
      </c>
      <c r="K858">
        <v>50</v>
      </c>
      <c r="L858">
        <v>42</v>
      </c>
      <c r="M858">
        <v>0.84</v>
      </c>
      <c r="N858" t="s">
        <v>31</v>
      </c>
    </row>
    <row r="859" spans="1:14">
      <c r="A859">
        <v>1685</v>
      </c>
      <c r="B859" s="4">
        <v>44671</v>
      </c>
      <c r="C859" s="5">
        <v>0.85555555555555551</v>
      </c>
      <c r="D859" t="s">
        <v>130</v>
      </c>
      <c r="E859" t="s">
        <v>16</v>
      </c>
      <c r="F859">
        <v>57</v>
      </c>
      <c r="G859" t="s">
        <v>30</v>
      </c>
      <c r="H859">
        <v>2</v>
      </c>
      <c r="I859">
        <v>25</v>
      </c>
      <c r="J859">
        <v>8.75</v>
      </c>
      <c r="K859">
        <v>50</v>
      </c>
      <c r="L859">
        <v>41.25</v>
      </c>
      <c r="M859">
        <v>0.82499999999999996</v>
      </c>
      <c r="N859" t="s">
        <v>28</v>
      </c>
    </row>
    <row r="860" spans="1:14">
      <c r="A860">
        <v>1958</v>
      </c>
      <c r="B860" s="4">
        <v>44892</v>
      </c>
      <c r="C860" s="5">
        <v>0.80486111111111114</v>
      </c>
      <c r="D860" t="s">
        <v>125</v>
      </c>
      <c r="E860" t="s">
        <v>16</v>
      </c>
      <c r="F860">
        <v>62</v>
      </c>
      <c r="G860" t="s">
        <v>30</v>
      </c>
      <c r="H860">
        <v>2</v>
      </c>
      <c r="I860">
        <v>25</v>
      </c>
      <c r="J860">
        <v>11.75</v>
      </c>
      <c r="K860">
        <v>50</v>
      </c>
      <c r="L860">
        <v>38.25</v>
      </c>
      <c r="M860">
        <v>0.76500000000000001</v>
      </c>
      <c r="N860" t="s">
        <v>28</v>
      </c>
    </row>
    <row r="861" spans="1:14">
      <c r="A861">
        <v>363</v>
      </c>
      <c r="B861" s="4">
        <v>44704</v>
      </c>
      <c r="C861" s="5">
        <v>0.95208333333333328</v>
      </c>
      <c r="D861" t="s">
        <v>172</v>
      </c>
      <c r="E861" t="s">
        <v>16</v>
      </c>
      <c r="F861">
        <v>64</v>
      </c>
      <c r="G861" t="s">
        <v>20</v>
      </c>
      <c r="H861">
        <v>1</v>
      </c>
      <c r="I861">
        <v>25</v>
      </c>
      <c r="J861">
        <v>13.5</v>
      </c>
      <c r="K861">
        <v>25</v>
      </c>
      <c r="L861">
        <v>11.5</v>
      </c>
      <c r="M861">
        <v>0.46</v>
      </c>
      <c r="N861" t="s">
        <v>28</v>
      </c>
    </row>
    <row r="862" spans="1:14">
      <c r="A862">
        <v>394</v>
      </c>
      <c r="B862" s="4">
        <v>44792</v>
      </c>
      <c r="C862" s="5">
        <v>0.81041666666666667</v>
      </c>
      <c r="D862" t="s">
        <v>127</v>
      </c>
      <c r="E862" t="s">
        <v>23</v>
      </c>
      <c r="F862">
        <v>27</v>
      </c>
      <c r="G862" t="s">
        <v>17</v>
      </c>
      <c r="H862">
        <v>1</v>
      </c>
      <c r="I862">
        <v>500</v>
      </c>
      <c r="J862">
        <v>165</v>
      </c>
      <c r="K862">
        <v>500</v>
      </c>
      <c r="L862">
        <v>335</v>
      </c>
      <c r="M862">
        <v>0.67</v>
      </c>
      <c r="N862" t="s">
        <v>39</v>
      </c>
    </row>
    <row r="863" spans="1:14">
      <c r="A863">
        <v>537</v>
      </c>
      <c r="B863" s="4">
        <v>45200</v>
      </c>
      <c r="C863" s="5">
        <v>0.75486111111111109</v>
      </c>
      <c r="D863" t="s">
        <v>45</v>
      </c>
      <c r="E863" t="s">
        <v>23</v>
      </c>
      <c r="F863">
        <v>21</v>
      </c>
      <c r="G863" t="s">
        <v>20</v>
      </c>
      <c r="H863">
        <v>1</v>
      </c>
      <c r="I863">
        <v>500</v>
      </c>
      <c r="J863">
        <v>275</v>
      </c>
      <c r="K863">
        <v>500</v>
      </c>
      <c r="L863">
        <v>225</v>
      </c>
      <c r="M863">
        <v>0.45</v>
      </c>
      <c r="N863" t="s">
        <v>31</v>
      </c>
    </row>
    <row r="864" spans="1:14">
      <c r="A864">
        <v>1363</v>
      </c>
      <c r="B864" s="4">
        <v>45111</v>
      </c>
      <c r="C864" s="5">
        <v>0.8520833333333333</v>
      </c>
      <c r="D864" t="s">
        <v>86</v>
      </c>
      <c r="E864" t="s">
        <v>16</v>
      </c>
      <c r="F864">
        <v>64</v>
      </c>
      <c r="G864" t="s">
        <v>20</v>
      </c>
      <c r="H864">
        <v>1</v>
      </c>
      <c r="I864">
        <v>25</v>
      </c>
      <c r="J864">
        <v>7.75</v>
      </c>
      <c r="K864">
        <v>25</v>
      </c>
      <c r="L864">
        <v>17.25</v>
      </c>
      <c r="M864">
        <v>0.69</v>
      </c>
      <c r="N864" t="s">
        <v>28</v>
      </c>
    </row>
    <row r="865" spans="1:14">
      <c r="A865">
        <v>1394</v>
      </c>
      <c r="B865" s="4">
        <v>44668</v>
      </c>
      <c r="C865" s="5">
        <v>0.83750000000000002</v>
      </c>
      <c r="D865" t="s">
        <v>160</v>
      </c>
      <c r="E865" t="s">
        <v>23</v>
      </c>
      <c r="F865">
        <v>27</v>
      </c>
      <c r="G865" t="s">
        <v>17</v>
      </c>
      <c r="H865">
        <v>1</v>
      </c>
      <c r="I865">
        <v>500</v>
      </c>
      <c r="J865">
        <v>250</v>
      </c>
      <c r="K865">
        <v>500</v>
      </c>
      <c r="L865">
        <v>250</v>
      </c>
      <c r="M865">
        <v>0.5</v>
      </c>
      <c r="N865" t="s">
        <v>39</v>
      </c>
    </row>
    <row r="866" spans="1:14">
      <c r="A866">
        <v>1537</v>
      </c>
      <c r="B866" s="4">
        <v>44894</v>
      </c>
      <c r="C866" s="5">
        <v>0.74791666666666667</v>
      </c>
      <c r="D866" t="s">
        <v>57</v>
      </c>
      <c r="E866" t="s">
        <v>23</v>
      </c>
      <c r="F866">
        <v>21</v>
      </c>
      <c r="G866" t="s">
        <v>20</v>
      </c>
      <c r="H866">
        <v>1</v>
      </c>
      <c r="I866">
        <v>500</v>
      </c>
      <c r="J866">
        <v>140</v>
      </c>
      <c r="K866">
        <v>500</v>
      </c>
      <c r="L866">
        <v>360</v>
      </c>
      <c r="M866">
        <v>0.72</v>
      </c>
      <c r="N866" t="s">
        <v>31</v>
      </c>
    </row>
    <row r="867" spans="1:14">
      <c r="A867">
        <v>387</v>
      </c>
      <c r="B867" s="4">
        <v>44952</v>
      </c>
      <c r="C867" s="5">
        <v>0.91527777777777775</v>
      </c>
      <c r="D867" t="s">
        <v>114</v>
      </c>
      <c r="E867" t="s">
        <v>16</v>
      </c>
      <c r="F867">
        <v>44</v>
      </c>
      <c r="G867" t="s">
        <v>20</v>
      </c>
      <c r="H867">
        <v>1</v>
      </c>
      <c r="I867">
        <v>30</v>
      </c>
      <c r="J867">
        <v>9</v>
      </c>
      <c r="K867">
        <v>30</v>
      </c>
      <c r="L867">
        <v>21</v>
      </c>
      <c r="M867">
        <v>0.7</v>
      </c>
      <c r="N867" t="s">
        <v>18</v>
      </c>
    </row>
    <row r="868" spans="1:14">
      <c r="A868">
        <v>556</v>
      </c>
      <c r="B868" s="4">
        <v>44597</v>
      </c>
      <c r="C868" s="5">
        <v>0.73402777777777772</v>
      </c>
      <c r="D868" t="s">
        <v>123</v>
      </c>
      <c r="E868" t="s">
        <v>23</v>
      </c>
      <c r="F868">
        <v>18</v>
      </c>
      <c r="G868" t="s">
        <v>30</v>
      </c>
      <c r="H868">
        <v>1</v>
      </c>
      <c r="I868">
        <v>50</v>
      </c>
      <c r="J868">
        <v>12.5</v>
      </c>
      <c r="K868">
        <v>50</v>
      </c>
      <c r="L868">
        <v>37.5</v>
      </c>
      <c r="M868">
        <v>0.75</v>
      </c>
      <c r="N868" t="s">
        <v>31</v>
      </c>
    </row>
    <row r="869" spans="1:14">
      <c r="A869">
        <v>782</v>
      </c>
      <c r="B869" s="4">
        <v>44664</v>
      </c>
      <c r="C869" s="5">
        <v>0.91041666666666665</v>
      </c>
      <c r="D869" t="s">
        <v>67</v>
      </c>
      <c r="E869" t="s">
        <v>16</v>
      </c>
      <c r="F869">
        <v>59</v>
      </c>
      <c r="G869" t="s">
        <v>17</v>
      </c>
      <c r="H869">
        <v>3</v>
      </c>
      <c r="I869">
        <v>300</v>
      </c>
      <c r="J869">
        <v>150</v>
      </c>
      <c r="K869">
        <v>900</v>
      </c>
      <c r="L869">
        <v>750</v>
      </c>
      <c r="M869">
        <v>0.83333333333333337</v>
      </c>
      <c r="N869" t="s">
        <v>28</v>
      </c>
    </row>
    <row r="870" spans="1:14">
      <c r="A870">
        <v>906</v>
      </c>
      <c r="B870" s="4">
        <v>44761</v>
      </c>
      <c r="C870" s="5">
        <v>0.74652777777777779</v>
      </c>
      <c r="D870" t="s">
        <v>33</v>
      </c>
      <c r="E870" t="s">
        <v>23</v>
      </c>
      <c r="F870">
        <v>20</v>
      </c>
      <c r="G870" t="s">
        <v>17</v>
      </c>
      <c r="H870">
        <v>1</v>
      </c>
      <c r="I870">
        <v>50</v>
      </c>
      <c r="J870">
        <v>17</v>
      </c>
      <c r="K870">
        <v>50</v>
      </c>
      <c r="L870">
        <v>33</v>
      </c>
      <c r="M870">
        <v>0.66</v>
      </c>
      <c r="N870" t="s">
        <v>31</v>
      </c>
    </row>
    <row r="871" spans="1:14">
      <c r="A871">
        <v>1387</v>
      </c>
      <c r="B871" s="4">
        <v>44768</v>
      </c>
      <c r="C871" s="5">
        <v>0.7416666666666667</v>
      </c>
      <c r="D871" t="s">
        <v>96</v>
      </c>
      <c r="E871" t="s">
        <v>16</v>
      </c>
      <c r="F871">
        <v>44</v>
      </c>
      <c r="G871" t="s">
        <v>20</v>
      </c>
      <c r="H871">
        <v>1</v>
      </c>
      <c r="I871">
        <v>30</v>
      </c>
      <c r="J871">
        <v>15.6</v>
      </c>
      <c r="K871">
        <v>30</v>
      </c>
      <c r="L871">
        <v>14.4</v>
      </c>
      <c r="M871">
        <v>0.48000000000000004</v>
      </c>
      <c r="N871" t="s">
        <v>18</v>
      </c>
    </row>
    <row r="872" spans="1:14">
      <c r="A872">
        <v>1556</v>
      </c>
      <c r="B872" s="4">
        <v>45063</v>
      </c>
      <c r="C872" s="5">
        <v>0.80069444444444449</v>
      </c>
      <c r="D872" t="s">
        <v>163</v>
      </c>
      <c r="E872" t="s">
        <v>23</v>
      </c>
      <c r="F872">
        <v>18</v>
      </c>
      <c r="G872" t="s">
        <v>30</v>
      </c>
      <c r="H872">
        <v>1</v>
      </c>
      <c r="I872">
        <v>50</v>
      </c>
      <c r="J872">
        <v>22.5</v>
      </c>
      <c r="K872">
        <v>50</v>
      </c>
      <c r="L872">
        <v>27.5</v>
      </c>
      <c r="M872">
        <v>0.55000000000000004</v>
      </c>
      <c r="N872" t="s">
        <v>31</v>
      </c>
    </row>
    <row r="873" spans="1:14">
      <c r="A873">
        <v>1782</v>
      </c>
      <c r="B873" s="4">
        <v>45023</v>
      </c>
      <c r="C873" s="5">
        <v>0.84930555555555554</v>
      </c>
      <c r="D873" t="s">
        <v>57</v>
      </c>
      <c r="E873" t="s">
        <v>16</v>
      </c>
      <c r="F873">
        <v>59</v>
      </c>
      <c r="G873" t="s">
        <v>17</v>
      </c>
      <c r="H873">
        <v>3</v>
      </c>
      <c r="I873">
        <v>300</v>
      </c>
      <c r="J873">
        <v>141</v>
      </c>
      <c r="K873">
        <v>900</v>
      </c>
      <c r="L873">
        <v>759</v>
      </c>
      <c r="M873">
        <v>0.84333333333333338</v>
      </c>
      <c r="N873" t="s">
        <v>28</v>
      </c>
    </row>
    <row r="874" spans="1:14">
      <c r="A874">
        <v>1906</v>
      </c>
      <c r="B874" s="4">
        <v>44835</v>
      </c>
      <c r="C874" s="5">
        <v>0.84027777777777779</v>
      </c>
      <c r="D874" t="s">
        <v>35</v>
      </c>
      <c r="E874" t="s">
        <v>23</v>
      </c>
      <c r="F874">
        <v>20</v>
      </c>
      <c r="G874" t="s">
        <v>17</v>
      </c>
      <c r="H874">
        <v>1</v>
      </c>
      <c r="I874">
        <v>50</v>
      </c>
      <c r="J874">
        <v>26.5</v>
      </c>
      <c r="K874">
        <v>50</v>
      </c>
      <c r="L874">
        <v>23.5</v>
      </c>
      <c r="M874">
        <v>0.47</v>
      </c>
      <c r="N874" t="s">
        <v>31</v>
      </c>
    </row>
    <row r="875" spans="1:14">
      <c r="A875">
        <v>560</v>
      </c>
      <c r="B875" s="4">
        <v>45222</v>
      </c>
      <c r="C875" s="5">
        <v>0.95208333333333328</v>
      </c>
      <c r="D875" t="s">
        <v>105</v>
      </c>
      <c r="E875" t="s">
        <v>23</v>
      </c>
      <c r="F875">
        <v>25</v>
      </c>
      <c r="G875" t="s">
        <v>30</v>
      </c>
      <c r="H875">
        <v>1</v>
      </c>
      <c r="I875">
        <v>50</v>
      </c>
      <c r="J875">
        <v>19</v>
      </c>
      <c r="K875">
        <v>50</v>
      </c>
      <c r="L875">
        <v>31</v>
      </c>
      <c r="M875">
        <v>0.62</v>
      </c>
      <c r="N875" t="s">
        <v>31</v>
      </c>
    </row>
    <row r="876" spans="1:14">
      <c r="A876">
        <v>944</v>
      </c>
      <c r="B876" s="4">
        <v>44796</v>
      </c>
      <c r="C876" s="5">
        <v>0.84861111111111109</v>
      </c>
      <c r="D876" t="s">
        <v>113</v>
      </c>
      <c r="E876" t="s">
        <v>16</v>
      </c>
      <c r="F876">
        <v>44</v>
      </c>
      <c r="G876" t="s">
        <v>17</v>
      </c>
      <c r="H876">
        <v>2</v>
      </c>
      <c r="I876">
        <v>25</v>
      </c>
      <c r="J876">
        <v>12</v>
      </c>
      <c r="K876">
        <v>50</v>
      </c>
      <c r="L876">
        <v>38</v>
      </c>
      <c r="M876">
        <v>0.76</v>
      </c>
      <c r="N876" t="s">
        <v>18</v>
      </c>
    </row>
    <row r="877" spans="1:14">
      <c r="A877">
        <v>1560</v>
      </c>
      <c r="B877" s="4">
        <v>44878</v>
      </c>
      <c r="C877" s="5">
        <v>0.71944444444444444</v>
      </c>
      <c r="D877" t="s">
        <v>173</v>
      </c>
      <c r="E877" t="s">
        <v>23</v>
      </c>
      <c r="F877">
        <v>25</v>
      </c>
      <c r="G877" t="s">
        <v>30</v>
      </c>
      <c r="H877">
        <v>1</v>
      </c>
      <c r="I877">
        <v>50</v>
      </c>
      <c r="J877">
        <v>18.5</v>
      </c>
      <c r="K877">
        <v>50</v>
      </c>
      <c r="L877">
        <v>31.5</v>
      </c>
      <c r="M877">
        <v>0.63</v>
      </c>
      <c r="N877" t="s">
        <v>31</v>
      </c>
    </row>
    <row r="878" spans="1:14">
      <c r="A878">
        <v>1944</v>
      </c>
      <c r="B878" s="4">
        <v>45125</v>
      </c>
      <c r="C878" s="5">
        <v>0.88055555555555554</v>
      </c>
      <c r="D878" t="s">
        <v>138</v>
      </c>
      <c r="E878" t="s">
        <v>16</v>
      </c>
      <c r="F878">
        <v>44</v>
      </c>
      <c r="G878" t="s">
        <v>17</v>
      </c>
      <c r="H878">
        <v>2</v>
      </c>
      <c r="I878">
        <v>25</v>
      </c>
      <c r="J878">
        <v>6.5</v>
      </c>
      <c r="K878">
        <v>50</v>
      </c>
      <c r="L878">
        <v>43.5</v>
      </c>
      <c r="M878">
        <v>0.87</v>
      </c>
      <c r="N878" t="s">
        <v>18</v>
      </c>
    </row>
    <row r="879" spans="1:14">
      <c r="A879">
        <v>481</v>
      </c>
      <c r="B879" s="4">
        <v>45120</v>
      </c>
      <c r="C879" s="5">
        <v>0.71666666666666667</v>
      </c>
      <c r="D879" t="s">
        <v>25</v>
      </c>
      <c r="E879" t="s">
        <v>23</v>
      </c>
      <c r="F879">
        <v>43</v>
      </c>
      <c r="G879" t="s">
        <v>30</v>
      </c>
      <c r="H879">
        <v>4</v>
      </c>
      <c r="I879">
        <v>300</v>
      </c>
      <c r="J879">
        <v>114</v>
      </c>
      <c r="K879">
        <v>1200</v>
      </c>
      <c r="L879">
        <v>1086</v>
      </c>
      <c r="M879">
        <v>0.90500000000000003</v>
      </c>
      <c r="N879" t="s">
        <v>18</v>
      </c>
    </row>
    <row r="880" spans="1:14">
      <c r="A880">
        <v>867</v>
      </c>
      <c r="B880" s="4">
        <v>44766</v>
      </c>
      <c r="C880" s="5">
        <v>0.94444444444444442</v>
      </c>
      <c r="D880" t="s">
        <v>79</v>
      </c>
      <c r="E880" t="s">
        <v>16</v>
      </c>
      <c r="F880">
        <v>21</v>
      </c>
      <c r="G880" t="s">
        <v>30</v>
      </c>
      <c r="H880">
        <v>1</v>
      </c>
      <c r="I880">
        <v>500</v>
      </c>
      <c r="J880">
        <v>185</v>
      </c>
      <c r="K880">
        <v>500</v>
      </c>
      <c r="L880">
        <v>315</v>
      </c>
      <c r="M880">
        <v>0.63</v>
      </c>
      <c r="N880" t="s">
        <v>31</v>
      </c>
    </row>
    <row r="881" spans="1:14">
      <c r="A881">
        <v>882</v>
      </c>
      <c r="B881" s="4">
        <v>45221</v>
      </c>
      <c r="C881" s="5">
        <v>0.90347222222222223</v>
      </c>
      <c r="D881" t="s">
        <v>27</v>
      </c>
      <c r="E881" t="s">
        <v>23</v>
      </c>
      <c r="F881">
        <v>64</v>
      </c>
      <c r="G881" t="s">
        <v>30</v>
      </c>
      <c r="H881">
        <v>2</v>
      </c>
      <c r="I881">
        <v>25</v>
      </c>
      <c r="J881">
        <v>13.25</v>
      </c>
      <c r="K881">
        <v>50</v>
      </c>
      <c r="L881">
        <v>36.75</v>
      </c>
      <c r="M881">
        <v>0.73499999999999999</v>
      </c>
      <c r="N881" t="s">
        <v>28</v>
      </c>
    </row>
    <row r="882" spans="1:14">
      <c r="A882">
        <v>961</v>
      </c>
      <c r="B882" s="4">
        <v>45007</v>
      </c>
      <c r="C882" s="5">
        <v>0.94166666666666665</v>
      </c>
      <c r="D882" t="s">
        <v>93</v>
      </c>
      <c r="E882" t="s">
        <v>16</v>
      </c>
      <c r="F882">
        <v>53</v>
      </c>
      <c r="G882" t="s">
        <v>20</v>
      </c>
      <c r="H882">
        <v>4</v>
      </c>
      <c r="I882">
        <v>50</v>
      </c>
      <c r="J882">
        <v>23</v>
      </c>
      <c r="K882">
        <v>200</v>
      </c>
      <c r="L882">
        <v>177</v>
      </c>
      <c r="M882">
        <v>0.88500000000000001</v>
      </c>
      <c r="N882" t="s">
        <v>21</v>
      </c>
    </row>
    <row r="883" spans="1:14">
      <c r="A883">
        <v>1481</v>
      </c>
      <c r="B883" s="4">
        <v>45239</v>
      </c>
      <c r="C883" s="5">
        <v>0.72361111111111109</v>
      </c>
      <c r="D883" t="s">
        <v>87</v>
      </c>
      <c r="E883" t="s">
        <v>23</v>
      </c>
      <c r="F883">
        <v>43</v>
      </c>
      <c r="G883" t="s">
        <v>30</v>
      </c>
      <c r="H883">
        <v>4</v>
      </c>
      <c r="I883">
        <v>300</v>
      </c>
      <c r="J883">
        <v>114</v>
      </c>
      <c r="K883">
        <v>1200</v>
      </c>
      <c r="L883">
        <v>1086</v>
      </c>
      <c r="M883">
        <v>0.90500000000000003</v>
      </c>
      <c r="N883" t="s">
        <v>18</v>
      </c>
    </row>
    <row r="884" spans="1:14">
      <c r="A884">
        <v>1867</v>
      </c>
      <c r="B884" s="4">
        <v>45062</v>
      </c>
      <c r="C884" s="5">
        <v>0.82986111111111116</v>
      </c>
      <c r="D884" t="s">
        <v>27</v>
      </c>
      <c r="E884" t="s">
        <v>16</v>
      </c>
      <c r="F884">
        <v>21</v>
      </c>
      <c r="G884" t="s">
        <v>30</v>
      </c>
      <c r="H884">
        <v>1</v>
      </c>
      <c r="I884">
        <v>500</v>
      </c>
      <c r="J884">
        <v>190</v>
      </c>
      <c r="K884">
        <v>500</v>
      </c>
      <c r="L884">
        <v>310</v>
      </c>
      <c r="M884">
        <v>0.62</v>
      </c>
      <c r="N884" t="s">
        <v>31</v>
      </c>
    </row>
    <row r="885" spans="1:14">
      <c r="A885">
        <v>1882</v>
      </c>
      <c r="B885" s="4">
        <v>45098</v>
      </c>
      <c r="C885" s="5">
        <v>0.87222222222222223</v>
      </c>
      <c r="D885" t="s">
        <v>60</v>
      </c>
      <c r="E885" t="s">
        <v>23</v>
      </c>
      <c r="F885">
        <v>64</v>
      </c>
      <c r="G885" t="s">
        <v>30</v>
      </c>
      <c r="H885">
        <v>2</v>
      </c>
      <c r="I885">
        <v>25</v>
      </c>
      <c r="J885">
        <v>9</v>
      </c>
      <c r="K885">
        <v>50</v>
      </c>
      <c r="L885">
        <v>41</v>
      </c>
      <c r="M885">
        <v>0.82</v>
      </c>
      <c r="N885" t="s">
        <v>28</v>
      </c>
    </row>
    <row r="886" spans="1:14">
      <c r="A886">
        <v>1961</v>
      </c>
      <c r="B886" s="4">
        <v>44696</v>
      </c>
      <c r="C886" s="5">
        <v>0.88680555555555551</v>
      </c>
      <c r="D886" t="s">
        <v>135</v>
      </c>
      <c r="E886" t="s">
        <v>16</v>
      </c>
      <c r="F886">
        <v>53</v>
      </c>
      <c r="G886" t="s">
        <v>20</v>
      </c>
      <c r="H886">
        <v>4</v>
      </c>
      <c r="I886">
        <v>50</v>
      </c>
      <c r="J886">
        <v>20.5</v>
      </c>
      <c r="K886">
        <v>200</v>
      </c>
      <c r="L886">
        <v>179.5</v>
      </c>
      <c r="M886">
        <v>0.89749999999999996</v>
      </c>
      <c r="N886" t="s">
        <v>21</v>
      </c>
    </row>
    <row r="887" spans="1:14">
      <c r="A887">
        <v>187</v>
      </c>
      <c r="B887" s="4">
        <v>44612</v>
      </c>
      <c r="C887" s="5">
        <v>0.84652777777777777</v>
      </c>
      <c r="D887" t="s">
        <v>68</v>
      </c>
      <c r="E887" t="s">
        <v>23</v>
      </c>
      <c r="F887">
        <v>64</v>
      </c>
      <c r="G887" t="s">
        <v>17</v>
      </c>
      <c r="H887">
        <v>2</v>
      </c>
      <c r="I887">
        <v>50</v>
      </c>
      <c r="J887">
        <v>21</v>
      </c>
      <c r="K887">
        <v>100</v>
      </c>
      <c r="L887">
        <v>79</v>
      </c>
      <c r="M887">
        <v>0.79</v>
      </c>
      <c r="N887" t="s">
        <v>28</v>
      </c>
    </row>
    <row r="888" spans="1:14">
      <c r="A888">
        <v>446</v>
      </c>
      <c r="B888" s="4">
        <v>44867</v>
      </c>
      <c r="C888" s="5">
        <v>0.83125000000000004</v>
      </c>
      <c r="D888" t="s">
        <v>100</v>
      </c>
      <c r="E888" t="s">
        <v>16</v>
      </c>
      <c r="F888">
        <v>21</v>
      </c>
      <c r="G888" t="s">
        <v>30</v>
      </c>
      <c r="H888">
        <v>1</v>
      </c>
      <c r="I888">
        <v>50</v>
      </c>
      <c r="J888">
        <v>13</v>
      </c>
      <c r="K888">
        <v>50</v>
      </c>
      <c r="L888">
        <v>37</v>
      </c>
      <c r="M888">
        <v>0.74</v>
      </c>
      <c r="N888" t="s">
        <v>31</v>
      </c>
    </row>
    <row r="889" spans="1:14">
      <c r="A889">
        <v>1187</v>
      </c>
      <c r="B889" s="4">
        <v>45114</v>
      </c>
      <c r="C889" s="5">
        <v>0.71180555555555558</v>
      </c>
      <c r="D889" t="s">
        <v>19</v>
      </c>
      <c r="E889" t="s">
        <v>23</v>
      </c>
      <c r="F889">
        <v>64</v>
      </c>
      <c r="G889" t="s">
        <v>17</v>
      </c>
      <c r="H889">
        <v>2</v>
      </c>
      <c r="I889">
        <v>50</v>
      </c>
      <c r="J889">
        <v>12.5</v>
      </c>
      <c r="K889">
        <v>100</v>
      </c>
      <c r="L889">
        <v>87.5</v>
      </c>
      <c r="M889">
        <v>0.875</v>
      </c>
      <c r="N889" t="s">
        <v>28</v>
      </c>
    </row>
    <row r="890" spans="1:14">
      <c r="A890">
        <v>1446</v>
      </c>
      <c r="B890" s="4">
        <v>44584</v>
      </c>
      <c r="C890" s="5">
        <v>0.78819444444444442</v>
      </c>
      <c r="D890" t="s">
        <v>133</v>
      </c>
      <c r="E890" t="s">
        <v>16</v>
      </c>
      <c r="F890">
        <v>21</v>
      </c>
      <c r="G890" t="s">
        <v>30</v>
      </c>
      <c r="H890">
        <v>1</v>
      </c>
      <c r="I890">
        <v>50</v>
      </c>
      <c r="J890">
        <v>23.5</v>
      </c>
      <c r="K890">
        <v>50</v>
      </c>
      <c r="L890">
        <v>26.5</v>
      </c>
      <c r="M890">
        <v>0.53</v>
      </c>
      <c r="N890" t="s">
        <v>31</v>
      </c>
    </row>
    <row r="891" spans="1:14">
      <c r="A891">
        <v>539</v>
      </c>
      <c r="B891" s="4">
        <v>45260</v>
      </c>
      <c r="C891" s="5">
        <v>0.75902777777777775</v>
      </c>
      <c r="D891" t="s">
        <v>71</v>
      </c>
      <c r="E891" t="s">
        <v>16</v>
      </c>
      <c r="F891">
        <v>25</v>
      </c>
      <c r="G891" t="s">
        <v>20</v>
      </c>
      <c r="H891">
        <v>1</v>
      </c>
      <c r="I891">
        <v>500</v>
      </c>
      <c r="J891">
        <v>205</v>
      </c>
      <c r="K891">
        <v>500</v>
      </c>
      <c r="L891">
        <v>295</v>
      </c>
      <c r="M891">
        <v>0.59</v>
      </c>
      <c r="N891" t="s">
        <v>31</v>
      </c>
    </row>
    <row r="892" spans="1:14">
      <c r="A892">
        <v>587</v>
      </c>
      <c r="B892" s="4">
        <v>45173</v>
      </c>
      <c r="C892" s="5">
        <v>0.79166666666666663</v>
      </c>
      <c r="D892" t="s">
        <v>173</v>
      </c>
      <c r="E892" t="s">
        <v>23</v>
      </c>
      <c r="F892">
        <v>40</v>
      </c>
      <c r="G892" t="s">
        <v>20</v>
      </c>
      <c r="H892">
        <v>4</v>
      </c>
      <c r="I892">
        <v>300</v>
      </c>
      <c r="J892">
        <v>99</v>
      </c>
      <c r="K892">
        <v>1200</v>
      </c>
      <c r="L892">
        <v>1101</v>
      </c>
      <c r="M892">
        <v>0.91749999999999998</v>
      </c>
      <c r="N892" t="s">
        <v>18</v>
      </c>
    </row>
    <row r="893" spans="1:14">
      <c r="A893">
        <v>1539</v>
      </c>
      <c r="B893" s="4">
        <v>44901</v>
      </c>
      <c r="C893" s="5">
        <v>0.91111111111111109</v>
      </c>
      <c r="D893" t="s">
        <v>157</v>
      </c>
      <c r="E893" t="s">
        <v>16</v>
      </c>
      <c r="F893">
        <v>25</v>
      </c>
      <c r="G893" t="s">
        <v>20</v>
      </c>
      <c r="H893">
        <v>1</v>
      </c>
      <c r="I893">
        <v>500</v>
      </c>
      <c r="J893">
        <v>170</v>
      </c>
      <c r="K893">
        <v>500</v>
      </c>
      <c r="L893">
        <v>330</v>
      </c>
      <c r="M893">
        <v>0.66</v>
      </c>
      <c r="N893" t="s">
        <v>31</v>
      </c>
    </row>
    <row r="894" spans="1:14">
      <c r="A894">
        <v>1587</v>
      </c>
      <c r="B894" s="4">
        <v>44870</v>
      </c>
      <c r="C894" s="5">
        <v>0.83750000000000002</v>
      </c>
      <c r="D894" t="s">
        <v>168</v>
      </c>
      <c r="E894" t="s">
        <v>23</v>
      </c>
      <c r="F894">
        <v>40</v>
      </c>
      <c r="G894" t="s">
        <v>20</v>
      </c>
      <c r="H894">
        <v>4</v>
      </c>
      <c r="I894">
        <v>300</v>
      </c>
      <c r="J894">
        <v>105</v>
      </c>
      <c r="K894">
        <v>1200</v>
      </c>
      <c r="L894">
        <v>1095</v>
      </c>
      <c r="M894">
        <v>0.91249999999999998</v>
      </c>
      <c r="N894" t="s">
        <v>18</v>
      </c>
    </row>
    <row r="895" spans="1:14">
      <c r="A895">
        <v>212</v>
      </c>
      <c r="B895" s="4">
        <v>45211</v>
      </c>
      <c r="C895" s="5">
        <v>0.75902777777777775</v>
      </c>
      <c r="D895" t="s">
        <v>127</v>
      </c>
      <c r="E895" t="s">
        <v>16</v>
      </c>
      <c r="F895">
        <v>21</v>
      </c>
      <c r="G895" t="s">
        <v>17</v>
      </c>
      <c r="H895">
        <v>3</v>
      </c>
      <c r="I895">
        <v>500</v>
      </c>
      <c r="J895">
        <v>215</v>
      </c>
      <c r="K895">
        <v>1500</v>
      </c>
      <c r="L895">
        <v>1285</v>
      </c>
      <c r="M895">
        <v>0.85666666666666669</v>
      </c>
      <c r="N895" t="s">
        <v>31</v>
      </c>
    </row>
    <row r="896" spans="1:14">
      <c r="A896">
        <v>765</v>
      </c>
      <c r="B896" s="4">
        <v>44850</v>
      </c>
      <c r="C896" s="5">
        <v>0.79374999999999996</v>
      </c>
      <c r="D896" t="s">
        <v>55</v>
      </c>
      <c r="E896" t="s">
        <v>16</v>
      </c>
      <c r="F896">
        <v>43</v>
      </c>
      <c r="G896" t="s">
        <v>17</v>
      </c>
      <c r="H896">
        <v>4</v>
      </c>
      <c r="I896">
        <v>50</v>
      </c>
      <c r="J896">
        <v>12.5</v>
      </c>
      <c r="K896">
        <v>200</v>
      </c>
      <c r="L896">
        <v>187.5</v>
      </c>
      <c r="M896">
        <v>0.9375</v>
      </c>
      <c r="N896" t="s">
        <v>18</v>
      </c>
    </row>
    <row r="897" spans="1:14">
      <c r="A897">
        <v>769</v>
      </c>
      <c r="B897" s="4">
        <v>44813</v>
      </c>
      <c r="C897" s="5">
        <v>0.7895833333333333</v>
      </c>
      <c r="D897" t="s">
        <v>98</v>
      </c>
      <c r="E897" t="s">
        <v>23</v>
      </c>
      <c r="F897">
        <v>31</v>
      </c>
      <c r="G897" t="s">
        <v>30</v>
      </c>
      <c r="H897">
        <v>4</v>
      </c>
      <c r="I897">
        <v>30</v>
      </c>
      <c r="J897">
        <v>10.199999999999999</v>
      </c>
      <c r="K897">
        <v>120</v>
      </c>
      <c r="L897">
        <v>109.8</v>
      </c>
      <c r="M897">
        <v>0.91499999999999992</v>
      </c>
      <c r="N897" t="s">
        <v>39</v>
      </c>
    </row>
    <row r="898" spans="1:14">
      <c r="A898">
        <v>1212</v>
      </c>
      <c r="B898" s="4">
        <v>44636</v>
      </c>
      <c r="C898" s="5">
        <v>0.75347222222222221</v>
      </c>
      <c r="D898" t="s">
        <v>139</v>
      </c>
      <c r="E898" t="s">
        <v>16</v>
      </c>
      <c r="F898">
        <v>21</v>
      </c>
      <c r="G898" t="s">
        <v>17</v>
      </c>
      <c r="H898">
        <v>3</v>
      </c>
      <c r="I898">
        <v>500</v>
      </c>
      <c r="J898">
        <v>265</v>
      </c>
      <c r="K898">
        <v>1500</v>
      </c>
      <c r="L898">
        <v>1235</v>
      </c>
      <c r="M898">
        <v>0.82333333333333336</v>
      </c>
      <c r="N898" t="s">
        <v>31</v>
      </c>
    </row>
    <row r="899" spans="1:14">
      <c r="A899">
        <v>1765</v>
      </c>
      <c r="B899" s="4">
        <v>44852</v>
      </c>
      <c r="C899" s="5">
        <v>0.9506944444444444</v>
      </c>
      <c r="D899" t="s">
        <v>120</v>
      </c>
      <c r="E899" t="s">
        <v>16</v>
      </c>
      <c r="F899">
        <v>43</v>
      </c>
      <c r="G899" t="s">
        <v>17</v>
      </c>
      <c r="H899">
        <v>4</v>
      </c>
      <c r="I899">
        <v>50</v>
      </c>
      <c r="J899">
        <v>16</v>
      </c>
      <c r="K899">
        <v>200</v>
      </c>
      <c r="L899">
        <v>184</v>
      </c>
      <c r="M899">
        <v>0.92</v>
      </c>
      <c r="N899" t="s">
        <v>18</v>
      </c>
    </row>
    <row r="900" spans="1:14">
      <c r="A900">
        <v>1769</v>
      </c>
      <c r="B900" s="4">
        <v>45207</v>
      </c>
      <c r="C900" s="5">
        <v>0.95138888888888884</v>
      </c>
      <c r="D900" t="s">
        <v>57</v>
      </c>
      <c r="E900" t="s">
        <v>23</v>
      </c>
      <c r="F900">
        <v>31</v>
      </c>
      <c r="G900" t="s">
        <v>30</v>
      </c>
      <c r="H900">
        <v>4</v>
      </c>
      <c r="I900">
        <v>30</v>
      </c>
      <c r="J900">
        <v>9.3000000000000007</v>
      </c>
      <c r="K900">
        <v>120</v>
      </c>
      <c r="L900">
        <v>110.7</v>
      </c>
      <c r="M900">
        <v>0.92249999999999999</v>
      </c>
      <c r="N900" t="s">
        <v>39</v>
      </c>
    </row>
    <row r="901" spans="1:14">
      <c r="A901">
        <v>321</v>
      </c>
      <c r="B901" s="4">
        <v>45193</v>
      </c>
      <c r="C901" s="5">
        <v>0.82847222222222228</v>
      </c>
      <c r="D901" t="s">
        <v>152</v>
      </c>
      <c r="E901" t="s">
        <v>23</v>
      </c>
      <c r="F901">
        <v>26</v>
      </c>
      <c r="G901" t="s">
        <v>30</v>
      </c>
      <c r="H901">
        <v>2</v>
      </c>
      <c r="I901">
        <v>25</v>
      </c>
      <c r="J901">
        <v>9.5</v>
      </c>
      <c r="K901">
        <v>50</v>
      </c>
      <c r="L901">
        <v>40.5</v>
      </c>
      <c r="M901">
        <v>0.81</v>
      </c>
      <c r="N901" t="s">
        <v>39</v>
      </c>
    </row>
    <row r="902" spans="1:14">
      <c r="A902">
        <v>356</v>
      </c>
      <c r="B902" s="4">
        <v>45165</v>
      </c>
      <c r="C902" s="5">
        <v>0.77430555555555558</v>
      </c>
      <c r="D902" t="s">
        <v>67</v>
      </c>
      <c r="E902" t="s">
        <v>16</v>
      </c>
      <c r="F902">
        <v>50</v>
      </c>
      <c r="G902" t="s">
        <v>30</v>
      </c>
      <c r="H902">
        <v>3</v>
      </c>
      <c r="I902">
        <v>500</v>
      </c>
      <c r="J902">
        <v>255</v>
      </c>
      <c r="K902">
        <v>1500</v>
      </c>
      <c r="L902">
        <v>1245</v>
      </c>
      <c r="M902">
        <v>0.83</v>
      </c>
      <c r="N902" t="s">
        <v>21</v>
      </c>
    </row>
    <row r="903" spans="1:14">
      <c r="A903">
        <v>510</v>
      </c>
      <c r="B903" s="4">
        <v>45075</v>
      </c>
      <c r="C903" s="5">
        <v>0.71111111111111114</v>
      </c>
      <c r="D903" t="s">
        <v>160</v>
      </c>
      <c r="E903" t="s">
        <v>23</v>
      </c>
      <c r="F903">
        <v>39</v>
      </c>
      <c r="G903" t="s">
        <v>20</v>
      </c>
      <c r="H903">
        <v>4</v>
      </c>
      <c r="I903">
        <v>50</v>
      </c>
      <c r="J903">
        <v>13</v>
      </c>
      <c r="K903">
        <v>200</v>
      </c>
      <c r="L903">
        <v>187</v>
      </c>
      <c r="M903">
        <v>0.93500000000000005</v>
      </c>
      <c r="N903" t="s">
        <v>18</v>
      </c>
    </row>
    <row r="904" spans="1:14">
      <c r="A904">
        <v>534</v>
      </c>
      <c r="B904" s="4">
        <v>45043</v>
      </c>
      <c r="C904" s="5">
        <v>0.9375</v>
      </c>
      <c r="D904" t="s">
        <v>142</v>
      </c>
      <c r="E904" t="s">
        <v>16</v>
      </c>
      <c r="F904">
        <v>45</v>
      </c>
      <c r="G904" t="s">
        <v>17</v>
      </c>
      <c r="H904">
        <v>2</v>
      </c>
      <c r="I904">
        <v>500</v>
      </c>
      <c r="J904">
        <v>140</v>
      </c>
      <c r="K904">
        <v>1000</v>
      </c>
      <c r="L904">
        <v>860</v>
      </c>
      <c r="M904">
        <v>0.86</v>
      </c>
      <c r="N904" t="s">
        <v>18</v>
      </c>
    </row>
    <row r="905" spans="1:14">
      <c r="A905">
        <v>1321</v>
      </c>
      <c r="B905" s="4">
        <v>45039</v>
      </c>
      <c r="C905" s="5">
        <v>0.95416666666666672</v>
      </c>
      <c r="D905" t="s">
        <v>133</v>
      </c>
      <c r="E905" t="s">
        <v>23</v>
      </c>
      <c r="F905">
        <v>26</v>
      </c>
      <c r="G905" t="s">
        <v>30</v>
      </c>
      <c r="H905">
        <v>2</v>
      </c>
      <c r="I905">
        <v>25</v>
      </c>
      <c r="J905">
        <v>10.5</v>
      </c>
      <c r="K905">
        <v>50</v>
      </c>
      <c r="L905">
        <v>39.5</v>
      </c>
      <c r="M905">
        <v>0.79</v>
      </c>
      <c r="N905" t="s">
        <v>39</v>
      </c>
    </row>
    <row r="906" spans="1:14">
      <c r="A906">
        <v>1356</v>
      </c>
      <c r="B906" s="4">
        <v>45278</v>
      </c>
      <c r="C906" s="5">
        <v>0.89652777777777781</v>
      </c>
      <c r="D906" t="s">
        <v>151</v>
      </c>
      <c r="E906" t="s">
        <v>16</v>
      </c>
      <c r="F906">
        <v>50</v>
      </c>
      <c r="G906" t="s">
        <v>30</v>
      </c>
      <c r="H906">
        <v>3</v>
      </c>
      <c r="I906">
        <v>500</v>
      </c>
      <c r="J906">
        <v>245</v>
      </c>
      <c r="K906">
        <v>1500</v>
      </c>
      <c r="L906">
        <v>1255</v>
      </c>
      <c r="M906">
        <v>0.83666666666666667</v>
      </c>
      <c r="N906" t="s">
        <v>21</v>
      </c>
    </row>
    <row r="907" spans="1:14">
      <c r="A907">
        <v>1510</v>
      </c>
      <c r="B907" s="4">
        <v>44885</v>
      </c>
      <c r="C907" s="5">
        <v>0.76458333333333328</v>
      </c>
      <c r="D907" t="s">
        <v>153</v>
      </c>
      <c r="E907" t="s">
        <v>23</v>
      </c>
      <c r="F907">
        <v>39</v>
      </c>
      <c r="G907" t="s">
        <v>20</v>
      </c>
      <c r="H907">
        <v>4</v>
      </c>
      <c r="I907">
        <v>50</v>
      </c>
      <c r="J907">
        <v>19</v>
      </c>
      <c r="K907">
        <v>200</v>
      </c>
      <c r="L907">
        <v>181</v>
      </c>
      <c r="M907">
        <v>0.90500000000000003</v>
      </c>
      <c r="N907" t="s">
        <v>18</v>
      </c>
    </row>
    <row r="908" spans="1:14">
      <c r="A908">
        <v>1534</v>
      </c>
      <c r="B908" s="4">
        <v>44725</v>
      </c>
      <c r="C908" s="5">
        <v>0.82222222222222219</v>
      </c>
      <c r="D908" t="s">
        <v>62</v>
      </c>
      <c r="E908" t="s">
        <v>16</v>
      </c>
      <c r="F908">
        <v>45</v>
      </c>
      <c r="G908" t="s">
        <v>17</v>
      </c>
      <c r="H908">
        <v>2</v>
      </c>
      <c r="I908">
        <v>500</v>
      </c>
      <c r="J908">
        <v>270</v>
      </c>
      <c r="K908">
        <v>1000</v>
      </c>
      <c r="L908">
        <v>730</v>
      </c>
      <c r="M908">
        <v>0.73</v>
      </c>
      <c r="N908" t="s">
        <v>18</v>
      </c>
    </row>
    <row r="909" spans="1:14">
      <c r="A909">
        <v>104</v>
      </c>
      <c r="B909" s="4">
        <v>44721</v>
      </c>
      <c r="C909" s="5">
        <v>0.95694444444444449</v>
      </c>
      <c r="D909" t="s">
        <v>90</v>
      </c>
      <c r="E909" t="s">
        <v>23</v>
      </c>
      <c r="F909">
        <v>34</v>
      </c>
      <c r="G909" t="s">
        <v>20</v>
      </c>
      <c r="H909">
        <v>2</v>
      </c>
      <c r="I909">
        <v>500</v>
      </c>
      <c r="J909">
        <v>190</v>
      </c>
      <c r="K909">
        <v>1000</v>
      </c>
      <c r="L909">
        <v>810</v>
      </c>
      <c r="M909">
        <v>0.81</v>
      </c>
      <c r="N909" t="s">
        <v>39</v>
      </c>
    </row>
    <row r="910" spans="1:14">
      <c r="A910">
        <v>110</v>
      </c>
      <c r="B910" s="4">
        <v>44883</v>
      </c>
      <c r="C910" s="5">
        <v>0.72777777777777775</v>
      </c>
      <c r="D910" t="s">
        <v>80</v>
      </c>
      <c r="E910" t="s">
        <v>16</v>
      </c>
      <c r="F910">
        <v>27</v>
      </c>
      <c r="G910" t="s">
        <v>17</v>
      </c>
      <c r="H910">
        <v>3</v>
      </c>
      <c r="I910">
        <v>300</v>
      </c>
      <c r="J910">
        <v>99</v>
      </c>
      <c r="K910">
        <v>900</v>
      </c>
      <c r="L910">
        <v>801</v>
      </c>
      <c r="M910">
        <v>0.89</v>
      </c>
      <c r="N910" t="s">
        <v>39</v>
      </c>
    </row>
    <row r="911" spans="1:14">
      <c r="A911">
        <v>352</v>
      </c>
      <c r="B911" s="4">
        <v>45135</v>
      </c>
      <c r="C911" s="5">
        <v>0.74652777777777779</v>
      </c>
      <c r="D911" t="s">
        <v>29</v>
      </c>
      <c r="E911" t="s">
        <v>16</v>
      </c>
      <c r="F911">
        <v>57</v>
      </c>
      <c r="G911" t="s">
        <v>30</v>
      </c>
      <c r="H911">
        <v>2</v>
      </c>
      <c r="I911">
        <v>500</v>
      </c>
      <c r="J911">
        <v>175</v>
      </c>
      <c r="K911">
        <v>1000</v>
      </c>
      <c r="L911">
        <v>825</v>
      </c>
      <c r="M911">
        <v>0.82499999999999996</v>
      </c>
      <c r="N911" t="s">
        <v>28</v>
      </c>
    </row>
    <row r="912" spans="1:14">
      <c r="A912">
        <v>365</v>
      </c>
      <c r="B912" s="4">
        <v>44980</v>
      </c>
      <c r="C912" s="5">
        <v>0.92500000000000004</v>
      </c>
      <c r="D912" t="s">
        <v>132</v>
      </c>
      <c r="E912" t="s">
        <v>16</v>
      </c>
      <c r="F912">
        <v>31</v>
      </c>
      <c r="G912" t="s">
        <v>17</v>
      </c>
      <c r="H912">
        <v>1</v>
      </c>
      <c r="I912">
        <v>300</v>
      </c>
      <c r="J912">
        <v>93</v>
      </c>
      <c r="K912">
        <v>300</v>
      </c>
      <c r="L912">
        <v>207</v>
      </c>
      <c r="M912">
        <v>0.69</v>
      </c>
      <c r="N912" t="s">
        <v>39</v>
      </c>
    </row>
    <row r="913" spans="1:14">
      <c r="A913">
        <v>887</v>
      </c>
      <c r="B913" s="4">
        <v>44616</v>
      </c>
      <c r="C913" s="5">
        <v>0.80555555555555558</v>
      </c>
      <c r="D913" t="s">
        <v>76</v>
      </c>
      <c r="E913" t="s">
        <v>16</v>
      </c>
      <c r="F913">
        <v>59</v>
      </c>
      <c r="G913" t="s">
        <v>17</v>
      </c>
      <c r="H913">
        <v>4</v>
      </c>
      <c r="I913">
        <v>25</v>
      </c>
      <c r="J913">
        <v>10</v>
      </c>
      <c r="K913">
        <v>100</v>
      </c>
      <c r="L913">
        <v>90</v>
      </c>
      <c r="M913">
        <v>0.9</v>
      </c>
      <c r="N913" t="s">
        <v>28</v>
      </c>
    </row>
    <row r="914" spans="1:14">
      <c r="A914">
        <v>1104</v>
      </c>
      <c r="B914" s="4">
        <v>44753</v>
      </c>
      <c r="C914" s="5">
        <v>0.84236111111111112</v>
      </c>
      <c r="D914" t="s">
        <v>144</v>
      </c>
      <c r="E914" t="s">
        <v>23</v>
      </c>
      <c r="F914">
        <v>34</v>
      </c>
      <c r="G914" t="s">
        <v>20</v>
      </c>
      <c r="H914">
        <v>2</v>
      </c>
      <c r="I914">
        <v>500</v>
      </c>
      <c r="J914">
        <v>150</v>
      </c>
      <c r="K914">
        <v>1000</v>
      </c>
      <c r="L914">
        <v>850</v>
      </c>
      <c r="M914">
        <v>0.85</v>
      </c>
      <c r="N914" t="s">
        <v>39</v>
      </c>
    </row>
    <row r="915" spans="1:14">
      <c r="A915">
        <v>1110</v>
      </c>
      <c r="B915" s="4">
        <v>44860</v>
      </c>
      <c r="C915" s="5">
        <v>0.80138888888888893</v>
      </c>
      <c r="D915" t="s">
        <v>74</v>
      </c>
      <c r="E915" t="s">
        <v>16</v>
      </c>
      <c r="F915">
        <v>27</v>
      </c>
      <c r="G915" t="s">
        <v>17</v>
      </c>
      <c r="H915">
        <v>3</v>
      </c>
      <c r="I915">
        <v>300</v>
      </c>
      <c r="J915">
        <v>114</v>
      </c>
      <c r="K915">
        <v>900</v>
      </c>
      <c r="L915">
        <v>786</v>
      </c>
      <c r="M915">
        <v>0.87333333333333329</v>
      </c>
      <c r="N915" t="s">
        <v>39</v>
      </c>
    </row>
    <row r="916" spans="1:14">
      <c r="A916">
        <v>1352</v>
      </c>
      <c r="B916" s="4">
        <v>45218</v>
      </c>
      <c r="C916" s="5">
        <v>0.73611111111111116</v>
      </c>
      <c r="D916" t="s">
        <v>160</v>
      </c>
      <c r="E916" t="s">
        <v>16</v>
      </c>
      <c r="F916">
        <v>57</v>
      </c>
      <c r="G916" t="s">
        <v>30</v>
      </c>
      <c r="H916">
        <v>2</v>
      </c>
      <c r="I916">
        <v>500</v>
      </c>
      <c r="J916">
        <v>260</v>
      </c>
      <c r="K916">
        <v>1000</v>
      </c>
      <c r="L916">
        <v>740</v>
      </c>
      <c r="M916">
        <v>0.74</v>
      </c>
      <c r="N916" t="s">
        <v>28</v>
      </c>
    </row>
    <row r="917" spans="1:14">
      <c r="A917">
        <v>1365</v>
      </c>
      <c r="B917" s="4">
        <v>45238</v>
      </c>
      <c r="C917" s="5">
        <v>0.84861111111111109</v>
      </c>
      <c r="D917" t="s">
        <v>98</v>
      </c>
      <c r="E917" t="s">
        <v>16</v>
      </c>
      <c r="F917">
        <v>31</v>
      </c>
      <c r="G917" t="s">
        <v>17</v>
      </c>
      <c r="H917">
        <v>1</v>
      </c>
      <c r="I917">
        <v>300</v>
      </c>
      <c r="J917">
        <v>156</v>
      </c>
      <c r="K917">
        <v>300</v>
      </c>
      <c r="L917">
        <v>144</v>
      </c>
      <c r="M917">
        <v>0.48</v>
      </c>
      <c r="N917" t="s">
        <v>39</v>
      </c>
    </row>
    <row r="918" spans="1:14">
      <c r="A918">
        <v>1887</v>
      </c>
      <c r="B918" s="4">
        <v>45271</v>
      </c>
      <c r="C918" s="5">
        <v>0.81527777777777777</v>
      </c>
      <c r="D918" t="s">
        <v>156</v>
      </c>
      <c r="E918" t="s">
        <v>16</v>
      </c>
      <c r="F918">
        <v>59</v>
      </c>
      <c r="G918" t="s">
        <v>17</v>
      </c>
      <c r="H918">
        <v>4</v>
      </c>
      <c r="I918">
        <v>25</v>
      </c>
      <c r="J918">
        <v>10</v>
      </c>
      <c r="K918">
        <v>100</v>
      </c>
      <c r="L918">
        <v>90</v>
      </c>
      <c r="M918">
        <v>0.9</v>
      </c>
      <c r="N918" t="s">
        <v>28</v>
      </c>
    </row>
    <row r="919" spans="1:14">
      <c r="A919">
        <v>629</v>
      </c>
      <c r="B919" s="4">
        <v>44931</v>
      </c>
      <c r="C919" s="5">
        <v>0.82986111111111116</v>
      </c>
      <c r="D919" t="s">
        <v>75</v>
      </c>
      <c r="E919" t="s">
        <v>16</v>
      </c>
      <c r="F919">
        <v>62</v>
      </c>
      <c r="G919" t="s">
        <v>30</v>
      </c>
      <c r="H919">
        <v>2</v>
      </c>
      <c r="I919">
        <v>25</v>
      </c>
      <c r="J919">
        <v>8</v>
      </c>
      <c r="K919">
        <v>50</v>
      </c>
      <c r="L919">
        <v>42</v>
      </c>
      <c r="M919">
        <v>0.84</v>
      </c>
      <c r="N919" t="s">
        <v>28</v>
      </c>
    </row>
    <row r="920" spans="1:14">
      <c r="A920">
        <v>1629</v>
      </c>
      <c r="B920" s="4">
        <v>44609</v>
      </c>
      <c r="C920" s="5">
        <v>0.84583333333333333</v>
      </c>
      <c r="D920" t="s">
        <v>27</v>
      </c>
      <c r="E920" t="s">
        <v>16</v>
      </c>
      <c r="F920">
        <v>62</v>
      </c>
      <c r="G920" t="s">
        <v>30</v>
      </c>
      <c r="H920">
        <v>2</v>
      </c>
      <c r="I920">
        <v>25</v>
      </c>
      <c r="J920">
        <v>10.75</v>
      </c>
      <c r="K920">
        <v>50</v>
      </c>
      <c r="L920">
        <v>39.25</v>
      </c>
      <c r="M920">
        <v>0.78500000000000003</v>
      </c>
      <c r="N920" t="s">
        <v>28</v>
      </c>
    </row>
    <row r="921" spans="1:14">
      <c r="A921">
        <v>655</v>
      </c>
      <c r="B921" s="4">
        <v>44865</v>
      </c>
      <c r="C921" s="5">
        <v>0.77986111111111112</v>
      </c>
      <c r="D921" t="s">
        <v>169</v>
      </c>
      <c r="E921" t="s">
        <v>23</v>
      </c>
      <c r="F921">
        <v>55</v>
      </c>
      <c r="G921" t="s">
        <v>17</v>
      </c>
      <c r="H921">
        <v>1</v>
      </c>
      <c r="I921">
        <v>500</v>
      </c>
      <c r="J921">
        <v>210</v>
      </c>
      <c r="K921">
        <v>500</v>
      </c>
      <c r="L921">
        <v>290</v>
      </c>
      <c r="M921">
        <v>0.57999999999999996</v>
      </c>
      <c r="N921" t="s">
        <v>21</v>
      </c>
    </row>
    <row r="922" spans="1:14">
      <c r="A922">
        <v>1655</v>
      </c>
      <c r="B922" s="4">
        <v>45074</v>
      </c>
      <c r="C922" s="5">
        <v>0.74791666666666667</v>
      </c>
      <c r="D922" t="s">
        <v>85</v>
      </c>
      <c r="E922" t="s">
        <v>23</v>
      </c>
      <c r="F922">
        <v>55</v>
      </c>
      <c r="G922" t="s">
        <v>17</v>
      </c>
      <c r="H922">
        <v>1</v>
      </c>
      <c r="I922">
        <v>500</v>
      </c>
      <c r="J922">
        <v>125</v>
      </c>
      <c r="K922">
        <v>500</v>
      </c>
      <c r="L922">
        <v>375</v>
      </c>
      <c r="M922">
        <v>0.75</v>
      </c>
      <c r="N922" t="s">
        <v>21</v>
      </c>
    </row>
    <row r="923" spans="1:14">
      <c r="A923">
        <v>567</v>
      </c>
      <c r="B923" s="4">
        <v>45054</v>
      </c>
      <c r="C923" s="5">
        <v>0.82847222222222228</v>
      </c>
      <c r="D923" t="s">
        <v>22</v>
      </c>
      <c r="E923" t="s">
        <v>23</v>
      </c>
      <c r="F923">
        <v>25</v>
      </c>
      <c r="G923" t="s">
        <v>17</v>
      </c>
      <c r="H923">
        <v>3</v>
      </c>
      <c r="I923">
        <v>300</v>
      </c>
      <c r="J923">
        <v>144</v>
      </c>
      <c r="K923">
        <v>900</v>
      </c>
      <c r="L923">
        <v>756</v>
      </c>
      <c r="M923">
        <v>0.84</v>
      </c>
      <c r="N923" t="s">
        <v>31</v>
      </c>
    </row>
    <row r="924" spans="1:14">
      <c r="A924">
        <v>1567</v>
      </c>
      <c r="B924" s="4">
        <v>45023</v>
      </c>
      <c r="C924" s="5">
        <v>0.71527777777777779</v>
      </c>
      <c r="D924" t="s">
        <v>130</v>
      </c>
      <c r="E924" t="s">
        <v>23</v>
      </c>
      <c r="F924">
        <v>25</v>
      </c>
      <c r="G924" t="s">
        <v>17</v>
      </c>
      <c r="H924">
        <v>3</v>
      </c>
      <c r="I924">
        <v>300</v>
      </c>
      <c r="J924">
        <v>162</v>
      </c>
      <c r="K924">
        <v>900</v>
      </c>
      <c r="L924">
        <v>738</v>
      </c>
      <c r="M924">
        <v>0.82</v>
      </c>
      <c r="N924" t="s">
        <v>31</v>
      </c>
    </row>
    <row r="925" spans="1:14">
      <c r="A925">
        <v>182</v>
      </c>
      <c r="B925" s="4">
        <v>45098</v>
      </c>
      <c r="C925" s="5">
        <v>0.81041666666666667</v>
      </c>
      <c r="D925" t="s">
        <v>110</v>
      </c>
      <c r="E925" t="s">
        <v>16</v>
      </c>
      <c r="F925">
        <v>62</v>
      </c>
      <c r="G925" t="s">
        <v>20</v>
      </c>
      <c r="H925">
        <v>4</v>
      </c>
      <c r="I925">
        <v>30</v>
      </c>
      <c r="J925">
        <v>10.199999999999999</v>
      </c>
      <c r="K925">
        <v>120</v>
      </c>
      <c r="L925">
        <v>109.8</v>
      </c>
      <c r="M925">
        <v>0.91499999999999992</v>
      </c>
      <c r="N925" t="s">
        <v>28</v>
      </c>
    </row>
    <row r="926" spans="1:14">
      <c r="A926">
        <v>819</v>
      </c>
      <c r="B926" s="4">
        <v>45153</v>
      </c>
      <c r="C926" s="5">
        <v>0.91597222222222219</v>
      </c>
      <c r="D926" t="s">
        <v>117</v>
      </c>
      <c r="E926" t="s">
        <v>23</v>
      </c>
      <c r="F926">
        <v>35</v>
      </c>
      <c r="G926" t="s">
        <v>20</v>
      </c>
      <c r="H926">
        <v>2</v>
      </c>
      <c r="I926">
        <v>50</v>
      </c>
      <c r="J926">
        <v>26</v>
      </c>
      <c r="K926">
        <v>100</v>
      </c>
      <c r="L926">
        <v>74</v>
      </c>
      <c r="M926">
        <v>0.74</v>
      </c>
      <c r="N926" t="s">
        <v>39</v>
      </c>
    </row>
    <row r="927" spans="1:14">
      <c r="A927">
        <v>1182</v>
      </c>
      <c r="B927" s="4">
        <v>44929</v>
      </c>
      <c r="C927" s="5">
        <v>0.8930555555555556</v>
      </c>
      <c r="D927" t="s">
        <v>160</v>
      </c>
      <c r="E927" t="s">
        <v>16</v>
      </c>
      <c r="F927">
        <v>62</v>
      </c>
      <c r="G927" t="s">
        <v>20</v>
      </c>
      <c r="H927">
        <v>4</v>
      </c>
      <c r="I927">
        <v>30</v>
      </c>
      <c r="J927">
        <v>12.9</v>
      </c>
      <c r="K927">
        <v>120</v>
      </c>
      <c r="L927">
        <v>107.1</v>
      </c>
      <c r="M927">
        <v>0.89249999999999996</v>
      </c>
      <c r="N927" t="s">
        <v>28</v>
      </c>
    </row>
    <row r="928" spans="1:14">
      <c r="A928">
        <v>1819</v>
      </c>
      <c r="B928" s="4">
        <v>44870</v>
      </c>
      <c r="C928" s="5">
        <v>0.86388888888888893</v>
      </c>
      <c r="D928" t="s">
        <v>174</v>
      </c>
      <c r="E928" t="s">
        <v>23</v>
      </c>
      <c r="F928">
        <v>35</v>
      </c>
      <c r="G928" t="s">
        <v>20</v>
      </c>
      <c r="H928">
        <v>2</v>
      </c>
      <c r="I928">
        <v>50</v>
      </c>
      <c r="J928">
        <v>13.5</v>
      </c>
      <c r="K928">
        <v>100</v>
      </c>
      <c r="L928">
        <v>86.5</v>
      </c>
      <c r="M928">
        <v>0.86499999999999999</v>
      </c>
      <c r="N928" t="s">
        <v>39</v>
      </c>
    </row>
    <row r="929" spans="1:14">
      <c r="A929">
        <v>100</v>
      </c>
      <c r="B929" s="4">
        <v>44600</v>
      </c>
      <c r="C929" s="5">
        <v>0.81527777777777777</v>
      </c>
      <c r="D929" t="s">
        <v>129</v>
      </c>
      <c r="E929" t="s">
        <v>16</v>
      </c>
      <c r="F929">
        <v>41</v>
      </c>
      <c r="G929" t="s">
        <v>30</v>
      </c>
      <c r="H929">
        <v>1</v>
      </c>
      <c r="I929">
        <v>30</v>
      </c>
      <c r="J929">
        <v>9.3000000000000007</v>
      </c>
      <c r="K929">
        <v>30</v>
      </c>
      <c r="L929">
        <v>20.7</v>
      </c>
      <c r="M929">
        <v>0.69</v>
      </c>
      <c r="N929" t="s">
        <v>18</v>
      </c>
    </row>
    <row r="930" spans="1:14">
      <c r="A930">
        <v>833</v>
      </c>
      <c r="B930" s="4">
        <v>45055</v>
      </c>
      <c r="C930" s="5">
        <v>0.77708333333333335</v>
      </c>
      <c r="D930" t="s">
        <v>24</v>
      </c>
      <c r="E930" t="s">
        <v>16</v>
      </c>
      <c r="F930">
        <v>42</v>
      </c>
      <c r="G930" t="s">
        <v>20</v>
      </c>
      <c r="H930">
        <v>4</v>
      </c>
      <c r="I930">
        <v>50</v>
      </c>
      <c r="J930">
        <v>24.5</v>
      </c>
      <c r="K930">
        <v>200</v>
      </c>
      <c r="L930">
        <v>175.5</v>
      </c>
      <c r="M930">
        <v>0.87749999999999995</v>
      </c>
      <c r="N930" t="s">
        <v>18</v>
      </c>
    </row>
    <row r="931" spans="1:14">
      <c r="A931">
        <v>1100</v>
      </c>
      <c r="B931" s="4">
        <v>44946</v>
      </c>
      <c r="C931" s="5">
        <v>0.76041666666666663</v>
      </c>
      <c r="D931" t="s">
        <v>113</v>
      </c>
      <c r="E931" t="s">
        <v>16</v>
      </c>
      <c r="F931">
        <v>41</v>
      </c>
      <c r="G931" t="s">
        <v>30</v>
      </c>
      <c r="H931">
        <v>1</v>
      </c>
      <c r="I931">
        <v>30</v>
      </c>
      <c r="J931">
        <v>13.2</v>
      </c>
      <c r="K931">
        <v>30</v>
      </c>
      <c r="L931">
        <v>16.8</v>
      </c>
      <c r="M931">
        <v>0.56000000000000005</v>
      </c>
      <c r="N931" t="s">
        <v>18</v>
      </c>
    </row>
    <row r="932" spans="1:14">
      <c r="A932">
        <v>1833</v>
      </c>
      <c r="B932" s="4">
        <v>44591</v>
      </c>
      <c r="C932" s="5">
        <v>0.72222222222222221</v>
      </c>
      <c r="D932" t="s">
        <v>119</v>
      </c>
      <c r="E932" t="s">
        <v>16</v>
      </c>
      <c r="F932">
        <v>42</v>
      </c>
      <c r="G932" t="s">
        <v>20</v>
      </c>
      <c r="H932">
        <v>4</v>
      </c>
      <c r="I932">
        <v>50</v>
      </c>
      <c r="J932">
        <v>18</v>
      </c>
      <c r="K932">
        <v>200</v>
      </c>
      <c r="L932">
        <v>182</v>
      </c>
      <c r="M932">
        <v>0.91</v>
      </c>
      <c r="N932" t="s">
        <v>18</v>
      </c>
    </row>
    <row r="933" spans="1:14">
      <c r="A933">
        <v>542</v>
      </c>
      <c r="B933" s="4">
        <v>45078</v>
      </c>
      <c r="C933" s="5">
        <v>0.77847222222222223</v>
      </c>
      <c r="D933" t="s">
        <v>42</v>
      </c>
      <c r="E933" t="s">
        <v>23</v>
      </c>
      <c r="F933">
        <v>20</v>
      </c>
      <c r="G933" t="s">
        <v>20</v>
      </c>
      <c r="H933">
        <v>1</v>
      </c>
      <c r="I933">
        <v>50</v>
      </c>
      <c r="J933">
        <v>24</v>
      </c>
      <c r="K933">
        <v>50</v>
      </c>
      <c r="L933">
        <v>26</v>
      </c>
      <c r="M933">
        <v>0.52</v>
      </c>
      <c r="N933" t="s">
        <v>31</v>
      </c>
    </row>
    <row r="934" spans="1:14">
      <c r="A934">
        <v>723</v>
      </c>
      <c r="B934" s="4">
        <v>44756</v>
      </c>
      <c r="C934" s="5">
        <v>0.9145833333333333</v>
      </c>
      <c r="D934" t="s">
        <v>34</v>
      </c>
      <c r="E934" t="s">
        <v>23</v>
      </c>
      <c r="F934">
        <v>54</v>
      </c>
      <c r="G934" t="s">
        <v>20</v>
      </c>
      <c r="H934">
        <v>4</v>
      </c>
      <c r="I934">
        <v>50</v>
      </c>
      <c r="J934">
        <v>20.5</v>
      </c>
      <c r="K934">
        <v>200</v>
      </c>
      <c r="L934">
        <v>179.5</v>
      </c>
      <c r="M934">
        <v>0.89749999999999996</v>
      </c>
      <c r="N934" t="s">
        <v>21</v>
      </c>
    </row>
    <row r="935" spans="1:14">
      <c r="A935">
        <v>726</v>
      </c>
      <c r="B935" s="4">
        <v>44717</v>
      </c>
      <c r="C935" s="5">
        <v>0.81736111111111109</v>
      </c>
      <c r="D935" t="s">
        <v>62</v>
      </c>
      <c r="E935" t="s">
        <v>16</v>
      </c>
      <c r="F935">
        <v>47</v>
      </c>
      <c r="G935" t="s">
        <v>17</v>
      </c>
      <c r="H935">
        <v>4</v>
      </c>
      <c r="I935">
        <v>300</v>
      </c>
      <c r="J935">
        <v>126</v>
      </c>
      <c r="K935">
        <v>1200</v>
      </c>
      <c r="L935">
        <v>1074</v>
      </c>
      <c r="M935">
        <v>0.89500000000000002</v>
      </c>
      <c r="N935" t="s">
        <v>21</v>
      </c>
    </row>
    <row r="936" spans="1:14">
      <c r="A936">
        <v>1542</v>
      </c>
      <c r="B936" s="4">
        <v>45063</v>
      </c>
      <c r="C936" s="5">
        <v>0.85416666666666663</v>
      </c>
      <c r="D936" t="s">
        <v>59</v>
      </c>
      <c r="E936" t="s">
        <v>23</v>
      </c>
      <c r="F936">
        <v>20</v>
      </c>
      <c r="G936" t="s">
        <v>20</v>
      </c>
      <c r="H936">
        <v>1</v>
      </c>
      <c r="I936">
        <v>50</v>
      </c>
      <c r="J936">
        <v>14.5</v>
      </c>
      <c r="K936">
        <v>50</v>
      </c>
      <c r="L936">
        <v>35.5</v>
      </c>
      <c r="M936">
        <v>0.71</v>
      </c>
      <c r="N936" t="s">
        <v>31</v>
      </c>
    </row>
    <row r="937" spans="1:14">
      <c r="A937">
        <v>1723</v>
      </c>
      <c r="B937" s="4">
        <v>44602</v>
      </c>
      <c r="C937" s="5">
        <v>0.73819444444444449</v>
      </c>
      <c r="D937" t="s">
        <v>115</v>
      </c>
      <c r="E937" t="s">
        <v>23</v>
      </c>
      <c r="F937">
        <v>54</v>
      </c>
      <c r="G937" t="s">
        <v>20</v>
      </c>
      <c r="H937">
        <v>4</v>
      </c>
      <c r="I937">
        <v>50</v>
      </c>
      <c r="J937">
        <v>18</v>
      </c>
      <c r="K937">
        <v>200</v>
      </c>
      <c r="L937">
        <v>182</v>
      </c>
      <c r="M937">
        <v>0.91</v>
      </c>
      <c r="N937" t="s">
        <v>21</v>
      </c>
    </row>
    <row r="938" spans="1:14">
      <c r="A938">
        <v>1726</v>
      </c>
      <c r="B938" s="4">
        <v>45103</v>
      </c>
      <c r="C938" s="5">
        <v>0.7583333333333333</v>
      </c>
      <c r="D938" t="s">
        <v>120</v>
      </c>
      <c r="E938" t="s">
        <v>16</v>
      </c>
      <c r="F938">
        <v>47</v>
      </c>
      <c r="G938" t="s">
        <v>17</v>
      </c>
      <c r="H938">
        <v>4</v>
      </c>
      <c r="I938">
        <v>300</v>
      </c>
      <c r="J938">
        <v>93</v>
      </c>
      <c r="K938">
        <v>1200</v>
      </c>
      <c r="L938">
        <v>1107</v>
      </c>
      <c r="M938">
        <v>0.92249999999999999</v>
      </c>
      <c r="N938" t="s">
        <v>21</v>
      </c>
    </row>
    <row r="939" spans="1:14">
      <c r="A939">
        <v>488</v>
      </c>
      <c r="B939" s="4">
        <v>44747</v>
      </c>
      <c r="C939" s="5">
        <v>0.72777777777777775</v>
      </c>
      <c r="D939" t="s">
        <v>112</v>
      </c>
      <c r="E939" t="s">
        <v>23</v>
      </c>
      <c r="F939">
        <v>51</v>
      </c>
      <c r="G939" t="s">
        <v>30</v>
      </c>
      <c r="H939">
        <v>3</v>
      </c>
      <c r="I939">
        <v>300</v>
      </c>
      <c r="J939">
        <v>123</v>
      </c>
      <c r="K939">
        <v>900</v>
      </c>
      <c r="L939">
        <v>777</v>
      </c>
      <c r="M939">
        <v>0.86333333333333329</v>
      </c>
      <c r="N939" t="s">
        <v>21</v>
      </c>
    </row>
    <row r="940" spans="1:14">
      <c r="A940">
        <v>1488</v>
      </c>
      <c r="B940" s="4">
        <v>44877</v>
      </c>
      <c r="C940" s="5">
        <v>0.80833333333333335</v>
      </c>
      <c r="D940" t="s">
        <v>150</v>
      </c>
      <c r="E940" t="s">
        <v>23</v>
      </c>
      <c r="F940">
        <v>51</v>
      </c>
      <c r="G940" t="s">
        <v>30</v>
      </c>
      <c r="H940">
        <v>3</v>
      </c>
      <c r="I940">
        <v>300</v>
      </c>
      <c r="J940">
        <v>126</v>
      </c>
      <c r="K940">
        <v>900</v>
      </c>
      <c r="L940">
        <v>774</v>
      </c>
      <c r="M940">
        <v>0.86</v>
      </c>
      <c r="N940" t="s">
        <v>21</v>
      </c>
    </row>
    <row r="941" spans="1:14">
      <c r="A941">
        <v>239</v>
      </c>
      <c r="B941" s="4">
        <v>44823</v>
      </c>
      <c r="C941" s="5">
        <v>0.81527777777777777</v>
      </c>
      <c r="D941" t="s">
        <v>40</v>
      </c>
      <c r="E941" t="s">
        <v>16</v>
      </c>
      <c r="F941">
        <v>38</v>
      </c>
      <c r="G941" t="s">
        <v>30</v>
      </c>
      <c r="H941">
        <v>3</v>
      </c>
      <c r="I941">
        <v>500</v>
      </c>
      <c r="J941">
        <v>165</v>
      </c>
      <c r="K941">
        <v>1500</v>
      </c>
      <c r="L941">
        <v>1335</v>
      </c>
      <c r="M941">
        <v>0.89</v>
      </c>
      <c r="N941" t="s">
        <v>18</v>
      </c>
    </row>
    <row r="942" spans="1:14">
      <c r="A942">
        <v>498</v>
      </c>
      <c r="B942" s="4">
        <v>44642</v>
      </c>
      <c r="C942" s="5">
        <v>0.93055555555555558</v>
      </c>
      <c r="D942" t="s">
        <v>77</v>
      </c>
      <c r="E942" t="s">
        <v>23</v>
      </c>
      <c r="F942">
        <v>50</v>
      </c>
      <c r="G942" t="s">
        <v>17</v>
      </c>
      <c r="H942">
        <v>4</v>
      </c>
      <c r="I942">
        <v>25</v>
      </c>
      <c r="J942">
        <v>8.25</v>
      </c>
      <c r="K942">
        <v>100</v>
      </c>
      <c r="L942">
        <v>91.75</v>
      </c>
      <c r="M942">
        <v>0.91749999999999998</v>
      </c>
      <c r="N942" t="s">
        <v>21</v>
      </c>
    </row>
    <row r="943" spans="1:14">
      <c r="A943">
        <v>532</v>
      </c>
      <c r="B943" s="4">
        <v>44788</v>
      </c>
      <c r="C943" s="5">
        <v>0.75277777777777777</v>
      </c>
      <c r="D943" t="s">
        <v>172</v>
      </c>
      <c r="E943" t="s">
        <v>23</v>
      </c>
      <c r="F943">
        <v>64</v>
      </c>
      <c r="G943" t="s">
        <v>17</v>
      </c>
      <c r="H943">
        <v>4</v>
      </c>
      <c r="I943">
        <v>30</v>
      </c>
      <c r="J943">
        <v>12.9</v>
      </c>
      <c r="K943">
        <v>120</v>
      </c>
      <c r="L943">
        <v>107.1</v>
      </c>
      <c r="M943">
        <v>0.89249999999999996</v>
      </c>
      <c r="N943" t="s">
        <v>28</v>
      </c>
    </row>
    <row r="944" spans="1:14">
      <c r="A944">
        <v>669</v>
      </c>
      <c r="B944" s="4">
        <v>44584</v>
      </c>
      <c r="C944" s="5">
        <v>0.85</v>
      </c>
      <c r="D944" t="s">
        <v>166</v>
      </c>
      <c r="E944" t="s">
        <v>16</v>
      </c>
      <c r="F944">
        <v>24</v>
      </c>
      <c r="G944" t="s">
        <v>20</v>
      </c>
      <c r="H944">
        <v>4</v>
      </c>
      <c r="I944">
        <v>300</v>
      </c>
      <c r="J944">
        <v>87</v>
      </c>
      <c r="K944">
        <v>1200</v>
      </c>
      <c r="L944">
        <v>1113</v>
      </c>
      <c r="M944">
        <v>0.92749999999999999</v>
      </c>
      <c r="N944" t="s">
        <v>31</v>
      </c>
    </row>
    <row r="945" spans="1:14">
      <c r="A945">
        <v>877</v>
      </c>
      <c r="B945" s="4">
        <v>44835</v>
      </c>
      <c r="C945" s="5">
        <v>0.82777777777777772</v>
      </c>
      <c r="D945" t="s">
        <v>136</v>
      </c>
      <c r="E945" t="s">
        <v>23</v>
      </c>
      <c r="F945">
        <v>58</v>
      </c>
      <c r="G945" t="s">
        <v>17</v>
      </c>
      <c r="H945">
        <v>1</v>
      </c>
      <c r="I945">
        <v>25</v>
      </c>
      <c r="J945">
        <v>6.75</v>
      </c>
      <c r="K945">
        <v>25</v>
      </c>
      <c r="L945">
        <v>18.25</v>
      </c>
      <c r="M945">
        <v>0.73</v>
      </c>
      <c r="N945" t="s">
        <v>28</v>
      </c>
    </row>
    <row r="946" spans="1:14">
      <c r="A946">
        <v>1239</v>
      </c>
      <c r="B946" s="4">
        <v>44750</v>
      </c>
      <c r="C946" s="5">
        <v>0.86250000000000004</v>
      </c>
      <c r="D946" t="s">
        <v>136</v>
      </c>
      <c r="E946" t="s">
        <v>16</v>
      </c>
      <c r="F946">
        <v>38</v>
      </c>
      <c r="G946" t="s">
        <v>30</v>
      </c>
      <c r="H946">
        <v>3</v>
      </c>
      <c r="I946">
        <v>500</v>
      </c>
      <c r="J946">
        <v>255</v>
      </c>
      <c r="K946">
        <v>1500</v>
      </c>
      <c r="L946">
        <v>1245</v>
      </c>
      <c r="M946">
        <v>0.83</v>
      </c>
      <c r="N946" t="s">
        <v>18</v>
      </c>
    </row>
    <row r="947" spans="1:14">
      <c r="A947">
        <v>1498</v>
      </c>
      <c r="B947" s="4">
        <v>44802</v>
      </c>
      <c r="C947" s="5">
        <v>0.71388888888888891</v>
      </c>
      <c r="D947" t="s">
        <v>97</v>
      </c>
      <c r="E947" t="s">
        <v>23</v>
      </c>
      <c r="F947">
        <v>50</v>
      </c>
      <c r="G947" t="s">
        <v>17</v>
      </c>
      <c r="H947">
        <v>4</v>
      </c>
      <c r="I947">
        <v>25</v>
      </c>
      <c r="J947">
        <v>12.5</v>
      </c>
      <c r="K947">
        <v>100</v>
      </c>
      <c r="L947">
        <v>87.5</v>
      </c>
      <c r="M947">
        <v>0.875</v>
      </c>
      <c r="N947" t="s">
        <v>21</v>
      </c>
    </row>
    <row r="948" spans="1:14">
      <c r="A948">
        <v>1532</v>
      </c>
      <c r="B948" s="4">
        <v>44643</v>
      </c>
      <c r="C948" s="5">
        <v>0.95</v>
      </c>
      <c r="D948" t="s">
        <v>97</v>
      </c>
      <c r="E948" t="s">
        <v>23</v>
      </c>
      <c r="F948">
        <v>64</v>
      </c>
      <c r="G948" t="s">
        <v>17</v>
      </c>
      <c r="H948">
        <v>4</v>
      </c>
      <c r="I948">
        <v>30</v>
      </c>
      <c r="J948">
        <v>15.6</v>
      </c>
      <c r="K948">
        <v>120</v>
      </c>
      <c r="L948">
        <v>104.4</v>
      </c>
      <c r="M948">
        <v>0.87</v>
      </c>
      <c r="N948" t="s">
        <v>28</v>
      </c>
    </row>
    <row r="949" spans="1:14">
      <c r="A949">
        <v>1669</v>
      </c>
      <c r="B949" s="4">
        <v>44777</v>
      </c>
      <c r="C949" s="5">
        <v>0.93611111111111112</v>
      </c>
      <c r="D949" t="s">
        <v>174</v>
      </c>
      <c r="E949" t="s">
        <v>16</v>
      </c>
      <c r="F949">
        <v>24</v>
      </c>
      <c r="G949" t="s">
        <v>20</v>
      </c>
      <c r="H949">
        <v>4</v>
      </c>
      <c r="I949">
        <v>300</v>
      </c>
      <c r="J949">
        <v>123</v>
      </c>
      <c r="K949">
        <v>1200</v>
      </c>
      <c r="L949">
        <v>1077</v>
      </c>
      <c r="M949">
        <v>0.89749999999999996</v>
      </c>
      <c r="N949" t="s">
        <v>31</v>
      </c>
    </row>
    <row r="950" spans="1:14">
      <c r="A950">
        <v>1877</v>
      </c>
      <c r="B950" s="4">
        <v>44951</v>
      </c>
      <c r="C950" s="5">
        <v>0.84652777777777777</v>
      </c>
      <c r="D950" t="s">
        <v>62</v>
      </c>
      <c r="E950" t="s">
        <v>23</v>
      </c>
      <c r="F950">
        <v>58</v>
      </c>
      <c r="G950" t="s">
        <v>17</v>
      </c>
      <c r="H950">
        <v>1</v>
      </c>
      <c r="I950">
        <v>25</v>
      </c>
      <c r="J950">
        <v>10.5</v>
      </c>
      <c r="K950">
        <v>25</v>
      </c>
      <c r="L950">
        <v>14.5</v>
      </c>
      <c r="M950">
        <v>0.57999999999999996</v>
      </c>
      <c r="N950" t="s">
        <v>28</v>
      </c>
    </row>
    <row r="951" spans="1:14">
      <c r="A951">
        <v>422</v>
      </c>
      <c r="B951" s="4">
        <v>44794</v>
      </c>
      <c r="C951" s="5">
        <v>0.94027777777777777</v>
      </c>
      <c r="D951" t="s">
        <v>52</v>
      </c>
      <c r="E951" t="s">
        <v>23</v>
      </c>
      <c r="F951">
        <v>28</v>
      </c>
      <c r="G951" t="s">
        <v>17</v>
      </c>
      <c r="H951">
        <v>3</v>
      </c>
      <c r="I951">
        <v>30</v>
      </c>
      <c r="J951">
        <v>13.2</v>
      </c>
      <c r="K951">
        <v>90</v>
      </c>
      <c r="L951">
        <v>76.8</v>
      </c>
      <c r="M951">
        <v>0.85333333333333328</v>
      </c>
      <c r="N951" t="s">
        <v>39</v>
      </c>
    </row>
    <row r="952" spans="1:14">
      <c r="A952">
        <v>466</v>
      </c>
      <c r="B952" s="4">
        <v>44937</v>
      </c>
      <c r="C952" s="5">
        <v>0.91111111111111109</v>
      </c>
      <c r="D952" t="s">
        <v>32</v>
      </c>
      <c r="E952" t="s">
        <v>16</v>
      </c>
      <c r="F952">
        <v>63</v>
      </c>
      <c r="G952" t="s">
        <v>30</v>
      </c>
      <c r="H952">
        <v>4</v>
      </c>
      <c r="I952">
        <v>25</v>
      </c>
      <c r="J952">
        <v>13.75</v>
      </c>
      <c r="K952">
        <v>100</v>
      </c>
      <c r="L952">
        <v>86.25</v>
      </c>
      <c r="M952">
        <v>0.86250000000000004</v>
      </c>
      <c r="N952" t="s">
        <v>28</v>
      </c>
    </row>
    <row r="953" spans="1:14">
      <c r="A953">
        <v>1422</v>
      </c>
      <c r="B953" s="4">
        <v>44688</v>
      </c>
      <c r="C953" s="5">
        <v>0.8618055555555556</v>
      </c>
      <c r="D953" t="s">
        <v>163</v>
      </c>
      <c r="E953" t="s">
        <v>23</v>
      </c>
      <c r="F953">
        <v>28</v>
      </c>
      <c r="G953" t="s">
        <v>17</v>
      </c>
      <c r="H953">
        <v>3</v>
      </c>
      <c r="I953">
        <v>30</v>
      </c>
      <c r="J953">
        <v>13.5</v>
      </c>
      <c r="K953">
        <v>90</v>
      </c>
      <c r="L953">
        <v>76.5</v>
      </c>
      <c r="M953">
        <v>0.85</v>
      </c>
      <c r="N953" t="s">
        <v>39</v>
      </c>
    </row>
    <row r="954" spans="1:14">
      <c r="A954">
        <v>1466</v>
      </c>
      <c r="B954" s="4">
        <v>44942</v>
      </c>
      <c r="C954" s="5">
        <v>0.93541666666666667</v>
      </c>
      <c r="D954" t="s">
        <v>167</v>
      </c>
      <c r="E954" t="s">
        <v>16</v>
      </c>
      <c r="F954">
        <v>63</v>
      </c>
      <c r="G954" t="s">
        <v>30</v>
      </c>
      <c r="H954">
        <v>4</v>
      </c>
      <c r="I954">
        <v>25</v>
      </c>
      <c r="J954">
        <v>10.75</v>
      </c>
      <c r="K954">
        <v>100</v>
      </c>
      <c r="L954">
        <v>89.25</v>
      </c>
      <c r="M954">
        <v>0.89249999999999996</v>
      </c>
      <c r="N954" t="s">
        <v>28</v>
      </c>
    </row>
    <row r="955" spans="1:14">
      <c r="A955">
        <v>583</v>
      </c>
      <c r="B955" s="4">
        <v>44589</v>
      </c>
      <c r="C955" s="5">
        <v>0.82222222222222219</v>
      </c>
      <c r="D955" t="s">
        <v>161</v>
      </c>
      <c r="E955" t="s">
        <v>23</v>
      </c>
      <c r="F955">
        <v>24</v>
      </c>
      <c r="G955" t="s">
        <v>30</v>
      </c>
      <c r="H955">
        <v>4</v>
      </c>
      <c r="I955">
        <v>25</v>
      </c>
      <c r="J955">
        <v>7.75</v>
      </c>
      <c r="K955">
        <v>100</v>
      </c>
      <c r="L955">
        <v>92.25</v>
      </c>
      <c r="M955">
        <v>0.92249999999999999</v>
      </c>
      <c r="N955" t="s">
        <v>31</v>
      </c>
    </row>
    <row r="956" spans="1:14">
      <c r="A956">
        <v>654</v>
      </c>
      <c r="B956" s="4">
        <v>45152</v>
      </c>
      <c r="C956" s="5">
        <v>0.73611111111111116</v>
      </c>
      <c r="D956" t="s">
        <v>172</v>
      </c>
      <c r="E956" t="s">
        <v>16</v>
      </c>
      <c r="F956">
        <v>42</v>
      </c>
      <c r="G956" t="s">
        <v>17</v>
      </c>
      <c r="H956">
        <v>3</v>
      </c>
      <c r="I956">
        <v>25</v>
      </c>
      <c r="J956">
        <v>9.25</v>
      </c>
      <c r="K956">
        <v>75</v>
      </c>
      <c r="L956">
        <v>65.75</v>
      </c>
      <c r="M956">
        <v>0.87666666666666671</v>
      </c>
      <c r="N956" t="s">
        <v>18</v>
      </c>
    </row>
    <row r="957" spans="1:14">
      <c r="A957">
        <v>1583</v>
      </c>
      <c r="B957" s="4">
        <v>45242</v>
      </c>
      <c r="C957" s="5">
        <v>0.95416666666666672</v>
      </c>
      <c r="D957" t="s">
        <v>37</v>
      </c>
      <c r="E957" t="s">
        <v>23</v>
      </c>
      <c r="F957">
        <v>24</v>
      </c>
      <c r="G957" t="s">
        <v>30</v>
      </c>
      <c r="H957">
        <v>4</v>
      </c>
      <c r="I957">
        <v>25</v>
      </c>
      <c r="J957">
        <v>13</v>
      </c>
      <c r="K957">
        <v>100</v>
      </c>
      <c r="L957">
        <v>87</v>
      </c>
      <c r="M957">
        <v>0.87</v>
      </c>
      <c r="N957" t="s">
        <v>31</v>
      </c>
    </row>
    <row r="958" spans="1:14">
      <c r="A958">
        <v>1654</v>
      </c>
      <c r="B958" s="4">
        <v>45212</v>
      </c>
      <c r="C958" s="5">
        <v>0.86597222222222225</v>
      </c>
      <c r="D958" t="s">
        <v>117</v>
      </c>
      <c r="E958" t="s">
        <v>16</v>
      </c>
      <c r="F958">
        <v>42</v>
      </c>
      <c r="G958" t="s">
        <v>17</v>
      </c>
      <c r="H958">
        <v>3</v>
      </c>
      <c r="I958">
        <v>25</v>
      </c>
      <c r="J958">
        <v>6.25</v>
      </c>
      <c r="K958">
        <v>75</v>
      </c>
      <c r="L958">
        <v>68.75</v>
      </c>
      <c r="M958">
        <v>0.91666666666666663</v>
      </c>
      <c r="N958" t="s">
        <v>18</v>
      </c>
    </row>
    <row r="959" spans="1:14">
      <c r="A959">
        <v>40</v>
      </c>
      <c r="B959" s="4">
        <v>44719</v>
      </c>
      <c r="C959" s="5">
        <v>0.8979166666666667</v>
      </c>
      <c r="D959" t="s">
        <v>92</v>
      </c>
      <c r="E959" t="s">
        <v>16</v>
      </c>
      <c r="F959">
        <v>45</v>
      </c>
      <c r="G959" t="s">
        <v>20</v>
      </c>
      <c r="H959">
        <v>1</v>
      </c>
      <c r="I959">
        <v>50</v>
      </c>
      <c r="J959">
        <v>24.5</v>
      </c>
      <c r="K959">
        <v>50</v>
      </c>
      <c r="L959">
        <v>25.5</v>
      </c>
      <c r="M959">
        <v>0.51</v>
      </c>
      <c r="N959" t="s">
        <v>18</v>
      </c>
    </row>
    <row r="960" spans="1:14">
      <c r="A960">
        <v>699</v>
      </c>
      <c r="B960" s="4">
        <v>44886</v>
      </c>
      <c r="C960" s="5">
        <v>0.93125000000000002</v>
      </c>
      <c r="D960" t="s">
        <v>90</v>
      </c>
      <c r="E960" t="s">
        <v>23</v>
      </c>
      <c r="F960">
        <v>37</v>
      </c>
      <c r="G960" t="s">
        <v>17</v>
      </c>
      <c r="H960">
        <v>4</v>
      </c>
      <c r="I960">
        <v>30</v>
      </c>
      <c r="J960">
        <v>16.2</v>
      </c>
      <c r="K960">
        <v>120</v>
      </c>
      <c r="L960">
        <v>103.8</v>
      </c>
      <c r="M960">
        <v>0.86499999999999999</v>
      </c>
      <c r="N960" t="s">
        <v>18</v>
      </c>
    </row>
    <row r="961" spans="1:14">
      <c r="A961">
        <v>727</v>
      </c>
      <c r="B961" s="4">
        <v>45245</v>
      </c>
      <c r="C961" s="5">
        <v>0.77569444444444446</v>
      </c>
      <c r="D961" t="s">
        <v>146</v>
      </c>
      <c r="E961" t="s">
        <v>16</v>
      </c>
      <c r="F961">
        <v>55</v>
      </c>
      <c r="G961" t="s">
        <v>20</v>
      </c>
      <c r="H961">
        <v>3</v>
      </c>
      <c r="I961">
        <v>300</v>
      </c>
      <c r="J961">
        <v>105</v>
      </c>
      <c r="K961">
        <v>900</v>
      </c>
      <c r="L961">
        <v>795</v>
      </c>
      <c r="M961">
        <v>0.8833333333333333</v>
      </c>
      <c r="N961" t="s">
        <v>21</v>
      </c>
    </row>
    <row r="962" spans="1:14">
      <c r="A962">
        <v>830</v>
      </c>
      <c r="B962" s="4">
        <v>44833</v>
      </c>
      <c r="C962" s="5">
        <v>0.84652777777777777</v>
      </c>
      <c r="D962" t="s">
        <v>55</v>
      </c>
      <c r="E962" t="s">
        <v>23</v>
      </c>
      <c r="F962">
        <v>64</v>
      </c>
      <c r="G962" t="s">
        <v>17</v>
      </c>
      <c r="H962">
        <v>3</v>
      </c>
      <c r="I962">
        <v>50</v>
      </c>
      <c r="J962">
        <v>18.5</v>
      </c>
      <c r="K962">
        <v>150</v>
      </c>
      <c r="L962">
        <v>131.5</v>
      </c>
      <c r="M962">
        <v>0.87666666666666671</v>
      </c>
      <c r="N962" t="s">
        <v>28</v>
      </c>
    </row>
    <row r="963" spans="1:14">
      <c r="A963">
        <v>1040</v>
      </c>
      <c r="B963" s="4">
        <v>45272</v>
      </c>
      <c r="C963" s="5">
        <v>0.89166666666666672</v>
      </c>
      <c r="D963" t="s">
        <v>142</v>
      </c>
      <c r="E963" t="s">
        <v>16</v>
      </c>
      <c r="F963">
        <v>45</v>
      </c>
      <c r="G963" t="s">
        <v>20</v>
      </c>
      <c r="H963">
        <v>1</v>
      </c>
      <c r="I963">
        <v>50</v>
      </c>
      <c r="J963">
        <v>21</v>
      </c>
      <c r="K963">
        <v>50</v>
      </c>
      <c r="L963">
        <v>29</v>
      </c>
      <c r="M963">
        <v>0.57999999999999996</v>
      </c>
      <c r="N963" t="s">
        <v>18</v>
      </c>
    </row>
    <row r="964" spans="1:14">
      <c r="A964">
        <v>1699</v>
      </c>
      <c r="B964" s="4">
        <v>45136</v>
      </c>
      <c r="C964" s="5">
        <v>0.90625</v>
      </c>
      <c r="D964" t="s">
        <v>66</v>
      </c>
      <c r="E964" t="s">
        <v>23</v>
      </c>
      <c r="F964">
        <v>37</v>
      </c>
      <c r="G964" t="s">
        <v>17</v>
      </c>
      <c r="H964">
        <v>4</v>
      </c>
      <c r="I964">
        <v>30</v>
      </c>
      <c r="J964">
        <v>12.9</v>
      </c>
      <c r="K964">
        <v>120</v>
      </c>
      <c r="L964">
        <v>107.1</v>
      </c>
      <c r="M964">
        <v>0.89249999999999996</v>
      </c>
      <c r="N964" t="s">
        <v>18</v>
      </c>
    </row>
    <row r="965" spans="1:14">
      <c r="A965">
        <v>1727</v>
      </c>
      <c r="B965" s="4">
        <v>45146</v>
      </c>
      <c r="C965" s="5">
        <v>0.87916666666666665</v>
      </c>
      <c r="D965" t="s">
        <v>62</v>
      </c>
      <c r="E965" t="s">
        <v>16</v>
      </c>
      <c r="F965">
        <v>55</v>
      </c>
      <c r="G965" t="s">
        <v>20</v>
      </c>
      <c r="H965">
        <v>3</v>
      </c>
      <c r="I965">
        <v>300</v>
      </c>
      <c r="J965">
        <v>75</v>
      </c>
      <c r="K965">
        <v>900</v>
      </c>
      <c r="L965">
        <v>825</v>
      </c>
      <c r="M965">
        <v>0.91666666666666663</v>
      </c>
      <c r="N965" t="s">
        <v>21</v>
      </c>
    </row>
    <row r="966" spans="1:14">
      <c r="A966">
        <v>1830</v>
      </c>
      <c r="B966" s="4">
        <v>44989</v>
      </c>
      <c r="C966" s="5">
        <v>0.75277777777777777</v>
      </c>
      <c r="D966" t="s">
        <v>116</v>
      </c>
      <c r="E966" t="s">
        <v>23</v>
      </c>
      <c r="F966">
        <v>64</v>
      </c>
      <c r="G966" t="s">
        <v>17</v>
      </c>
      <c r="H966">
        <v>3</v>
      </c>
      <c r="I966">
        <v>50</v>
      </c>
      <c r="J966">
        <v>21</v>
      </c>
      <c r="K966">
        <v>150</v>
      </c>
      <c r="L966">
        <v>129</v>
      </c>
      <c r="M966">
        <v>0.86</v>
      </c>
      <c r="N966" t="s">
        <v>28</v>
      </c>
    </row>
    <row r="967" spans="1:14">
      <c r="A967">
        <v>224</v>
      </c>
      <c r="B967" s="4">
        <v>44876</v>
      </c>
      <c r="C967" s="5">
        <v>0.89722222222222225</v>
      </c>
      <c r="D967" t="s">
        <v>149</v>
      </c>
      <c r="E967" t="s">
        <v>23</v>
      </c>
      <c r="F967">
        <v>25</v>
      </c>
      <c r="G967" t="s">
        <v>17</v>
      </c>
      <c r="H967">
        <v>1</v>
      </c>
      <c r="I967">
        <v>50</v>
      </c>
      <c r="J967">
        <v>24</v>
      </c>
      <c r="K967">
        <v>50</v>
      </c>
      <c r="L967">
        <v>26</v>
      </c>
      <c r="M967">
        <v>0.52</v>
      </c>
      <c r="N967" t="s">
        <v>31</v>
      </c>
    </row>
    <row r="968" spans="1:14">
      <c r="A968">
        <v>271</v>
      </c>
      <c r="B968" s="4">
        <v>45181</v>
      </c>
      <c r="C968" s="5">
        <v>0.76597222222222228</v>
      </c>
      <c r="D968" t="s">
        <v>76</v>
      </c>
      <c r="E968" t="s">
        <v>23</v>
      </c>
      <c r="F968">
        <v>62</v>
      </c>
      <c r="G968" t="s">
        <v>20</v>
      </c>
      <c r="H968">
        <v>4</v>
      </c>
      <c r="I968">
        <v>30</v>
      </c>
      <c r="J968">
        <v>9.3000000000000007</v>
      </c>
      <c r="K968">
        <v>120</v>
      </c>
      <c r="L968">
        <v>110.7</v>
      </c>
      <c r="M968">
        <v>0.92249999999999999</v>
      </c>
      <c r="N968" t="s">
        <v>28</v>
      </c>
    </row>
    <row r="969" spans="1:14">
      <c r="A969">
        <v>1224</v>
      </c>
      <c r="B969" s="4">
        <v>44581</v>
      </c>
      <c r="C969" s="5">
        <v>0.71527777777777779</v>
      </c>
      <c r="D969" t="s">
        <v>165</v>
      </c>
      <c r="E969" t="s">
        <v>23</v>
      </c>
      <c r="F969">
        <v>25</v>
      </c>
      <c r="G969" t="s">
        <v>17</v>
      </c>
      <c r="H969">
        <v>1</v>
      </c>
      <c r="I969">
        <v>50</v>
      </c>
      <c r="J969">
        <v>20</v>
      </c>
      <c r="K969">
        <v>50</v>
      </c>
      <c r="L969">
        <v>30</v>
      </c>
      <c r="M969">
        <v>0.6</v>
      </c>
      <c r="N969" t="s">
        <v>31</v>
      </c>
    </row>
    <row r="970" spans="1:14">
      <c r="A970">
        <v>1271</v>
      </c>
      <c r="B970" s="4">
        <v>44580</v>
      </c>
      <c r="C970" s="5">
        <v>0.81319444444444444</v>
      </c>
      <c r="D970" t="s">
        <v>110</v>
      </c>
      <c r="E970" t="s">
        <v>23</v>
      </c>
      <c r="F970">
        <v>62</v>
      </c>
      <c r="G970" t="s">
        <v>20</v>
      </c>
      <c r="H970">
        <v>4</v>
      </c>
      <c r="I970">
        <v>30</v>
      </c>
      <c r="J970">
        <v>9</v>
      </c>
      <c r="K970">
        <v>120</v>
      </c>
      <c r="L970">
        <v>111</v>
      </c>
      <c r="M970">
        <v>0.92500000000000004</v>
      </c>
      <c r="N970" t="s">
        <v>28</v>
      </c>
    </row>
    <row r="971" spans="1:14">
      <c r="A971">
        <v>36</v>
      </c>
      <c r="B971" s="4">
        <v>44979</v>
      </c>
      <c r="C971" s="5">
        <v>0.92083333333333328</v>
      </c>
      <c r="D971" t="s">
        <v>115</v>
      </c>
      <c r="E971" t="s">
        <v>16</v>
      </c>
      <c r="F971">
        <v>52</v>
      </c>
      <c r="G971" t="s">
        <v>20</v>
      </c>
      <c r="H971">
        <v>3</v>
      </c>
      <c r="I971">
        <v>300</v>
      </c>
      <c r="J971">
        <v>144</v>
      </c>
      <c r="K971">
        <v>900</v>
      </c>
      <c r="L971">
        <v>756</v>
      </c>
      <c r="M971">
        <v>0.84</v>
      </c>
      <c r="N971" t="s">
        <v>21</v>
      </c>
    </row>
    <row r="972" spans="1:14">
      <c r="A972">
        <v>157</v>
      </c>
      <c r="B972" s="4">
        <v>44696</v>
      </c>
      <c r="C972" s="5">
        <v>0.91597222222222219</v>
      </c>
      <c r="D972" t="s">
        <v>45</v>
      </c>
      <c r="E972" t="s">
        <v>16</v>
      </c>
      <c r="F972">
        <v>62</v>
      </c>
      <c r="G972" t="s">
        <v>30</v>
      </c>
      <c r="H972">
        <v>4</v>
      </c>
      <c r="I972">
        <v>500</v>
      </c>
      <c r="J972">
        <v>170</v>
      </c>
      <c r="K972">
        <v>2000</v>
      </c>
      <c r="L972">
        <v>1830</v>
      </c>
      <c r="M972">
        <v>0.91500000000000004</v>
      </c>
      <c r="N972" t="s">
        <v>28</v>
      </c>
    </row>
    <row r="973" spans="1:14">
      <c r="A973">
        <v>796</v>
      </c>
      <c r="B973" s="4">
        <v>44835</v>
      </c>
      <c r="C973" s="5">
        <v>0.82638888888888884</v>
      </c>
      <c r="D973" t="s">
        <v>140</v>
      </c>
      <c r="E973" t="s">
        <v>16</v>
      </c>
      <c r="F973">
        <v>43</v>
      </c>
      <c r="G973" t="s">
        <v>20</v>
      </c>
      <c r="H973">
        <v>4</v>
      </c>
      <c r="I973">
        <v>30</v>
      </c>
      <c r="J973">
        <v>7.8</v>
      </c>
      <c r="K973">
        <v>120</v>
      </c>
      <c r="L973">
        <v>112.2</v>
      </c>
      <c r="M973">
        <v>0.93500000000000005</v>
      </c>
      <c r="N973" t="s">
        <v>18</v>
      </c>
    </row>
    <row r="974" spans="1:14">
      <c r="A974">
        <v>839</v>
      </c>
      <c r="B974" s="4">
        <v>45241</v>
      </c>
      <c r="C974" s="5">
        <v>0.87638888888888888</v>
      </c>
      <c r="D974" t="s">
        <v>51</v>
      </c>
      <c r="E974" t="s">
        <v>23</v>
      </c>
      <c r="F974">
        <v>20</v>
      </c>
      <c r="G974" t="s">
        <v>30</v>
      </c>
      <c r="H974">
        <v>4</v>
      </c>
      <c r="I974">
        <v>300</v>
      </c>
      <c r="J974">
        <v>96</v>
      </c>
      <c r="K974">
        <v>1200</v>
      </c>
      <c r="L974">
        <v>1104</v>
      </c>
      <c r="M974">
        <v>0.92</v>
      </c>
      <c r="N974" t="s">
        <v>31</v>
      </c>
    </row>
    <row r="975" spans="1:14">
      <c r="A975">
        <v>927</v>
      </c>
      <c r="B975" s="4">
        <v>44613</v>
      </c>
      <c r="C975" s="5">
        <v>0.71736111111111112</v>
      </c>
      <c r="D975" t="s">
        <v>174</v>
      </c>
      <c r="E975" t="s">
        <v>16</v>
      </c>
      <c r="F975">
        <v>43</v>
      </c>
      <c r="G975" t="s">
        <v>30</v>
      </c>
      <c r="H975">
        <v>4</v>
      </c>
      <c r="I975">
        <v>500</v>
      </c>
      <c r="J975">
        <v>250</v>
      </c>
      <c r="K975">
        <v>2000</v>
      </c>
      <c r="L975">
        <v>1750</v>
      </c>
      <c r="M975">
        <v>0.875</v>
      </c>
      <c r="N975" t="s">
        <v>18</v>
      </c>
    </row>
    <row r="976" spans="1:14">
      <c r="A976">
        <v>1036</v>
      </c>
      <c r="B976" s="4">
        <v>44790</v>
      </c>
      <c r="C976" s="5">
        <v>0.75208333333333333</v>
      </c>
      <c r="D976" t="s">
        <v>126</v>
      </c>
      <c r="E976" t="s">
        <v>16</v>
      </c>
      <c r="F976">
        <v>52</v>
      </c>
      <c r="G976" t="s">
        <v>20</v>
      </c>
      <c r="H976">
        <v>3</v>
      </c>
      <c r="I976">
        <v>300</v>
      </c>
      <c r="J976">
        <v>117</v>
      </c>
      <c r="K976">
        <v>900</v>
      </c>
      <c r="L976">
        <v>783</v>
      </c>
      <c r="M976">
        <v>0.87</v>
      </c>
      <c r="N976" t="s">
        <v>21</v>
      </c>
    </row>
    <row r="977" spans="1:14">
      <c r="A977">
        <v>1157</v>
      </c>
      <c r="B977" s="4">
        <v>44918</v>
      </c>
      <c r="C977" s="5">
        <v>0.89166666666666672</v>
      </c>
      <c r="D977" t="s">
        <v>107</v>
      </c>
      <c r="E977" t="s">
        <v>16</v>
      </c>
      <c r="F977">
        <v>62</v>
      </c>
      <c r="G977" t="s">
        <v>30</v>
      </c>
      <c r="H977">
        <v>4</v>
      </c>
      <c r="I977">
        <v>500</v>
      </c>
      <c r="J977">
        <v>270</v>
      </c>
      <c r="K977">
        <v>2000</v>
      </c>
      <c r="L977">
        <v>1730</v>
      </c>
      <c r="M977">
        <v>0.86499999999999999</v>
      </c>
      <c r="N977" t="s">
        <v>28</v>
      </c>
    </row>
    <row r="978" spans="1:14">
      <c r="A978">
        <v>1796</v>
      </c>
      <c r="B978" s="4">
        <v>45242</v>
      </c>
      <c r="C978" s="5">
        <v>0.77500000000000002</v>
      </c>
      <c r="D978" t="s">
        <v>95</v>
      </c>
      <c r="E978" t="s">
        <v>16</v>
      </c>
      <c r="F978">
        <v>43</v>
      </c>
      <c r="G978" t="s">
        <v>20</v>
      </c>
      <c r="H978">
        <v>4</v>
      </c>
      <c r="I978">
        <v>30</v>
      </c>
      <c r="J978">
        <v>11.1</v>
      </c>
      <c r="K978">
        <v>120</v>
      </c>
      <c r="L978">
        <v>108.9</v>
      </c>
      <c r="M978">
        <v>0.90750000000000008</v>
      </c>
      <c r="N978" t="s">
        <v>18</v>
      </c>
    </row>
    <row r="979" spans="1:14">
      <c r="A979">
        <v>1839</v>
      </c>
      <c r="B979" s="4">
        <v>44801</v>
      </c>
      <c r="C979" s="5">
        <v>0.9145833333333333</v>
      </c>
      <c r="D979" t="s">
        <v>172</v>
      </c>
      <c r="E979" t="s">
        <v>23</v>
      </c>
      <c r="F979">
        <v>20</v>
      </c>
      <c r="G979" t="s">
        <v>30</v>
      </c>
      <c r="H979">
        <v>4</v>
      </c>
      <c r="I979">
        <v>300</v>
      </c>
      <c r="J979">
        <v>156</v>
      </c>
      <c r="K979">
        <v>1200</v>
      </c>
      <c r="L979">
        <v>1044</v>
      </c>
      <c r="M979">
        <v>0.87</v>
      </c>
      <c r="N979" t="s">
        <v>31</v>
      </c>
    </row>
    <row r="980" spans="1:14">
      <c r="A980">
        <v>1927</v>
      </c>
      <c r="B980" s="4">
        <v>45175</v>
      </c>
      <c r="C980" s="5">
        <v>0.82222222222222219</v>
      </c>
      <c r="D980" t="s">
        <v>118</v>
      </c>
      <c r="E980" t="s">
        <v>16</v>
      </c>
      <c r="F980">
        <v>43</v>
      </c>
      <c r="G980" t="s">
        <v>30</v>
      </c>
      <c r="H980">
        <v>4</v>
      </c>
      <c r="I980">
        <v>500</v>
      </c>
      <c r="J980">
        <v>180</v>
      </c>
      <c r="K980">
        <v>2000</v>
      </c>
      <c r="L980">
        <v>1820</v>
      </c>
      <c r="M980">
        <v>0.91</v>
      </c>
      <c r="N980" t="s">
        <v>18</v>
      </c>
    </row>
    <row r="981" spans="1:14">
      <c r="A981">
        <v>407</v>
      </c>
      <c r="B981" s="4">
        <v>44758</v>
      </c>
      <c r="C981" s="5">
        <v>0.92847222222222225</v>
      </c>
      <c r="D981" t="s">
        <v>15</v>
      </c>
      <c r="E981" t="s">
        <v>23</v>
      </c>
      <c r="F981">
        <v>46</v>
      </c>
      <c r="G981" t="s">
        <v>30</v>
      </c>
      <c r="H981">
        <v>3</v>
      </c>
      <c r="I981">
        <v>300</v>
      </c>
      <c r="J981">
        <v>138</v>
      </c>
      <c r="K981">
        <v>900</v>
      </c>
      <c r="L981">
        <v>762</v>
      </c>
      <c r="M981">
        <v>0.84666666666666668</v>
      </c>
      <c r="N981" t="s">
        <v>21</v>
      </c>
    </row>
    <row r="982" spans="1:14">
      <c r="A982">
        <v>1407</v>
      </c>
      <c r="B982" s="4">
        <v>44661</v>
      </c>
      <c r="C982" s="5">
        <v>0.82013888888888886</v>
      </c>
      <c r="D982" t="s">
        <v>29</v>
      </c>
      <c r="E982" t="s">
        <v>23</v>
      </c>
      <c r="F982">
        <v>46</v>
      </c>
      <c r="G982" t="s">
        <v>30</v>
      </c>
      <c r="H982">
        <v>3</v>
      </c>
      <c r="I982">
        <v>300</v>
      </c>
      <c r="J982">
        <v>120</v>
      </c>
      <c r="K982">
        <v>900</v>
      </c>
      <c r="L982">
        <v>780</v>
      </c>
      <c r="M982">
        <v>0.8666666666666667</v>
      </c>
      <c r="N982" t="s">
        <v>21</v>
      </c>
    </row>
    <row r="983" spans="1:14">
      <c r="A983">
        <v>46</v>
      </c>
      <c r="B983" s="4">
        <v>44873</v>
      </c>
      <c r="C983" s="5">
        <v>0.74305555555555558</v>
      </c>
      <c r="D983" t="s">
        <v>29</v>
      </c>
      <c r="E983" t="s">
        <v>23</v>
      </c>
      <c r="F983">
        <v>20</v>
      </c>
      <c r="G983" t="s">
        <v>30</v>
      </c>
      <c r="H983">
        <v>4</v>
      </c>
      <c r="I983">
        <v>300</v>
      </c>
      <c r="J983">
        <v>84</v>
      </c>
      <c r="K983">
        <v>1200</v>
      </c>
      <c r="L983">
        <v>1116</v>
      </c>
      <c r="M983">
        <v>0.93</v>
      </c>
      <c r="N983" t="s">
        <v>31</v>
      </c>
    </row>
    <row r="984" spans="1:14">
      <c r="A984">
        <v>509</v>
      </c>
      <c r="B984" s="4">
        <v>45117</v>
      </c>
      <c r="C984" s="5">
        <v>0.81597222222222221</v>
      </c>
      <c r="D984" t="s">
        <v>144</v>
      </c>
      <c r="E984" t="s">
        <v>23</v>
      </c>
      <c r="F984">
        <v>37</v>
      </c>
      <c r="G984" t="s">
        <v>30</v>
      </c>
      <c r="H984">
        <v>3</v>
      </c>
      <c r="I984">
        <v>300</v>
      </c>
      <c r="J984">
        <v>141</v>
      </c>
      <c r="K984">
        <v>900</v>
      </c>
      <c r="L984">
        <v>759</v>
      </c>
      <c r="M984">
        <v>0.84333333333333338</v>
      </c>
      <c r="N984" t="s">
        <v>18</v>
      </c>
    </row>
    <row r="985" spans="1:14">
      <c r="A985">
        <v>874</v>
      </c>
      <c r="B985" s="4">
        <v>44578</v>
      </c>
      <c r="C985" s="5">
        <v>0.75972222222222219</v>
      </c>
      <c r="D985" t="s">
        <v>78</v>
      </c>
      <c r="E985" t="s">
        <v>16</v>
      </c>
      <c r="F985">
        <v>60</v>
      </c>
      <c r="G985" t="s">
        <v>20</v>
      </c>
      <c r="H985">
        <v>1</v>
      </c>
      <c r="I985">
        <v>30</v>
      </c>
      <c r="J985">
        <v>12.6</v>
      </c>
      <c r="K985">
        <v>30</v>
      </c>
      <c r="L985">
        <v>17.399999999999999</v>
      </c>
      <c r="M985">
        <v>0.57999999999999996</v>
      </c>
      <c r="N985" t="s">
        <v>28</v>
      </c>
    </row>
    <row r="986" spans="1:14">
      <c r="A986">
        <v>1046</v>
      </c>
      <c r="B986" s="4">
        <v>45128</v>
      </c>
      <c r="C986" s="5">
        <v>0.90763888888888888</v>
      </c>
      <c r="D986" t="s">
        <v>22</v>
      </c>
      <c r="E986" t="s">
        <v>23</v>
      </c>
      <c r="F986">
        <v>20</v>
      </c>
      <c r="G986" t="s">
        <v>30</v>
      </c>
      <c r="H986">
        <v>4</v>
      </c>
      <c r="I986">
        <v>300</v>
      </c>
      <c r="J986">
        <v>156</v>
      </c>
      <c r="K986">
        <v>1200</v>
      </c>
      <c r="L986">
        <v>1044</v>
      </c>
      <c r="M986">
        <v>0.87</v>
      </c>
      <c r="N986" t="s">
        <v>31</v>
      </c>
    </row>
    <row r="987" spans="1:14">
      <c r="A987">
        <v>1509</v>
      </c>
      <c r="B987" s="4">
        <v>44890</v>
      </c>
      <c r="C987" s="5">
        <v>0.86111111111111116</v>
      </c>
      <c r="D987" t="s">
        <v>52</v>
      </c>
      <c r="E987" t="s">
        <v>23</v>
      </c>
      <c r="F987">
        <v>37</v>
      </c>
      <c r="G987" t="s">
        <v>30</v>
      </c>
      <c r="H987">
        <v>3</v>
      </c>
      <c r="I987">
        <v>300</v>
      </c>
      <c r="J987">
        <v>129</v>
      </c>
      <c r="K987">
        <v>900</v>
      </c>
      <c r="L987">
        <v>771</v>
      </c>
      <c r="M987">
        <v>0.85666666666666669</v>
      </c>
      <c r="N987" t="s">
        <v>18</v>
      </c>
    </row>
    <row r="988" spans="1:14">
      <c r="A988">
        <v>1874</v>
      </c>
      <c r="B988" s="4">
        <v>44695</v>
      </c>
      <c r="C988" s="5">
        <v>0.87361111111111112</v>
      </c>
      <c r="D988" t="s">
        <v>175</v>
      </c>
      <c r="E988" t="s">
        <v>16</v>
      </c>
      <c r="F988">
        <v>60</v>
      </c>
      <c r="G988" t="s">
        <v>20</v>
      </c>
      <c r="H988">
        <v>1</v>
      </c>
      <c r="I988">
        <v>30</v>
      </c>
      <c r="J988">
        <v>12.6</v>
      </c>
      <c r="K988">
        <v>30</v>
      </c>
      <c r="L988">
        <v>17.399999999999999</v>
      </c>
      <c r="M988">
        <v>0.57999999999999996</v>
      </c>
      <c r="N988" t="s">
        <v>28</v>
      </c>
    </row>
    <row r="989" spans="1:14">
      <c r="A989">
        <v>788</v>
      </c>
      <c r="B989" s="4">
        <v>44732</v>
      </c>
      <c r="C989" s="5">
        <v>0.78749999999999998</v>
      </c>
      <c r="D989" t="s">
        <v>78</v>
      </c>
      <c r="E989" t="s">
        <v>23</v>
      </c>
      <c r="F989">
        <v>52</v>
      </c>
      <c r="G989" t="s">
        <v>20</v>
      </c>
      <c r="H989">
        <v>3</v>
      </c>
      <c r="I989">
        <v>300</v>
      </c>
      <c r="J989">
        <v>105</v>
      </c>
      <c r="K989">
        <v>900</v>
      </c>
      <c r="L989">
        <v>795</v>
      </c>
      <c r="M989">
        <v>0.8833333333333333</v>
      </c>
      <c r="N989" t="s">
        <v>21</v>
      </c>
    </row>
    <row r="990" spans="1:14">
      <c r="A990">
        <v>1788</v>
      </c>
      <c r="B990" s="4">
        <v>44684</v>
      </c>
      <c r="C990" s="5">
        <v>0.85763888888888884</v>
      </c>
      <c r="D990" t="s">
        <v>45</v>
      </c>
      <c r="E990" t="s">
        <v>23</v>
      </c>
      <c r="F990">
        <v>52</v>
      </c>
      <c r="G990" t="s">
        <v>20</v>
      </c>
      <c r="H990">
        <v>3</v>
      </c>
      <c r="I990">
        <v>300</v>
      </c>
      <c r="J990">
        <v>150</v>
      </c>
      <c r="K990">
        <v>900</v>
      </c>
      <c r="L990">
        <v>750</v>
      </c>
      <c r="M990">
        <v>0.83333333333333337</v>
      </c>
      <c r="N990" t="s">
        <v>21</v>
      </c>
    </row>
    <row r="991" spans="1:14">
      <c r="A991">
        <v>378</v>
      </c>
      <c r="B991" s="4">
        <v>44868</v>
      </c>
      <c r="C991" s="5">
        <v>0.76111111111111107</v>
      </c>
      <c r="D991" t="s">
        <v>107</v>
      </c>
      <c r="E991" t="s">
        <v>16</v>
      </c>
      <c r="F991">
        <v>50</v>
      </c>
      <c r="G991" t="s">
        <v>20</v>
      </c>
      <c r="H991">
        <v>1</v>
      </c>
      <c r="I991">
        <v>300</v>
      </c>
      <c r="J991">
        <v>165</v>
      </c>
      <c r="K991">
        <v>300</v>
      </c>
      <c r="L991">
        <v>135</v>
      </c>
      <c r="M991">
        <v>0.45</v>
      </c>
      <c r="N991" t="s">
        <v>21</v>
      </c>
    </row>
    <row r="992" spans="1:14">
      <c r="A992">
        <v>1378</v>
      </c>
      <c r="B992" s="4">
        <v>44679</v>
      </c>
      <c r="C992" s="5">
        <v>0.91388888888888886</v>
      </c>
      <c r="D992" t="s">
        <v>110</v>
      </c>
      <c r="E992" t="s">
        <v>16</v>
      </c>
      <c r="F992">
        <v>50</v>
      </c>
      <c r="G992" t="s">
        <v>20</v>
      </c>
      <c r="H992">
        <v>1</v>
      </c>
      <c r="I992">
        <v>300</v>
      </c>
      <c r="J992">
        <v>132</v>
      </c>
      <c r="K992">
        <v>300</v>
      </c>
      <c r="L992">
        <v>168</v>
      </c>
      <c r="M992">
        <v>0.56000000000000005</v>
      </c>
      <c r="N992" t="s">
        <v>21</v>
      </c>
    </row>
    <row r="993" spans="1:14">
      <c r="A993">
        <v>480</v>
      </c>
      <c r="B993" s="4">
        <v>44917</v>
      </c>
      <c r="C993" s="5">
        <v>0.92500000000000004</v>
      </c>
      <c r="D993" t="s">
        <v>175</v>
      </c>
      <c r="E993" t="s">
        <v>23</v>
      </c>
      <c r="F993">
        <v>42</v>
      </c>
      <c r="G993" t="s">
        <v>20</v>
      </c>
      <c r="H993">
        <v>4</v>
      </c>
      <c r="I993">
        <v>500</v>
      </c>
      <c r="J993">
        <v>225</v>
      </c>
      <c r="K993">
        <v>2000</v>
      </c>
      <c r="L993">
        <v>1775</v>
      </c>
      <c r="M993">
        <v>0.88749999999999996</v>
      </c>
      <c r="N993" t="s">
        <v>18</v>
      </c>
    </row>
    <row r="994" spans="1:14">
      <c r="A994">
        <v>492</v>
      </c>
      <c r="B994" s="4">
        <v>45276</v>
      </c>
      <c r="C994" s="5">
        <v>0.74444444444444446</v>
      </c>
      <c r="D994" t="s">
        <v>159</v>
      </c>
      <c r="E994" t="s">
        <v>16</v>
      </c>
      <c r="F994">
        <v>61</v>
      </c>
      <c r="G994" t="s">
        <v>20</v>
      </c>
      <c r="H994">
        <v>4</v>
      </c>
      <c r="I994">
        <v>25</v>
      </c>
      <c r="J994">
        <v>6.5</v>
      </c>
      <c r="K994">
        <v>100</v>
      </c>
      <c r="L994">
        <v>93.5</v>
      </c>
      <c r="M994">
        <v>0.93500000000000005</v>
      </c>
      <c r="N994" t="s">
        <v>28</v>
      </c>
    </row>
    <row r="995" spans="1:14">
      <c r="A995">
        <v>737</v>
      </c>
      <c r="B995" s="4">
        <v>45008</v>
      </c>
      <c r="C995" s="5">
        <v>0.88263888888888886</v>
      </c>
      <c r="D995" t="s">
        <v>112</v>
      </c>
      <c r="E995" t="s">
        <v>23</v>
      </c>
      <c r="F995">
        <v>33</v>
      </c>
      <c r="G995" t="s">
        <v>17</v>
      </c>
      <c r="H995">
        <v>1</v>
      </c>
      <c r="I995">
        <v>50</v>
      </c>
      <c r="J995">
        <v>14</v>
      </c>
      <c r="K995">
        <v>50</v>
      </c>
      <c r="L995">
        <v>36</v>
      </c>
      <c r="M995">
        <v>0.72</v>
      </c>
      <c r="N995" t="s">
        <v>39</v>
      </c>
    </row>
    <row r="996" spans="1:14">
      <c r="A996">
        <v>1480</v>
      </c>
      <c r="B996" s="4">
        <v>45256</v>
      </c>
      <c r="C996" s="5">
        <v>0.75347222222222221</v>
      </c>
      <c r="D996" t="s">
        <v>81</v>
      </c>
      <c r="E996" t="s">
        <v>23</v>
      </c>
      <c r="F996">
        <v>42</v>
      </c>
      <c r="G996" t="s">
        <v>20</v>
      </c>
      <c r="H996">
        <v>4</v>
      </c>
      <c r="I996">
        <v>500</v>
      </c>
      <c r="J996">
        <v>165</v>
      </c>
      <c r="K996">
        <v>2000</v>
      </c>
      <c r="L996">
        <v>1835</v>
      </c>
      <c r="M996">
        <v>0.91749999999999998</v>
      </c>
      <c r="N996" t="s">
        <v>18</v>
      </c>
    </row>
    <row r="997" spans="1:14">
      <c r="A997">
        <v>1492</v>
      </c>
      <c r="B997" s="4">
        <v>45164</v>
      </c>
      <c r="C997" s="5">
        <v>0.92291666666666672</v>
      </c>
      <c r="D997" t="s">
        <v>108</v>
      </c>
      <c r="E997" t="s">
        <v>16</v>
      </c>
      <c r="F997">
        <v>61</v>
      </c>
      <c r="G997" t="s">
        <v>20</v>
      </c>
      <c r="H997">
        <v>4</v>
      </c>
      <c r="I997">
        <v>25</v>
      </c>
      <c r="J997">
        <v>10</v>
      </c>
      <c r="K997">
        <v>100</v>
      </c>
      <c r="L997">
        <v>90</v>
      </c>
      <c r="M997">
        <v>0.9</v>
      </c>
      <c r="N997" t="s">
        <v>28</v>
      </c>
    </row>
    <row r="998" spans="1:14">
      <c r="A998">
        <v>1737</v>
      </c>
      <c r="B998" s="4">
        <v>44879</v>
      </c>
      <c r="C998" s="5">
        <v>0.93888888888888888</v>
      </c>
      <c r="D998" t="s">
        <v>115</v>
      </c>
      <c r="E998" t="s">
        <v>23</v>
      </c>
      <c r="F998">
        <v>33</v>
      </c>
      <c r="G998" t="s">
        <v>17</v>
      </c>
      <c r="H998">
        <v>1</v>
      </c>
      <c r="I998">
        <v>50</v>
      </c>
      <c r="J998">
        <v>14</v>
      </c>
      <c r="K998">
        <v>50</v>
      </c>
      <c r="L998">
        <v>36</v>
      </c>
      <c r="M998">
        <v>0.72</v>
      </c>
      <c r="N998" t="s">
        <v>39</v>
      </c>
    </row>
    <row r="999" spans="1:14">
      <c r="A999">
        <v>684</v>
      </c>
      <c r="B999" s="4">
        <v>45097</v>
      </c>
      <c r="C999" s="5">
        <v>0.75138888888888888</v>
      </c>
      <c r="D999" t="s">
        <v>29</v>
      </c>
      <c r="E999" t="s">
        <v>23</v>
      </c>
      <c r="F999">
        <v>28</v>
      </c>
      <c r="G999" t="s">
        <v>17</v>
      </c>
      <c r="H999">
        <v>2</v>
      </c>
      <c r="I999">
        <v>500</v>
      </c>
      <c r="J999">
        <v>225</v>
      </c>
      <c r="K999">
        <v>1000</v>
      </c>
      <c r="L999">
        <v>775</v>
      </c>
      <c r="M999">
        <v>0.77500000000000002</v>
      </c>
      <c r="N999" t="s">
        <v>39</v>
      </c>
    </row>
    <row r="1000" spans="1:14">
      <c r="A1000">
        <v>878</v>
      </c>
      <c r="B1000" s="4">
        <v>45225</v>
      </c>
      <c r="C1000" s="5">
        <v>0.78680555555555554</v>
      </c>
      <c r="D1000" t="s">
        <v>99</v>
      </c>
      <c r="E1000" t="s">
        <v>23</v>
      </c>
      <c r="F1000">
        <v>20</v>
      </c>
      <c r="G1000" t="s">
        <v>17</v>
      </c>
      <c r="H1000">
        <v>1</v>
      </c>
      <c r="I1000">
        <v>30</v>
      </c>
      <c r="J1000">
        <v>11.7</v>
      </c>
      <c r="K1000">
        <v>30</v>
      </c>
      <c r="L1000">
        <v>18.3</v>
      </c>
      <c r="M1000">
        <v>0.61</v>
      </c>
      <c r="N1000" t="s">
        <v>31</v>
      </c>
    </row>
    <row r="1001" spans="1:14">
      <c r="A1001">
        <v>1684</v>
      </c>
      <c r="B1001" s="4">
        <v>44949</v>
      </c>
      <c r="C1001" s="5">
        <v>0.90277777777777779</v>
      </c>
      <c r="D1001" t="s">
        <v>131</v>
      </c>
      <c r="E1001" t="s">
        <v>23</v>
      </c>
      <c r="F1001">
        <v>28</v>
      </c>
      <c r="G1001" t="s">
        <v>17</v>
      </c>
      <c r="H1001">
        <v>2</v>
      </c>
      <c r="I1001">
        <v>500</v>
      </c>
      <c r="J1001">
        <v>200</v>
      </c>
      <c r="K1001">
        <v>1000</v>
      </c>
      <c r="L1001">
        <v>800</v>
      </c>
      <c r="M1001">
        <v>0.8</v>
      </c>
      <c r="N1001" t="s">
        <v>39</v>
      </c>
    </row>
    <row r="1002" spans="1:14">
      <c r="A1002">
        <v>1878</v>
      </c>
      <c r="B1002" s="4">
        <v>44950</v>
      </c>
      <c r="C1002" s="5">
        <v>0.9555555555555556</v>
      </c>
      <c r="D1002" t="s">
        <v>111</v>
      </c>
      <c r="E1002" t="s">
        <v>23</v>
      </c>
      <c r="F1002">
        <v>20</v>
      </c>
      <c r="G1002" t="s">
        <v>17</v>
      </c>
      <c r="H1002">
        <v>1</v>
      </c>
      <c r="I1002">
        <v>30</v>
      </c>
      <c r="J1002">
        <v>7.5</v>
      </c>
      <c r="K1002">
        <v>30</v>
      </c>
      <c r="L1002">
        <v>22.5</v>
      </c>
      <c r="M1002">
        <v>0.75</v>
      </c>
      <c r="N1002" t="s">
        <v>31</v>
      </c>
    </row>
    <row r="1003" spans="1:14">
      <c r="A1003">
        <v>78</v>
      </c>
      <c r="B1003" s="4">
        <v>44974</v>
      </c>
      <c r="C1003" s="5">
        <v>0.88055555555555554</v>
      </c>
      <c r="D1003" t="s">
        <v>47</v>
      </c>
      <c r="E1003" t="s">
        <v>23</v>
      </c>
      <c r="F1003">
        <v>47</v>
      </c>
      <c r="G1003" t="s">
        <v>17</v>
      </c>
      <c r="H1003">
        <v>3</v>
      </c>
      <c r="I1003">
        <v>500</v>
      </c>
      <c r="J1003">
        <v>265</v>
      </c>
      <c r="K1003">
        <v>1500</v>
      </c>
      <c r="L1003">
        <v>1235</v>
      </c>
      <c r="M1003">
        <v>0.82333333333333336</v>
      </c>
      <c r="N1003" t="s">
        <v>21</v>
      </c>
    </row>
    <row r="1004" spans="1:14">
      <c r="A1004">
        <v>260</v>
      </c>
      <c r="B1004" s="4">
        <v>44945</v>
      </c>
      <c r="C1004" s="5">
        <v>0.88124999999999998</v>
      </c>
      <c r="D1004" t="s">
        <v>148</v>
      </c>
      <c r="E1004" t="s">
        <v>16</v>
      </c>
      <c r="F1004">
        <v>28</v>
      </c>
      <c r="G1004" t="s">
        <v>20</v>
      </c>
      <c r="H1004">
        <v>2</v>
      </c>
      <c r="I1004">
        <v>30</v>
      </c>
      <c r="J1004">
        <v>10.5</v>
      </c>
      <c r="K1004">
        <v>60</v>
      </c>
      <c r="L1004">
        <v>49.5</v>
      </c>
      <c r="M1004">
        <v>0.82499999999999996</v>
      </c>
      <c r="N1004" t="s">
        <v>39</v>
      </c>
    </row>
    <row r="1005" spans="1:14">
      <c r="A1005">
        <v>455</v>
      </c>
      <c r="B1005" s="4">
        <v>45251</v>
      </c>
      <c r="C1005" s="5">
        <v>0.80208333333333337</v>
      </c>
      <c r="D1005" t="s">
        <v>136</v>
      </c>
      <c r="E1005" t="s">
        <v>16</v>
      </c>
      <c r="F1005">
        <v>31</v>
      </c>
      <c r="G1005" t="s">
        <v>30</v>
      </c>
      <c r="H1005">
        <v>4</v>
      </c>
      <c r="I1005">
        <v>25</v>
      </c>
      <c r="J1005">
        <v>13.25</v>
      </c>
      <c r="K1005">
        <v>100</v>
      </c>
      <c r="L1005">
        <v>86.75</v>
      </c>
      <c r="M1005">
        <v>0.86750000000000005</v>
      </c>
      <c r="N1005" t="s">
        <v>39</v>
      </c>
    </row>
    <row r="1006" spans="1:14">
      <c r="A1006">
        <v>837</v>
      </c>
      <c r="B1006" s="4">
        <v>44941</v>
      </c>
      <c r="C1006" s="5">
        <v>0.85763888888888884</v>
      </c>
      <c r="D1006" t="s">
        <v>158</v>
      </c>
      <c r="E1006" t="s">
        <v>16</v>
      </c>
      <c r="F1006">
        <v>18</v>
      </c>
      <c r="G1006" t="s">
        <v>20</v>
      </c>
      <c r="H1006">
        <v>3</v>
      </c>
      <c r="I1006">
        <v>30</v>
      </c>
      <c r="J1006">
        <v>7.5</v>
      </c>
      <c r="K1006">
        <v>90</v>
      </c>
      <c r="L1006">
        <v>82.5</v>
      </c>
      <c r="M1006">
        <v>0.91666666666666663</v>
      </c>
      <c r="N1006" t="s">
        <v>31</v>
      </c>
    </row>
    <row r="1007" spans="1:14">
      <c r="A1007">
        <v>1078</v>
      </c>
      <c r="B1007" s="4">
        <v>45050</v>
      </c>
      <c r="C1007" s="5">
        <v>0.93055555555555558</v>
      </c>
      <c r="D1007" t="s">
        <v>50</v>
      </c>
      <c r="E1007" t="s">
        <v>23</v>
      </c>
      <c r="F1007">
        <v>47</v>
      </c>
      <c r="G1007" t="s">
        <v>17</v>
      </c>
      <c r="H1007">
        <v>3</v>
      </c>
      <c r="I1007">
        <v>500</v>
      </c>
      <c r="J1007">
        <v>125</v>
      </c>
      <c r="K1007">
        <v>1500</v>
      </c>
      <c r="L1007">
        <v>1375</v>
      </c>
      <c r="M1007">
        <v>0.91666666666666663</v>
      </c>
      <c r="N1007" t="s">
        <v>21</v>
      </c>
    </row>
    <row r="1008" spans="1:14">
      <c r="A1008">
        <v>1260</v>
      </c>
      <c r="B1008" s="4">
        <v>45126</v>
      </c>
      <c r="C1008" s="5">
        <v>0.72638888888888886</v>
      </c>
      <c r="D1008" t="s">
        <v>15</v>
      </c>
      <c r="E1008" t="s">
        <v>16</v>
      </c>
      <c r="F1008">
        <v>28</v>
      </c>
      <c r="G1008" t="s">
        <v>20</v>
      </c>
      <c r="H1008">
        <v>2</v>
      </c>
      <c r="I1008">
        <v>30</v>
      </c>
      <c r="J1008">
        <v>13.5</v>
      </c>
      <c r="K1008">
        <v>60</v>
      </c>
      <c r="L1008">
        <v>46.5</v>
      </c>
      <c r="M1008">
        <v>0.77500000000000002</v>
      </c>
      <c r="N1008" t="s">
        <v>39</v>
      </c>
    </row>
    <row r="1009" spans="1:14">
      <c r="A1009">
        <v>1455</v>
      </c>
      <c r="B1009" s="4">
        <v>44800</v>
      </c>
      <c r="C1009" s="5">
        <v>0.89930555555555558</v>
      </c>
      <c r="D1009" t="s">
        <v>146</v>
      </c>
      <c r="E1009" t="s">
        <v>16</v>
      </c>
      <c r="F1009">
        <v>31</v>
      </c>
      <c r="G1009" t="s">
        <v>30</v>
      </c>
      <c r="H1009">
        <v>4</v>
      </c>
      <c r="I1009">
        <v>25</v>
      </c>
      <c r="J1009">
        <v>13.75</v>
      </c>
      <c r="K1009">
        <v>100</v>
      </c>
      <c r="L1009">
        <v>86.25</v>
      </c>
      <c r="M1009">
        <v>0.86250000000000004</v>
      </c>
      <c r="N1009" t="s">
        <v>39</v>
      </c>
    </row>
    <row r="1010" spans="1:14">
      <c r="A1010">
        <v>1837</v>
      </c>
      <c r="B1010" s="4">
        <v>45014</v>
      </c>
      <c r="C1010" s="5">
        <v>0.86458333333333337</v>
      </c>
      <c r="D1010" t="s">
        <v>146</v>
      </c>
      <c r="E1010" t="s">
        <v>16</v>
      </c>
      <c r="F1010">
        <v>18</v>
      </c>
      <c r="G1010" t="s">
        <v>20</v>
      </c>
      <c r="H1010">
        <v>3</v>
      </c>
      <c r="I1010">
        <v>30</v>
      </c>
      <c r="J1010">
        <v>8.1</v>
      </c>
      <c r="K1010">
        <v>90</v>
      </c>
      <c r="L1010">
        <v>81.900000000000006</v>
      </c>
      <c r="M1010">
        <v>0.91</v>
      </c>
      <c r="N1010" t="s">
        <v>31</v>
      </c>
    </row>
    <row r="1011" spans="1:14">
      <c r="A1011">
        <v>45</v>
      </c>
      <c r="B1011" s="4">
        <v>44640</v>
      </c>
      <c r="C1011" s="5">
        <v>0.76875000000000004</v>
      </c>
      <c r="D1011" t="s">
        <v>126</v>
      </c>
      <c r="E1011" t="s">
        <v>23</v>
      </c>
      <c r="F1011">
        <v>55</v>
      </c>
      <c r="G1011" t="s">
        <v>30</v>
      </c>
      <c r="H1011">
        <v>1</v>
      </c>
      <c r="I1011">
        <v>30</v>
      </c>
      <c r="J1011">
        <v>10.5</v>
      </c>
      <c r="K1011">
        <v>30</v>
      </c>
      <c r="L1011">
        <v>19.5</v>
      </c>
      <c r="M1011">
        <v>0.65</v>
      </c>
      <c r="N1011" t="s">
        <v>21</v>
      </c>
    </row>
    <row r="1012" spans="1:14">
      <c r="A1012">
        <v>449</v>
      </c>
      <c r="B1012" s="4">
        <v>44564</v>
      </c>
      <c r="C1012" s="5">
        <v>0.76944444444444449</v>
      </c>
      <c r="D1012" t="s">
        <v>35</v>
      </c>
      <c r="E1012" t="s">
        <v>16</v>
      </c>
      <c r="F1012">
        <v>25</v>
      </c>
      <c r="G1012" t="s">
        <v>30</v>
      </c>
      <c r="H1012">
        <v>4</v>
      </c>
      <c r="I1012">
        <v>50</v>
      </c>
      <c r="J1012">
        <v>26.5</v>
      </c>
      <c r="K1012">
        <v>200</v>
      </c>
      <c r="L1012">
        <v>173.5</v>
      </c>
      <c r="M1012">
        <v>0.86750000000000005</v>
      </c>
      <c r="N1012" t="s">
        <v>31</v>
      </c>
    </row>
    <row r="1013" spans="1:14">
      <c r="A1013">
        <v>1045</v>
      </c>
      <c r="B1013" s="4">
        <v>44618</v>
      </c>
      <c r="C1013" s="5">
        <v>0.72777777777777775</v>
      </c>
      <c r="D1013" t="s">
        <v>166</v>
      </c>
      <c r="E1013" t="s">
        <v>23</v>
      </c>
      <c r="F1013">
        <v>55</v>
      </c>
      <c r="G1013" t="s">
        <v>30</v>
      </c>
      <c r="H1013">
        <v>1</v>
      </c>
      <c r="I1013">
        <v>30</v>
      </c>
      <c r="J1013">
        <v>9.9</v>
      </c>
      <c r="K1013">
        <v>30</v>
      </c>
      <c r="L1013">
        <v>20.100000000000001</v>
      </c>
      <c r="M1013">
        <v>0.67</v>
      </c>
      <c r="N1013" t="s">
        <v>21</v>
      </c>
    </row>
    <row r="1014" spans="1:14">
      <c r="A1014">
        <v>1449</v>
      </c>
      <c r="B1014" s="4">
        <v>44677</v>
      </c>
      <c r="C1014" s="5">
        <v>0.77916666666666667</v>
      </c>
      <c r="D1014" t="s">
        <v>44</v>
      </c>
      <c r="E1014" t="s">
        <v>16</v>
      </c>
      <c r="F1014">
        <v>25</v>
      </c>
      <c r="G1014" t="s">
        <v>30</v>
      </c>
      <c r="H1014">
        <v>4</v>
      </c>
      <c r="I1014">
        <v>50</v>
      </c>
      <c r="J1014">
        <v>23.5</v>
      </c>
      <c r="K1014">
        <v>200</v>
      </c>
      <c r="L1014">
        <v>176.5</v>
      </c>
      <c r="M1014">
        <v>0.88249999999999995</v>
      </c>
      <c r="N1014" t="s">
        <v>31</v>
      </c>
    </row>
    <row r="1015" spans="1:14">
      <c r="A1015">
        <v>904</v>
      </c>
      <c r="B1015" s="4">
        <v>44652</v>
      </c>
      <c r="C1015" s="5">
        <v>0.85138888888888886</v>
      </c>
      <c r="D1015" t="s">
        <v>131</v>
      </c>
      <c r="E1015" t="s">
        <v>16</v>
      </c>
      <c r="F1015">
        <v>28</v>
      </c>
      <c r="G1015" t="s">
        <v>17</v>
      </c>
      <c r="H1015">
        <v>1</v>
      </c>
      <c r="I1015">
        <v>500</v>
      </c>
      <c r="J1015">
        <v>160</v>
      </c>
      <c r="K1015">
        <v>500</v>
      </c>
      <c r="L1015">
        <v>340</v>
      </c>
      <c r="M1015">
        <v>0.68</v>
      </c>
      <c r="N1015" t="s">
        <v>39</v>
      </c>
    </row>
    <row r="1016" spans="1:14">
      <c r="A1016">
        <v>1904</v>
      </c>
      <c r="B1016" s="4">
        <v>44890</v>
      </c>
      <c r="C1016" s="5">
        <v>0.82013888888888886</v>
      </c>
      <c r="D1016" t="s">
        <v>15</v>
      </c>
      <c r="E1016" t="s">
        <v>16</v>
      </c>
      <c r="F1016">
        <v>28</v>
      </c>
      <c r="G1016" t="s">
        <v>17</v>
      </c>
      <c r="H1016">
        <v>1</v>
      </c>
      <c r="I1016">
        <v>500</v>
      </c>
      <c r="J1016">
        <v>220</v>
      </c>
      <c r="K1016">
        <v>500</v>
      </c>
      <c r="L1016">
        <v>280</v>
      </c>
      <c r="M1016">
        <v>0.56000000000000005</v>
      </c>
      <c r="N1016" t="s">
        <v>39</v>
      </c>
    </row>
    <row r="1017" spans="1:14">
      <c r="A1017">
        <v>59</v>
      </c>
      <c r="B1017" s="4">
        <v>44879</v>
      </c>
      <c r="C1017" s="5">
        <v>0.76944444444444449</v>
      </c>
      <c r="D1017" t="s">
        <v>89</v>
      </c>
      <c r="E1017" t="s">
        <v>16</v>
      </c>
      <c r="F1017">
        <v>62</v>
      </c>
      <c r="G1017" t="s">
        <v>17</v>
      </c>
      <c r="H1017">
        <v>1</v>
      </c>
      <c r="I1017">
        <v>50</v>
      </c>
      <c r="J1017">
        <v>27</v>
      </c>
      <c r="K1017">
        <v>50</v>
      </c>
      <c r="L1017">
        <v>23</v>
      </c>
      <c r="M1017">
        <v>0.46</v>
      </c>
      <c r="N1017" t="s">
        <v>28</v>
      </c>
    </row>
    <row r="1018" spans="1:14">
      <c r="A1018">
        <v>128</v>
      </c>
      <c r="B1018" s="4">
        <v>44916</v>
      </c>
      <c r="C1018" s="5">
        <v>0.93194444444444446</v>
      </c>
      <c r="D1018" t="s">
        <v>55</v>
      </c>
      <c r="E1018" t="s">
        <v>16</v>
      </c>
      <c r="F1018">
        <v>25</v>
      </c>
      <c r="G1018" t="s">
        <v>20</v>
      </c>
      <c r="H1018">
        <v>1</v>
      </c>
      <c r="I1018">
        <v>500</v>
      </c>
      <c r="J1018">
        <v>180</v>
      </c>
      <c r="K1018">
        <v>500</v>
      </c>
      <c r="L1018">
        <v>320</v>
      </c>
      <c r="M1018">
        <v>0.64</v>
      </c>
      <c r="N1018" t="s">
        <v>31</v>
      </c>
    </row>
    <row r="1019" spans="1:14">
      <c r="A1019">
        <v>186</v>
      </c>
      <c r="B1019" s="4">
        <v>44651</v>
      </c>
      <c r="C1019" s="5">
        <v>0.76041666666666663</v>
      </c>
      <c r="D1019" t="s">
        <v>172</v>
      </c>
      <c r="E1019" t="s">
        <v>16</v>
      </c>
      <c r="F1019">
        <v>20</v>
      </c>
      <c r="G1019" t="s">
        <v>17</v>
      </c>
      <c r="H1019">
        <v>4</v>
      </c>
      <c r="I1019">
        <v>50</v>
      </c>
      <c r="J1019">
        <v>23.5</v>
      </c>
      <c r="K1019">
        <v>200</v>
      </c>
      <c r="L1019">
        <v>176.5</v>
      </c>
      <c r="M1019">
        <v>0.88249999999999995</v>
      </c>
      <c r="N1019" t="s">
        <v>31</v>
      </c>
    </row>
    <row r="1020" spans="1:14">
      <c r="A1020">
        <v>802</v>
      </c>
      <c r="B1020" s="4">
        <v>45191</v>
      </c>
      <c r="C1020" s="5">
        <v>0.75</v>
      </c>
      <c r="D1020" t="s">
        <v>64</v>
      </c>
      <c r="E1020" t="s">
        <v>23</v>
      </c>
      <c r="F1020">
        <v>46</v>
      </c>
      <c r="G1020" t="s">
        <v>20</v>
      </c>
      <c r="H1020">
        <v>1</v>
      </c>
      <c r="I1020">
        <v>30</v>
      </c>
      <c r="J1020">
        <v>9.9</v>
      </c>
      <c r="K1020">
        <v>30</v>
      </c>
      <c r="L1020">
        <v>20.100000000000001</v>
      </c>
      <c r="M1020">
        <v>0.67</v>
      </c>
      <c r="N1020" t="s">
        <v>21</v>
      </c>
    </row>
    <row r="1021" spans="1:14">
      <c r="A1021">
        <v>1059</v>
      </c>
      <c r="B1021" s="4">
        <v>44754</v>
      </c>
      <c r="C1021" s="5">
        <v>0.92013888888888884</v>
      </c>
      <c r="D1021" t="s">
        <v>53</v>
      </c>
      <c r="E1021" t="s">
        <v>16</v>
      </c>
      <c r="F1021">
        <v>62</v>
      </c>
      <c r="G1021" t="s">
        <v>17</v>
      </c>
      <c r="H1021">
        <v>1</v>
      </c>
      <c r="I1021">
        <v>50</v>
      </c>
      <c r="J1021">
        <v>12.5</v>
      </c>
      <c r="K1021">
        <v>50</v>
      </c>
      <c r="L1021">
        <v>37.5</v>
      </c>
      <c r="M1021">
        <v>0.75</v>
      </c>
      <c r="N1021" t="s">
        <v>28</v>
      </c>
    </row>
    <row r="1022" spans="1:14">
      <c r="A1022">
        <v>1128</v>
      </c>
      <c r="B1022" s="4">
        <v>44565</v>
      </c>
      <c r="C1022" s="5">
        <v>0.73263888888888884</v>
      </c>
      <c r="D1022" t="s">
        <v>137</v>
      </c>
      <c r="E1022" t="s">
        <v>16</v>
      </c>
      <c r="F1022">
        <v>25</v>
      </c>
      <c r="G1022" t="s">
        <v>20</v>
      </c>
      <c r="H1022">
        <v>1</v>
      </c>
      <c r="I1022">
        <v>500</v>
      </c>
      <c r="J1022">
        <v>135</v>
      </c>
      <c r="K1022">
        <v>500</v>
      </c>
      <c r="L1022">
        <v>365</v>
      </c>
      <c r="M1022">
        <v>0.73</v>
      </c>
      <c r="N1022" t="s">
        <v>31</v>
      </c>
    </row>
    <row r="1023" spans="1:14">
      <c r="A1023">
        <v>1186</v>
      </c>
      <c r="B1023" s="4">
        <v>45179</v>
      </c>
      <c r="C1023" s="5">
        <v>0.76666666666666672</v>
      </c>
      <c r="D1023" t="s">
        <v>22</v>
      </c>
      <c r="E1023" t="s">
        <v>16</v>
      </c>
      <c r="F1023">
        <v>20</v>
      </c>
      <c r="G1023" t="s">
        <v>17</v>
      </c>
      <c r="H1023">
        <v>4</v>
      </c>
      <c r="I1023">
        <v>50</v>
      </c>
      <c r="J1023">
        <v>18.5</v>
      </c>
      <c r="K1023">
        <v>200</v>
      </c>
      <c r="L1023">
        <v>181.5</v>
      </c>
      <c r="M1023">
        <v>0.90749999999999997</v>
      </c>
      <c r="N1023" t="s">
        <v>31</v>
      </c>
    </row>
    <row r="1024" spans="1:14">
      <c r="A1024">
        <v>1802</v>
      </c>
      <c r="B1024" s="4">
        <v>44755</v>
      </c>
      <c r="C1024" s="5">
        <v>0.92847222222222225</v>
      </c>
      <c r="D1024" t="s">
        <v>86</v>
      </c>
      <c r="E1024" t="s">
        <v>23</v>
      </c>
      <c r="F1024">
        <v>46</v>
      </c>
      <c r="G1024" t="s">
        <v>20</v>
      </c>
      <c r="H1024">
        <v>1</v>
      </c>
      <c r="I1024">
        <v>30</v>
      </c>
      <c r="J1024">
        <v>9.6</v>
      </c>
      <c r="K1024">
        <v>30</v>
      </c>
      <c r="L1024">
        <v>20.399999999999999</v>
      </c>
      <c r="M1024">
        <v>0.67999999999999994</v>
      </c>
      <c r="N1024" t="s">
        <v>21</v>
      </c>
    </row>
    <row r="1025" spans="1:14">
      <c r="A1025">
        <v>75</v>
      </c>
      <c r="B1025" s="4">
        <v>45061</v>
      </c>
      <c r="C1025" s="5">
        <v>0.86875000000000002</v>
      </c>
      <c r="D1025" t="s">
        <v>166</v>
      </c>
      <c r="E1025" t="s">
        <v>16</v>
      </c>
      <c r="F1025">
        <v>61</v>
      </c>
      <c r="G1025" t="s">
        <v>20</v>
      </c>
      <c r="H1025">
        <v>4</v>
      </c>
      <c r="I1025">
        <v>50</v>
      </c>
      <c r="J1025">
        <v>13.5</v>
      </c>
      <c r="K1025">
        <v>200</v>
      </c>
      <c r="L1025">
        <v>186.5</v>
      </c>
      <c r="M1025">
        <v>0.9325</v>
      </c>
      <c r="N1025" t="s">
        <v>28</v>
      </c>
    </row>
    <row r="1026" spans="1:14">
      <c r="A1026">
        <v>447</v>
      </c>
      <c r="B1026" s="4">
        <v>45034</v>
      </c>
      <c r="C1026" s="5">
        <v>0.74791666666666667</v>
      </c>
      <c r="D1026" t="s">
        <v>96</v>
      </c>
      <c r="E1026" t="s">
        <v>16</v>
      </c>
      <c r="F1026">
        <v>22</v>
      </c>
      <c r="G1026" t="s">
        <v>20</v>
      </c>
      <c r="H1026">
        <v>4</v>
      </c>
      <c r="I1026">
        <v>500</v>
      </c>
      <c r="J1026">
        <v>245</v>
      </c>
      <c r="K1026">
        <v>2000</v>
      </c>
      <c r="L1026">
        <v>1755</v>
      </c>
      <c r="M1026">
        <v>0.87749999999999995</v>
      </c>
      <c r="N1026" t="s">
        <v>31</v>
      </c>
    </row>
    <row r="1027" spans="1:14">
      <c r="A1027">
        <v>528</v>
      </c>
      <c r="B1027" s="4">
        <v>45271</v>
      </c>
      <c r="C1027" s="5">
        <v>0.91041666666666665</v>
      </c>
      <c r="D1027" t="s">
        <v>37</v>
      </c>
      <c r="E1027" t="s">
        <v>23</v>
      </c>
      <c r="F1027">
        <v>36</v>
      </c>
      <c r="G1027" t="s">
        <v>17</v>
      </c>
      <c r="H1027">
        <v>2</v>
      </c>
      <c r="I1027">
        <v>30</v>
      </c>
      <c r="J1027">
        <v>9.6</v>
      </c>
      <c r="K1027">
        <v>60</v>
      </c>
      <c r="L1027">
        <v>50.4</v>
      </c>
      <c r="M1027">
        <v>0.84</v>
      </c>
      <c r="N1027" t="s">
        <v>18</v>
      </c>
    </row>
    <row r="1028" spans="1:14">
      <c r="A1028">
        <v>1075</v>
      </c>
      <c r="B1028" s="4">
        <v>44818</v>
      </c>
      <c r="C1028" s="5">
        <v>0.80347222222222225</v>
      </c>
      <c r="D1028" t="s">
        <v>172</v>
      </c>
      <c r="E1028" t="s">
        <v>16</v>
      </c>
      <c r="F1028">
        <v>61</v>
      </c>
      <c r="G1028" t="s">
        <v>20</v>
      </c>
      <c r="H1028">
        <v>4</v>
      </c>
      <c r="I1028">
        <v>50</v>
      </c>
      <c r="J1028">
        <v>21.5</v>
      </c>
      <c r="K1028">
        <v>200</v>
      </c>
      <c r="L1028">
        <v>178.5</v>
      </c>
      <c r="M1028">
        <v>0.89249999999999996</v>
      </c>
      <c r="N1028" t="s">
        <v>28</v>
      </c>
    </row>
    <row r="1029" spans="1:14">
      <c r="A1029">
        <v>1447</v>
      </c>
      <c r="B1029" s="4">
        <v>44711</v>
      </c>
      <c r="C1029" s="5">
        <v>0.93125000000000002</v>
      </c>
      <c r="D1029" t="s">
        <v>38</v>
      </c>
      <c r="E1029" t="s">
        <v>16</v>
      </c>
      <c r="F1029">
        <v>22</v>
      </c>
      <c r="G1029" t="s">
        <v>20</v>
      </c>
      <c r="H1029">
        <v>4</v>
      </c>
      <c r="I1029">
        <v>500</v>
      </c>
      <c r="J1029">
        <v>155</v>
      </c>
      <c r="K1029">
        <v>2000</v>
      </c>
      <c r="L1029">
        <v>1845</v>
      </c>
      <c r="M1029">
        <v>0.92249999999999999</v>
      </c>
      <c r="N1029" t="s">
        <v>31</v>
      </c>
    </row>
    <row r="1030" spans="1:14">
      <c r="A1030">
        <v>1528</v>
      </c>
      <c r="B1030" s="4">
        <v>45113</v>
      </c>
      <c r="C1030" s="5">
        <v>0.82222222222222219</v>
      </c>
      <c r="D1030" t="s">
        <v>175</v>
      </c>
      <c r="E1030" t="s">
        <v>23</v>
      </c>
      <c r="F1030">
        <v>36</v>
      </c>
      <c r="G1030" t="s">
        <v>17</v>
      </c>
      <c r="H1030">
        <v>2</v>
      </c>
      <c r="I1030">
        <v>30</v>
      </c>
      <c r="J1030">
        <v>12.3</v>
      </c>
      <c r="K1030">
        <v>60</v>
      </c>
      <c r="L1030">
        <v>47.7</v>
      </c>
      <c r="M1030">
        <v>0.79500000000000004</v>
      </c>
      <c r="N1030" t="s">
        <v>18</v>
      </c>
    </row>
    <row r="1031" spans="1:14">
      <c r="A1031">
        <v>759</v>
      </c>
      <c r="B1031" s="4">
        <v>45069</v>
      </c>
      <c r="C1031" s="5">
        <v>0.88958333333333328</v>
      </c>
      <c r="D1031" t="s">
        <v>82</v>
      </c>
      <c r="E1031" t="s">
        <v>16</v>
      </c>
      <c r="F1031">
        <v>49</v>
      </c>
      <c r="G1031" t="s">
        <v>30</v>
      </c>
      <c r="H1031">
        <v>2</v>
      </c>
      <c r="I1031">
        <v>50</v>
      </c>
      <c r="J1031">
        <v>21.5</v>
      </c>
      <c r="K1031">
        <v>100</v>
      </c>
      <c r="L1031">
        <v>78.5</v>
      </c>
      <c r="M1031">
        <v>0.78500000000000003</v>
      </c>
      <c r="N1031" t="s">
        <v>21</v>
      </c>
    </row>
    <row r="1032" spans="1:14">
      <c r="A1032">
        <v>870</v>
      </c>
      <c r="B1032" s="4">
        <v>44662</v>
      </c>
      <c r="C1032" s="5">
        <v>0.82013888888888886</v>
      </c>
      <c r="D1032" t="s">
        <v>50</v>
      </c>
      <c r="E1032" t="s">
        <v>23</v>
      </c>
      <c r="F1032">
        <v>46</v>
      </c>
      <c r="G1032" t="s">
        <v>30</v>
      </c>
      <c r="H1032">
        <v>4</v>
      </c>
      <c r="I1032">
        <v>30</v>
      </c>
      <c r="J1032">
        <v>11.1</v>
      </c>
      <c r="K1032">
        <v>120</v>
      </c>
      <c r="L1032">
        <v>108.9</v>
      </c>
      <c r="M1032">
        <v>0.90750000000000008</v>
      </c>
      <c r="N1032" t="s">
        <v>21</v>
      </c>
    </row>
    <row r="1033" spans="1:14">
      <c r="A1033">
        <v>1759</v>
      </c>
      <c r="B1033" s="4">
        <v>44868</v>
      </c>
      <c r="C1033" s="5">
        <v>0.7270833333333333</v>
      </c>
      <c r="D1033" t="s">
        <v>37</v>
      </c>
      <c r="E1033" t="s">
        <v>16</v>
      </c>
      <c r="F1033">
        <v>49</v>
      </c>
      <c r="G1033" t="s">
        <v>30</v>
      </c>
      <c r="H1033">
        <v>2</v>
      </c>
      <c r="I1033">
        <v>50</v>
      </c>
      <c r="J1033">
        <v>23</v>
      </c>
      <c r="K1033">
        <v>100</v>
      </c>
      <c r="L1033">
        <v>77</v>
      </c>
      <c r="M1033">
        <v>0.77</v>
      </c>
      <c r="N1033" t="s">
        <v>21</v>
      </c>
    </row>
    <row r="1034" spans="1:14">
      <c r="A1034">
        <v>1870</v>
      </c>
      <c r="B1034" s="4">
        <v>45239</v>
      </c>
      <c r="C1034" s="5">
        <v>0.85972222222222228</v>
      </c>
      <c r="D1034" t="s">
        <v>122</v>
      </c>
      <c r="E1034" t="s">
        <v>23</v>
      </c>
      <c r="F1034">
        <v>46</v>
      </c>
      <c r="G1034" t="s">
        <v>30</v>
      </c>
      <c r="H1034">
        <v>4</v>
      </c>
      <c r="I1034">
        <v>30</v>
      </c>
      <c r="J1034">
        <v>10.5</v>
      </c>
      <c r="K1034">
        <v>120</v>
      </c>
      <c r="L1034">
        <v>109.5</v>
      </c>
      <c r="M1034">
        <v>0.91249999999999998</v>
      </c>
      <c r="N1034" t="s">
        <v>21</v>
      </c>
    </row>
    <row r="1035" spans="1:14">
      <c r="A1035">
        <v>77</v>
      </c>
      <c r="B1035" s="4">
        <v>44658</v>
      </c>
      <c r="C1035" s="5">
        <v>0.86458333333333337</v>
      </c>
      <c r="D1035" t="s">
        <v>76</v>
      </c>
      <c r="E1035" t="s">
        <v>23</v>
      </c>
      <c r="F1035">
        <v>47</v>
      </c>
      <c r="G1035" t="s">
        <v>17</v>
      </c>
      <c r="H1035">
        <v>2</v>
      </c>
      <c r="I1035">
        <v>50</v>
      </c>
      <c r="J1035">
        <v>24</v>
      </c>
      <c r="K1035">
        <v>100</v>
      </c>
      <c r="L1035">
        <v>76</v>
      </c>
      <c r="M1035">
        <v>0.76</v>
      </c>
      <c r="N1035" t="s">
        <v>21</v>
      </c>
    </row>
    <row r="1036" spans="1:14">
      <c r="A1036">
        <v>381</v>
      </c>
      <c r="B1036" s="4">
        <v>44591</v>
      </c>
      <c r="C1036" s="5">
        <v>0.79513888888888884</v>
      </c>
      <c r="D1036" t="s">
        <v>138</v>
      </c>
      <c r="E1036" t="s">
        <v>23</v>
      </c>
      <c r="F1036">
        <v>44</v>
      </c>
      <c r="G1036" t="s">
        <v>17</v>
      </c>
      <c r="H1036">
        <v>4</v>
      </c>
      <c r="I1036">
        <v>25</v>
      </c>
      <c r="J1036">
        <v>12.25</v>
      </c>
      <c r="K1036">
        <v>100</v>
      </c>
      <c r="L1036">
        <v>87.75</v>
      </c>
      <c r="M1036">
        <v>0.87749999999999995</v>
      </c>
      <c r="N1036" t="s">
        <v>18</v>
      </c>
    </row>
    <row r="1037" spans="1:14">
      <c r="A1037">
        <v>439</v>
      </c>
      <c r="B1037" s="4">
        <v>44687</v>
      </c>
      <c r="C1037" s="5">
        <v>0.90694444444444444</v>
      </c>
      <c r="D1037" t="s">
        <v>123</v>
      </c>
      <c r="E1037" t="s">
        <v>16</v>
      </c>
      <c r="F1037">
        <v>50</v>
      </c>
      <c r="G1037" t="s">
        <v>17</v>
      </c>
      <c r="H1037">
        <v>3</v>
      </c>
      <c r="I1037">
        <v>25</v>
      </c>
      <c r="J1037">
        <v>11.75</v>
      </c>
      <c r="K1037">
        <v>75</v>
      </c>
      <c r="L1037">
        <v>63.25</v>
      </c>
      <c r="M1037">
        <v>0.84333333333333338</v>
      </c>
      <c r="N1037" t="s">
        <v>21</v>
      </c>
    </row>
    <row r="1038" spans="1:14">
      <c r="A1038">
        <v>792</v>
      </c>
      <c r="B1038" s="4">
        <v>44930</v>
      </c>
      <c r="C1038" s="5">
        <v>0.95138888888888884</v>
      </c>
      <c r="D1038" t="s">
        <v>159</v>
      </c>
      <c r="E1038" t="s">
        <v>23</v>
      </c>
      <c r="F1038">
        <v>20</v>
      </c>
      <c r="G1038" t="s">
        <v>20</v>
      </c>
      <c r="H1038">
        <v>1</v>
      </c>
      <c r="I1038">
        <v>50</v>
      </c>
      <c r="J1038">
        <v>26.5</v>
      </c>
      <c r="K1038">
        <v>50</v>
      </c>
      <c r="L1038">
        <v>23.5</v>
      </c>
      <c r="M1038">
        <v>0.47</v>
      </c>
      <c r="N1038" t="s">
        <v>31</v>
      </c>
    </row>
    <row r="1039" spans="1:14">
      <c r="A1039">
        <v>1077</v>
      </c>
      <c r="B1039" s="4">
        <v>44911</v>
      </c>
      <c r="C1039" s="5">
        <v>0.78125</v>
      </c>
      <c r="D1039" t="s">
        <v>154</v>
      </c>
      <c r="E1039" t="s">
        <v>23</v>
      </c>
      <c r="F1039">
        <v>47</v>
      </c>
      <c r="G1039" t="s">
        <v>17</v>
      </c>
      <c r="H1039">
        <v>2</v>
      </c>
      <c r="I1039">
        <v>50</v>
      </c>
      <c r="J1039">
        <v>15</v>
      </c>
      <c r="K1039">
        <v>100</v>
      </c>
      <c r="L1039">
        <v>85</v>
      </c>
      <c r="M1039">
        <v>0.85</v>
      </c>
      <c r="N1039" t="s">
        <v>21</v>
      </c>
    </row>
    <row r="1040" spans="1:14">
      <c r="A1040">
        <v>1381</v>
      </c>
      <c r="B1040" s="4">
        <v>44860</v>
      </c>
      <c r="C1040" s="5">
        <v>0.72638888888888886</v>
      </c>
      <c r="D1040" t="s">
        <v>25</v>
      </c>
      <c r="E1040" t="s">
        <v>23</v>
      </c>
      <c r="F1040">
        <v>44</v>
      </c>
      <c r="G1040" t="s">
        <v>17</v>
      </c>
      <c r="H1040">
        <v>4</v>
      </c>
      <c r="I1040">
        <v>25</v>
      </c>
      <c r="J1040">
        <v>7.75</v>
      </c>
      <c r="K1040">
        <v>100</v>
      </c>
      <c r="L1040">
        <v>92.25</v>
      </c>
      <c r="M1040">
        <v>0.92249999999999999</v>
      </c>
      <c r="N1040" t="s">
        <v>18</v>
      </c>
    </row>
    <row r="1041" spans="1:14">
      <c r="A1041">
        <v>1439</v>
      </c>
      <c r="B1041" s="4">
        <v>45248</v>
      </c>
      <c r="C1041" s="5">
        <v>0.87013888888888891</v>
      </c>
      <c r="D1041" t="s">
        <v>130</v>
      </c>
      <c r="E1041" t="s">
        <v>16</v>
      </c>
      <c r="F1041">
        <v>50</v>
      </c>
      <c r="G1041" t="s">
        <v>17</v>
      </c>
      <c r="H1041">
        <v>3</v>
      </c>
      <c r="I1041">
        <v>25</v>
      </c>
      <c r="J1041">
        <v>7.25</v>
      </c>
      <c r="K1041">
        <v>75</v>
      </c>
      <c r="L1041">
        <v>67.75</v>
      </c>
      <c r="M1041">
        <v>0.90333333333333332</v>
      </c>
      <c r="N1041" t="s">
        <v>21</v>
      </c>
    </row>
    <row r="1042" spans="1:14">
      <c r="A1042">
        <v>1792</v>
      </c>
      <c r="B1042" s="4">
        <v>45164</v>
      </c>
      <c r="C1042" s="5">
        <v>0.73402777777777772</v>
      </c>
      <c r="D1042" t="s">
        <v>68</v>
      </c>
      <c r="E1042" t="s">
        <v>23</v>
      </c>
      <c r="F1042">
        <v>20</v>
      </c>
      <c r="G1042" t="s">
        <v>20</v>
      </c>
      <c r="H1042">
        <v>1</v>
      </c>
      <c r="I1042">
        <v>50</v>
      </c>
      <c r="J1042">
        <v>26.5</v>
      </c>
      <c r="K1042">
        <v>50</v>
      </c>
      <c r="L1042">
        <v>23.5</v>
      </c>
      <c r="M1042">
        <v>0.47</v>
      </c>
      <c r="N1042" t="s">
        <v>31</v>
      </c>
    </row>
    <row r="1043" spans="1:14">
      <c r="A1043">
        <v>176</v>
      </c>
      <c r="B1043" s="4">
        <v>45072</v>
      </c>
      <c r="C1043" s="5">
        <v>0.76041666666666663</v>
      </c>
      <c r="D1043" t="s">
        <v>158</v>
      </c>
      <c r="E1043" t="s">
        <v>23</v>
      </c>
      <c r="F1043">
        <v>43</v>
      </c>
      <c r="G1043" t="s">
        <v>20</v>
      </c>
      <c r="H1043">
        <v>2</v>
      </c>
      <c r="I1043">
        <v>50</v>
      </c>
      <c r="J1043">
        <v>25.5</v>
      </c>
      <c r="K1043">
        <v>100</v>
      </c>
      <c r="L1043">
        <v>74.5</v>
      </c>
      <c r="M1043">
        <v>0.745</v>
      </c>
      <c r="N1043" t="s">
        <v>18</v>
      </c>
    </row>
    <row r="1044" spans="1:14">
      <c r="A1044">
        <v>216</v>
      </c>
      <c r="B1044" s="4">
        <v>44869</v>
      </c>
      <c r="C1044" s="5">
        <v>0.72777777777777775</v>
      </c>
      <c r="D1044" t="s">
        <v>154</v>
      </c>
      <c r="E1044" t="s">
        <v>16</v>
      </c>
      <c r="F1044">
        <v>62</v>
      </c>
      <c r="G1044" t="s">
        <v>30</v>
      </c>
      <c r="H1044">
        <v>2</v>
      </c>
      <c r="I1044">
        <v>50</v>
      </c>
      <c r="J1044">
        <v>26.5</v>
      </c>
      <c r="K1044">
        <v>100</v>
      </c>
      <c r="L1044">
        <v>73.5</v>
      </c>
      <c r="M1044">
        <v>0.73499999999999999</v>
      </c>
      <c r="N1044" t="s">
        <v>28</v>
      </c>
    </row>
    <row r="1045" spans="1:14">
      <c r="A1045">
        <v>1176</v>
      </c>
      <c r="B1045" s="4">
        <v>44930</v>
      </c>
      <c r="C1045" s="5">
        <v>0.85624999999999996</v>
      </c>
      <c r="D1045" t="s">
        <v>170</v>
      </c>
      <c r="E1045" t="s">
        <v>23</v>
      </c>
      <c r="F1045">
        <v>43</v>
      </c>
      <c r="G1045" t="s">
        <v>20</v>
      </c>
      <c r="H1045">
        <v>2</v>
      </c>
      <c r="I1045">
        <v>50</v>
      </c>
      <c r="J1045">
        <v>21</v>
      </c>
      <c r="K1045">
        <v>100</v>
      </c>
      <c r="L1045">
        <v>79</v>
      </c>
      <c r="M1045">
        <v>0.79</v>
      </c>
      <c r="N1045" t="s">
        <v>18</v>
      </c>
    </row>
    <row r="1046" spans="1:14">
      <c r="A1046">
        <v>1216</v>
      </c>
      <c r="B1046" s="4">
        <v>44986</v>
      </c>
      <c r="C1046" s="5">
        <v>0.95347222222222228</v>
      </c>
      <c r="D1046" t="s">
        <v>66</v>
      </c>
      <c r="E1046" t="s">
        <v>16</v>
      </c>
      <c r="F1046">
        <v>62</v>
      </c>
      <c r="G1046" t="s">
        <v>30</v>
      </c>
      <c r="H1046">
        <v>2</v>
      </c>
      <c r="I1046">
        <v>50</v>
      </c>
      <c r="J1046">
        <v>13</v>
      </c>
      <c r="K1046">
        <v>100</v>
      </c>
      <c r="L1046">
        <v>87</v>
      </c>
      <c r="M1046">
        <v>0.87</v>
      </c>
      <c r="N1046" t="s">
        <v>28</v>
      </c>
    </row>
    <row r="1047" spans="1:14">
      <c r="A1047">
        <v>772</v>
      </c>
      <c r="B1047" s="4">
        <v>45030</v>
      </c>
      <c r="C1047" s="5">
        <v>0.90763888888888888</v>
      </c>
      <c r="D1047" t="s">
        <v>54</v>
      </c>
      <c r="E1047" t="s">
        <v>16</v>
      </c>
      <c r="F1047">
        <v>26</v>
      </c>
      <c r="G1047" t="s">
        <v>30</v>
      </c>
      <c r="H1047">
        <v>1</v>
      </c>
      <c r="I1047">
        <v>30</v>
      </c>
      <c r="J1047">
        <v>16.2</v>
      </c>
      <c r="K1047">
        <v>30</v>
      </c>
      <c r="L1047">
        <v>13.8</v>
      </c>
      <c r="M1047">
        <v>0.46</v>
      </c>
      <c r="N1047" t="s">
        <v>39</v>
      </c>
    </row>
    <row r="1048" spans="1:14">
      <c r="A1048">
        <v>1772</v>
      </c>
      <c r="B1048" s="4">
        <v>44595</v>
      </c>
      <c r="C1048" s="5">
        <v>0.79583333333333328</v>
      </c>
      <c r="D1048" t="s">
        <v>36</v>
      </c>
      <c r="E1048" t="s">
        <v>16</v>
      </c>
      <c r="F1048">
        <v>26</v>
      </c>
      <c r="G1048" t="s">
        <v>30</v>
      </c>
      <c r="H1048">
        <v>1</v>
      </c>
      <c r="I1048">
        <v>30</v>
      </c>
      <c r="J1048">
        <v>13.2</v>
      </c>
      <c r="K1048">
        <v>30</v>
      </c>
      <c r="L1048">
        <v>16.8</v>
      </c>
      <c r="M1048">
        <v>0.56000000000000005</v>
      </c>
      <c r="N1048" t="s">
        <v>39</v>
      </c>
    </row>
    <row r="1049" spans="1:14">
      <c r="A1049">
        <v>53</v>
      </c>
      <c r="B1049" s="4">
        <v>44567</v>
      </c>
      <c r="C1049" s="5">
        <v>0.74791666666666667</v>
      </c>
      <c r="D1049" t="s">
        <v>146</v>
      </c>
      <c r="E1049" t="s">
        <v>16</v>
      </c>
      <c r="F1049">
        <v>34</v>
      </c>
      <c r="G1049" t="s">
        <v>30</v>
      </c>
      <c r="H1049">
        <v>2</v>
      </c>
      <c r="I1049">
        <v>50</v>
      </c>
      <c r="J1049">
        <v>22</v>
      </c>
      <c r="K1049">
        <v>100</v>
      </c>
      <c r="L1049">
        <v>78</v>
      </c>
      <c r="M1049">
        <v>0.78</v>
      </c>
      <c r="N1049" t="s">
        <v>39</v>
      </c>
    </row>
    <row r="1050" spans="1:14">
      <c r="A1050">
        <v>1053</v>
      </c>
      <c r="B1050" s="4">
        <v>44967</v>
      </c>
      <c r="C1050" s="5">
        <v>0.88402777777777775</v>
      </c>
      <c r="D1050" t="s">
        <v>115</v>
      </c>
      <c r="E1050" t="s">
        <v>16</v>
      </c>
      <c r="F1050">
        <v>34</v>
      </c>
      <c r="G1050" t="s">
        <v>30</v>
      </c>
      <c r="H1050">
        <v>2</v>
      </c>
      <c r="I1050">
        <v>50</v>
      </c>
      <c r="J1050">
        <v>20.5</v>
      </c>
      <c r="K1050">
        <v>100</v>
      </c>
      <c r="L1050">
        <v>79.5</v>
      </c>
      <c r="M1050">
        <v>0.79500000000000004</v>
      </c>
      <c r="N1050" t="s">
        <v>39</v>
      </c>
    </row>
    <row r="1051" spans="1:14">
      <c r="A1051">
        <v>43</v>
      </c>
      <c r="B1051" s="4">
        <v>45003</v>
      </c>
      <c r="C1051" s="5">
        <v>0.90416666666666667</v>
      </c>
      <c r="D1051" t="s">
        <v>114</v>
      </c>
      <c r="E1051" t="s">
        <v>23</v>
      </c>
      <c r="F1051">
        <v>48</v>
      </c>
      <c r="G1051" t="s">
        <v>17</v>
      </c>
      <c r="H1051">
        <v>1</v>
      </c>
      <c r="I1051">
        <v>300</v>
      </c>
      <c r="J1051">
        <v>111</v>
      </c>
      <c r="K1051">
        <v>300</v>
      </c>
      <c r="L1051">
        <v>189</v>
      </c>
      <c r="M1051">
        <v>0.63</v>
      </c>
      <c r="N1051" t="s">
        <v>21</v>
      </c>
    </row>
    <row r="1052" spans="1:14">
      <c r="A1052">
        <v>71</v>
      </c>
      <c r="B1052" s="4">
        <v>44973</v>
      </c>
      <c r="C1052" s="5">
        <v>0.7993055555555556</v>
      </c>
      <c r="D1052" t="s">
        <v>146</v>
      </c>
      <c r="E1052" t="s">
        <v>23</v>
      </c>
      <c r="F1052">
        <v>51</v>
      </c>
      <c r="G1052" t="s">
        <v>20</v>
      </c>
      <c r="H1052">
        <v>4</v>
      </c>
      <c r="I1052">
        <v>25</v>
      </c>
      <c r="J1052">
        <v>11.5</v>
      </c>
      <c r="K1052">
        <v>100</v>
      </c>
      <c r="L1052">
        <v>88.5</v>
      </c>
      <c r="M1052">
        <v>0.88500000000000001</v>
      </c>
      <c r="N1052" t="s">
        <v>21</v>
      </c>
    </row>
    <row r="1053" spans="1:14">
      <c r="A1053">
        <v>93</v>
      </c>
      <c r="B1053" s="4">
        <v>44586</v>
      </c>
      <c r="C1053" s="5">
        <v>0.86944444444444446</v>
      </c>
      <c r="D1053" t="s">
        <v>147</v>
      </c>
      <c r="E1053" t="s">
        <v>23</v>
      </c>
      <c r="F1053">
        <v>35</v>
      </c>
      <c r="G1053" t="s">
        <v>20</v>
      </c>
      <c r="H1053">
        <v>4</v>
      </c>
      <c r="I1053">
        <v>500</v>
      </c>
      <c r="J1053">
        <v>140</v>
      </c>
      <c r="K1053">
        <v>2000</v>
      </c>
      <c r="L1053">
        <v>1860</v>
      </c>
      <c r="M1053">
        <v>0.93</v>
      </c>
      <c r="N1053" t="s">
        <v>39</v>
      </c>
    </row>
    <row r="1054" spans="1:14">
      <c r="A1054">
        <v>302</v>
      </c>
      <c r="B1054" s="4">
        <v>44966</v>
      </c>
      <c r="C1054" s="5">
        <v>0.74375000000000002</v>
      </c>
      <c r="D1054" t="s">
        <v>112</v>
      </c>
      <c r="E1054" t="s">
        <v>16</v>
      </c>
      <c r="F1054">
        <v>57</v>
      </c>
      <c r="G1054" t="s">
        <v>20</v>
      </c>
      <c r="H1054">
        <v>2</v>
      </c>
      <c r="I1054">
        <v>300</v>
      </c>
      <c r="J1054">
        <v>135</v>
      </c>
      <c r="K1054">
        <v>600</v>
      </c>
      <c r="L1054">
        <v>465</v>
      </c>
      <c r="M1054">
        <v>0.77500000000000002</v>
      </c>
      <c r="N1054" t="s">
        <v>28</v>
      </c>
    </row>
    <row r="1055" spans="1:14">
      <c r="A1055">
        <v>551</v>
      </c>
      <c r="B1055" s="4">
        <v>45006</v>
      </c>
      <c r="C1055" s="5">
        <v>0.94791666666666663</v>
      </c>
      <c r="D1055" t="s">
        <v>149</v>
      </c>
      <c r="E1055" t="s">
        <v>16</v>
      </c>
      <c r="F1055">
        <v>45</v>
      </c>
      <c r="G1055" t="s">
        <v>30</v>
      </c>
      <c r="H1055">
        <v>3</v>
      </c>
      <c r="I1055">
        <v>300</v>
      </c>
      <c r="J1055">
        <v>141</v>
      </c>
      <c r="K1055">
        <v>900</v>
      </c>
      <c r="L1055">
        <v>759</v>
      </c>
      <c r="M1055">
        <v>0.84333333333333338</v>
      </c>
      <c r="N1055" t="s">
        <v>18</v>
      </c>
    </row>
    <row r="1056" spans="1:14">
      <c r="A1056">
        <v>681</v>
      </c>
      <c r="B1056" s="4">
        <v>45142</v>
      </c>
      <c r="C1056" s="5">
        <v>0.92500000000000004</v>
      </c>
      <c r="D1056" t="s">
        <v>70</v>
      </c>
      <c r="E1056" t="s">
        <v>23</v>
      </c>
      <c r="F1056">
        <v>43</v>
      </c>
      <c r="G1056" t="s">
        <v>30</v>
      </c>
      <c r="H1056">
        <v>2</v>
      </c>
      <c r="I1056">
        <v>30</v>
      </c>
      <c r="J1056">
        <v>8.4</v>
      </c>
      <c r="K1056">
        <v>60</v>
      </c>
      <c r="L1056">
        <v>51.6</v>
      </c>
      <c r="M1056">
        <v>0.86</v>
      </c>
      <c r="N1056" t="s">
        <v>18</v>
      </c>
    </row>
    <row r="1057" spans="1:14">
      <c r="A1057">
        <v>722</v>
      </c>
      <c r="B1057" s="4">
        <v>44981</v>
      </c>
      <c r="C1057" s="5">
        <v>0.77430555555555558</v>
      </c>
      <c r="D1057" t="s">
        <v>54</v>
      </c>
      <c r="E1057" t="s">
        <v>16</v>
      </c>
      <c r="F1057">
        <v>20</v>
      </c>
      <c r="G1057" t="s">
        <v>20</v>
      </c>
      <c r="H1057">
        <v>3</v>
      </c>
      <c r="I1057">
        <v>300</v>
      </c>
      <c r="J1057">
        <v>162</v>
      </c>
      <c r="K1057">
        <v>900</v>
      </c>
      <c r="L1057">
        <v>738</v>
      </c>
      <c r="M1057">
        <v>0.82</v>
      </c>
      <c r="N1057" t="s">
        <v>31</v>
      </c>
    </row>
    <row r="1058" spans="1:14">
      <c r="A1058">
        <v>728</v>
      </c>
      <c r="B1058" s="4">
        <v>44714</v>
      </c>
      <c r="C1058" s="5">
        <v>0.81597222222222221</v>
      </c>
      <c r="D1058" t="s">
        <v>92</v>
      </c>
      <c r="E1058" t="s">
        <v>16</v>
      </c>
      <c r="F1058">
        <v>51</v>
      </c>
      <c r="G1058" t="s">
        <v>30</v>
      </c>
      <c r="H1058">
        <v>3</v>
      </c>
      <c r="I1058">
        <v>50</v>
      </c>
      <c r="J1058">
        <v>18</v>
      </c>
      <c r="K1058">
        <v>150</v>
      </c>
      <c r="L1058">
        <v>132</v>
      </c>
      <c r="M1058">
        <v>0.88</v>
      </c>
      <c r="N1058" t="s">
        <v>21</v>
      </c>
    </row>
    <row r="1059" spans="1:14">
      <c r="A1059">
        <v>829</v>
      </c>
      <c r="B1059" s="4">
        <v>44644</v>
      </c>
      <c r="C1059" s="5">
        <v>0.89652777777777781</v>
      </c>
      <c r="D1059" t="s">
        <v>19</v>
      </c>
      <c r="E1059" t="s">
        <v>16</v>
      </c>
      <c r="F1059">
        <v>61</v>
      </c>
      <c r="G1059" t="s">
        <v>20</v>
      </c>
      <c r="H1059">
        <v>3</v>
      </c>
      <c r="I1059">
        <v>30</v>
      </c>
      <c r="J1059">
        <v>9.6</v>
      </c>
      <c r="K1059">
        <v>90</v>
      </c>
      <c r="L1059">
        <v>80.400000000000006</v>
      </c>
      <c r="M1059">
        <v>0.89333333333333342</v>
      </c>
      <c r="N1059" t="s">
        <v>28</v>
      </c>
    </row>
    <row r="1060" spans="1:14">
      <c r="A1060">
        <v>955</v>
      </c>
      <c r="B1060" s="4">
        <v>44577</v>
      </c>
      <c r="C1060" s="5">
        <v>0.74791666666666667</v>
      </c>
      <c r="D1060" t="s">
        <v>50</v>
      </c>
      <c r="E1060" t="s">
        <v>16</v>
      </c>
      <c r="F1060">
        <v>58</v>
      </c>
      <c r="G1060" t="s">
        <v>17</v>
      </c>
      <c r="H1060">
        <v>1</v>
      </c>
      <c r="I1060">
        <v>25</v>
      </c>
      <c r="J1060">
        <v>12.5</v>
      </c>
      <c r="K1060">
        <v>25</v>
      </c>
      <c r="L1060">
        <v>12.5</v>
      </c>
      <c r="M1060">
        <v>0.5</v>
      </c>
      <c r="N1060" t="s">
        <v>28</v>
      </c>
    </row>
    <row r="1061" spans="1:14">
      <c r="A1061">
        <v>1043</v>
      </c>
      <c r="B1061" s="4">
        <v>45260</v>
      </c>
      <c r="C1061" s="5">
        <v>0.75694444444444442</v>
      </c>
      <c r="D1061" t="s">
        <v>87</v>
      </c>
      <c r="E1061" t="s">
        <v>23</v>
      </c>
      <c r="F1061">
        <v>48</v>
      </c>
      <c r="G1061" t="s">
        <v>17</v>
      </c>
      <c r="H1061">
        <v>1</v>
      </c>
      <c r="I1061">
        <v>300</v>
      </c>
      <c r="J1061">
        <v>87</v>
      </c>
      <c r="K1061">
        <v>300</v>
      </c>
      <c r="L1061">
        <v>213</v>
      </c>
      <c r="M1061">
        <v>0.71</v>
      </c>
      <c r="N1061" t="s">
        <v>21</v>
      </c>
    </row>
    <row r="1062" spans="1:14">
      <c r="A1062">
        <v>1071</v>
      </c>
      <c r="B1062" s="4">
        <v>45190</v>
      </c>
      <c r="C1062" s="5">
        <v>0.73472222222222228</v>
      </c>
      <c r="D1062" t="s">
        <v>133</v>
      </c>
      <c r="E1062" t="s">
        <v>23</v>
      </c>
      <c r="F1062">
        <v>51</v>
      </c>
      <c r="G1062" t="s">
        <v>20</v>
      </c>
      <c r="H1062">
        <v>4</v>
      </c>
      <c r="I1062">
        <v>25</v>
      </c>
      <c r="J1062">
        <v>6.75</v>
      </c>
      <c r="K1062">
        <v>100</v>
      </c>
      <c r="L1062">
        <v>93.25</v>
      </c>
      <c r="M1062">
        <v>0.9325</v>
      </c>
      <c r="N1062" t="s">
        <v>21</v>
      </c>
    </row>
    <row r="1063" spans="1:14">
      <c r="A1063">
        <v>1093</v>
      </c>
      <c r="B1063" s="4">
        <v>45236</v>
      </c>
      <c r="C1063" s="5">
        <v>0.72638888888888886</v>
      </c>
      <c r="D1063" t="s">
        <v>116</v>
      </c>
      <c r="E1063" t="s">
        <v>23</v>
      </c>
      <c r="F1063">
        <v>35</v>
      </c>
      <c r="G1063" t="s">
        <v>20</v>
      </c>
      <c r="H1063">
        <v>4</v>
      </c>
      <c r="I1063">
        <v>500</v>
      </c>
      <c r="J1063">
        <v>270</v>
      </c>
      <c r="K1063">
        <v>2000</v>
      </c>
      <c r="L1063">
        <v>1730</v>
      </c>
      <c r="M1063">
        <v>0.86499999999999999</v>
      </c>
      <c r="N1063" t="s">
        <v>39</v>
      </c>
    </row>
    <row r="1064" spans="1:14">
      <c r="A1064">
        <v>1302</v>
      </c>
      <c r="B1064" s="4">
        <v>44916</v>
      </c>
      <c r="C1064" s="5">
        <v>0.74652777777777779</v>
      </c>
      <c r="D1064" t="s">
        <v>87</v>
      </c>
      <c r="E1064" t="s">
        <v>16</v>
      </c>
      <c r="F1064">
        <v>57</v>
      </c>
      <c r="G1064" t="s">
        <v>20</v>
      </c>
      <c r="H1064">
        <v>2</v>
      </c>
      <c r="I1064">
        <v>300</v>
      </c>
      <c r="J1064">
        <v>102</v>
      </c>
      <c r="K1064">
        <v>600</v>
      </c>
      <c r="L1064">
        <v>498</v>
      </c>
      <c r="M1064">
        <v>0.83</v>
      </c>
      <c r="N1064" t="s">
        <v>28</v>
      </c>
    </row>
    <row r="1065" spans="1:14">
      <c r="A1065">
        <v>1551</v>
      </c>
      <c r="B1065" s="4">
        <v>45242</v>
      </c>
      <c r="C1065" s="5">
        <v>0.94166666666666665</v>
      </c>
      <c r="D1065" t="s">
        <v>176</v>
      </c>
      <c r="E1065" t="s">
        <v>16</v>
      </c>
      <c r="F1065">
        <v>45</v>
      </c>
      <c r="G1065" t="s">
        <v>30</v>
      </c>
      <c r="H1065">
        <v>3</v>
      </c>
      <c r="I1065">
        <v>300</v>
      </c>
      <c r="J1065">
        <v>81</v>
      </c>
      <c r="K1065">
        <v>900</v>
      </c>
      <c r="L1065">
        <v>819</v>
      </c>
      <c r="M1065">
        <v>0.91</v>
      </c>
      <c r="N1065" t="s">
        <v>18</v>
      </c>
    </row>
    <row r="1066" spans="1:14">
      <c r="A1066">
        <v>1681</v>
      </c>
      <c r="B1066" s="4">
        <v>44874</v>
      </c>
      <c r="C1066" s="5">
        <v>0.81388888888888888</v>
      </c>
      <c r="D1066" t="s">
        <v>158</v>
      </c>
      <c r="E1066" t="s">
        <v>23</v>
      </c>
      <c r="F1066">
        <v>43</v>
      </c>
      <c r="G1066" t="s">
        <v>30</v>
      </c>
      <c r="H1066">
        <v>2</v>
      </c>
      <c r="I1066">
        <v>30</v>
      </c>
      <c r="J1066">
        <v>11.1</v>
      </c>
      <c r="K1066">
        <v>60</v>
      </c>
      <c r="L1066">
        <v>48.9</v>
      </c>
      <c r="M1066">
        <v>0.81499999999999995</v>
      </c>
      <c r="N1066" t="s">
        <v>18</v>
      </c>
    </row>
    <row r="1067" spans="1:14">
      <c r="A1067">
        <v>1722</v>
      </c>
      <c r="B1067" s="4">
        <v>44591</v>
      </c>
      <c r="C1067" s="5">
        <v>0.85972222222222228</v>
      </c>
      <c r="D1067" t="s">
        <v>73</v>
      </c>
      <c r="E1067" t="s">
        <v>16</v>
      </c>
      <c r="F1067">
        <v>20</v>
      </c>
      <c r="G1067" t="s">
        <v>20</v>
      </c>
      <c r="H1067">
        <v>3</v>
      </c>
      <c r="I1067">
        <v>300</v>
      </c>
      <c r="J1067">
        <v>159</v>
      </c>
      <c r="K1067">
        <v>900</v>
      </c>
      <c r="L1067">
        <v>741</v>
      </c>
      <c r="M1067">
        <v>0.82333333333333336</v>
      </c>
      <c r="N1067" t="s">
        <v>31</v>
      </c>
    </row>
    <row r="1068" spans="1:14">
      <c r="A1068">
        <v>1728</v>
      </c>
      <c r="B1068" s="4">
        <v>45069</v>
      </c>
      <c r="C1068" s="5">
        <v>0.9375</v>
      </c>
      <c r="D1068" t="s">
        <v>55</v>
      </c>
      <c r="E1068" t="s">
        <v>16</v>
      </c>
      <c r="F1068">
        <v>51</v>
      </c>
      <c r="G1068" t="s">
        <v>30</v>
      </c>
      <c r="H1068">
        <v>3</v>
      </c>
      <c r="I1068">
        <v>50</v>
      </c>
      <c r="J1068">
        <v>25</v>
      </c>
      <c r="K1068">
        <v>150</v>
      </c>
      <c r="L1068">
        <v>125</v>
      </c>
      <c r="M1068">
        <v>0.83333333333333337</v>
      </c>
      <c r="N1068" t="s">
        <v>21</v>
      </c>
    </row>
    <row r="1069" spans="1:14">
      <c r="A1069">
        <v>1829</v>
      </c>
      <c r="B1069" s="4">
        <v>44711</v>
      </c>
      <c r="C1069" s="5">
        <v>0.94236111111111109</v>
      </c>
      <c r="D1069" t="s">
        <v>35</v>
      </c>
      <c r="E1069" t="s">
        <v>16</v>
      </c>
      <c r="F1069">
        <v>61</v>
      </c>
      <c r="G1069" t="s">
        <v>20</v>
      </c>
      <c r="H1069">
        <v>3</v>
      </c>
      <c r="I1069">
        <v>30</v>
      </c>
      <c r="J1069">
        <v>12</v>
      </c>
      <c r="K1069">
        <v>90</v>
      </c>
      <c r="L1069">
        <v>78</v>
      </c>
      <c r="M1069">
        <v>0.8666666666666667</v>
      </c>
      <c r="N1069" t="s">
        <v>28</v>
      </c>
    </row>
    <row r="1070" spans="1:14">
      <c r="A1070">
        <v>1955</v>
      </c>
      <c r="B1070" s="4">
        <v>44819</v>
      </c>
      <c r="C1070" s="5">
        <v>0.88263888888888886</v>
      </c>
      <c r="D1070" t="s">
        <v>136</v>
      </c>
      <c r="E1070" t="s">
        <v>16</v>
      </c>
      <c r="F1070">
        <v>58</v>
      </c>
      <c r="G1070" t="s">
        <v>17</v>
      </c>
      <c r="H1070">
        <v>1</v>
      </c>
      <c r="I1070">
        <v>25</v>
      </c>
      <c r="J1070">
        <v>6.5</v>
      </c>
      <c r="K1070">
        <v>25</v>
      </c>
      <c r="L1070">
        <v>18.5</v>
      </c>
      <c r="M1070">
        <v>0.74</v>
      </c>
      <c r="N1070" t="s">
        <v>28</v>
      </c>
    </row>
    <row r="1071" spans="1:14">
      <c r="A1071">
        <v>144</v>
      </c>
      <c r="B1071" s="4">
        <v>44646</v>
      </c>
      <c r="C1071" s="5">
        <v>0.9291666666666667</v>
      </c>
      <c r="D1071" t="s">
        <v>122</v>
      </c>
      <c r="E1071" t="s">
        <v>23</v>
      </c>
      <c r="F1071">
        <v>59</v>
      </c>
      <c r="G1071" t="s">
        <v>20</v>
      </c>
      <c r="H1071">
        <v>3</v>
      </c>
      <c r="I1071">
        <v>500</v>
      </c>
      <c r="J1071">
        <v>255</v>
      </c>
      <c r="K1071">
        <v>1500</v>
      </c>
      <c r="L1071">
        <v>1245</v>
      </c>
      <c r="M1071">
        <v>0.83</v>
      </c>
      <c r="N1071" t="s">
        <v>28</v>
      </c>
    </row>
    <row r="1072" spans="1:14">
      <c r="A1072">
        <v>474</v>
      </c>
      <c r="B1072" s="4">
        <v>44689</v>
      </c>
      <c r="C1072" s="5">
        <v>0.74791666666666667</v>
      </c>
      <c r="D1072" t="s">
        <v>61</v>
      </c>
      <c r="E1072" t="s">
        <v>23</v>
      </c>
      <c r="F1072">
        <v>26</v>
      </c>
      <c r="G1072" t="s">
        <v>17</v>
      </c>
      <c r="H1072">
        <v>3</v>
      </c>
      <c r="I1072">
        <v>500</v>
      </c>
      <c r="J1072">
        <v>210</v>
      </c>
      <c r="K1072">
        <v>1500</v>
      </c>
      <c r="L1072">
        <v>1290</v>
      </c>
      <c r="M1072">
        <v>0.86</v>
      </c>
      <c r="N1072" t="s">
        <v>39</v>
      </c>
    </row>
    <row r="1073" spans="1:14">
      <c r="A1073">
        <v>1144</v>
      </c>
      <c r="B1073" s="4">
        <v>44925</v>
      </c>
      <c r="C1073" s="5">
        <v>0.89375000000000004</v>
      </c>
      <c r="D1073" t="s">
        <v>147</v>
      </c>
      <c r="E1073" t="s">
        <v>23</v>
      </c>
      <c r="F1073">
        <v>59</v>
      </c>
      <c r="G1073" t="s">
        <v>20</v>
      </c>
      <c r="H1073">
        <v>3</v>
      </c>
      <c r="I1073">
        <v>500</v>
      </c>
      <c r="J1073">
        <v>125</v>
      </c>
      <c r="K1073">
        <v>1500</v>
      </c>
      <c r="L1073">
        <v>1375</v>
      </c>
      <c r="M1073">
        <v>0.91666666666666663</v>
      </c>
      <c r="N1073" t="s">
        <v>28</v>
      </c>
    </row>
    <row r="1074" spans="1:14">
      <c r="A1074">
        <v>1474</v>
      </c>
      <c r="B1074" s="4">
        <v>44696</v>
      </c>
      <c r="C1074" s="5">
        <v>0.86736111111111114</v>
      </c>
      <c r="D1074" t="s">
        <v>176</v>
      </c>
      <c r="E1074" t="s">
        <v>23</v>
      </c>
      <c r="F1074">
        <v>26</v>
      </c>
      <c r="G1074" t="s">
        <v>17</v>
      </c>
      <c r="H1074">
        <v>3</v>
      </c>
      <c r="I1074">
        <v>500</v>
      </c>
      <c r="J1074">
        <v>255</v>
      </c>
      <c r="K1074">
        <v>1500</v>
      </c>
      <c r="L1074">
        <v>1245</v>
      </c>
      <c r="M1074">
        <v>0.83</v>
      </c>
      <c r="N1074" t="s">
        <v>39</v>
      </c>
    </row>
    <row r="1075" spans="1:14">
      <c r="A1075">
        <v>603</v>
      </c>
      <c r="B1075" s="4">
        <v>44669</v>
      </c>
      <c r="C1075" s="5">
        <v>0.84513888888888888</v>
      </c>
      <c r="D1075" t="s">
        <v>135</v>
      </c>
      <c r="E1075" t="s">
        <v>23</v>
      </c>
      <c r="F1075">
        <v>40</v>
      </c>
      <c r="G1075" t="s">
        <v>17</v>
      </c>
      <c r="H1075">
        <v>3</v>
      </c>
      <c r="I1075">
        <v>30</v>
      </c>
      <c r="J1075">
        <v>14.1</v>
      </c>
      <c r="K1075">
        <v>90</v>
      </c>
      <c r="L1075">
        <v>75.900000000000006</v>
      </c>
      <c r="M1075">
        <v>0.84333333333333338</v>
      </c>
      <c r="N1075" t="s">
        <v>18</v>
      </c>
    </row>
    <row r="1076" spans="1:14">
      <c r="A1076">
        <v>661</v>
      </c>
      <c r="B1076" s="4">
        <v>44778</v>
      </c>
      <c r="C1076" s="5">
        <v>0.92291666666666672</v>
      </c>
      <c r="D1076" t="s">
        <v>121</v>
      </c>
      <c r="E1076" t="s">
        <v>23</v>
      </c>
      <c r="F1076">
        <v>44</v>
      </c>
      <c r="G1076" t="s">
        <v>17</v>
      </c>
      <c r="H1076">
        <v>4</v>
      </c>
      <c r="I1076">
        <v>25</v>
      </c>
      <c r="J1076">
        <v>7</v>
      </c>
      <c r="K1076">
        <v>100</v>
      </c>
      <c r="L1076">
        <v>93</v>
      </c>
      <c r="M1076">
        <v>0.93</v>
      </c>
      <c r="N1076" t="s">
        <v>18</v>
      </c>
    </row>
    <row r="1077" spans="1:14">
      <c r="A1077">
        <v>1603</v>
      </c>
      <c r="B1077" s="4">
        <v>45264</v>
      </c>
      <c r="C1077" s="5">
        <v>0.86805555555555558</v>
      </c>
      <c r="D1077" t="s">
        <v>94</v>
      </c>
      <c r="E1077" t="s">
        <v>23</v>
      </c>
      <c r="F1077">
        <v>40</v>
      </c>
      <c r="G1077" t="s">
        <v>17</v>
      </c>
      <c r="H1077">
        <v>3</v>
      </c>
      <c r="I1077">
        <v>30</v>
      </c>
      <c r="J1077">
        <v>13.2</v>
      </c>
      <c r="K1077">
        <v>90</v>
      </c>
      <c r="L1077">
        <v>76.8</v>
      </c>
      <c r="M1077">
        <v>0.85333333333333328</v>
      </c>
      <c r="N1077" t="s">
        <v>18</v>
      </c>
    </row>
    <row r="1078" spans="1:14">
      <c r="A1078">
        <v>1661</v>
      </c>
      <c r="B1078" s="4">
        <v>45114</v>
      </c>
      <c r="C1078" s="5">
        <v>0.8041666666666667</v>
      </c>
      <c r="D1078" t="s">
        <v>87</v>
      </c>
      <c r="E1078" t="s">
        <v>23</v>
      </c>
      <c r="F1078">
        <v>44</v>
      </c>
      <c r="G1078" t="s">
        <v>17</v>
      </c>
      <c r="H1078">
        <v>4</v>
      </c>
      <c r="I1078">
        <v>25</v>
      </c>
      <c r="J1078">
        <v>6.25</v>
      </c>
      <c r="K1078">
        <v>100</v>
      </c>
      <c r="L1078">
        <v>93.75</v>
      </c>
      <c r="M1078">
        <v>0.9375</v>
      </c>
      <c r="N1078" t="s">
        <v>18</v>
      </c>
    </row>
    <row r="1079" spans="1:14">
      <c r="A1079">
        <v>143</v>
      </c>
      <c r="B1079" s="4">
        <v>44968</v>
      </c>
      <c r="C1079" s="5">
        <v>0.93055555555555558</v>
      </c>
      <c r="D1079" t="s">
        <v>114</v>
      </c>
      <c r="E1079" t="s">
        <v>23</v>
      </c>
      <c r="F1079">
        <v>45</v>
      </c>
      <c r="G1079" t="s">
        <v>17</v>
      </c>
      <c r="H1079">
        <v>1</v>
      </c>
      <c r="I1079">
        <v>50</v>
      </c>
      <c r="J1079">
        <v>27.5</v>
      </c>
      <c r="K1079">
        <v>50</v>
      </c>
      <c r="L1079">
        <v>22.5</v>
      </c>
      <c r="M1079">
        <v>0.45</v>
      </c>
      <c r="N1079" t="s">
        <v>18</v>
      </c>
    </row>
    <row r="1080" spans="1:14">
      <c r="A1080">
        <v>515</v>
      </c>
      <c r="B1080" s="4">
        <v>44605</v>
      </c>
      <c r="C1080" s="5">
        <v>0.86597222222222225</v>
      </c>
      <c r="D1080" t="s">
        <v>67</v>
      </c>
      <c r="E1080" t="s">
        <v>23</v>
      </c>
      <c r="F1080">
        <v>49</v>
      </c>
      <c r="G1080" t="s">
        <v>17</v>
      </c>
      <c r="H1080">
        <v>3</v>
      </c>
      <c r="I1080">
        <v>300</v>
      </c>
      <c r="J1080">
        <v>75</v>
      </c>
      <c r="K1080">
        <v>900</v>
      </c>
      <c r="L1080">
        <v>825</v>
      </c>
      <c r="M1080">
        <v>0.91666666666666663</v>
      </c>
      <c r="N1080" t="s">
        <v>21</v>
      </c>
    </row>
    <row r="1081" spans="1:14">
      <c r="A1081">
        <v>1143</v>
      </c>
      <c r="B1081" s="4">
        <v>45047</v>
      </c>
      <c r="C1081" s="5">
        <v>0.88194444444444442</v>
      </c>
      <c r="D1081" t="s">
        <v>66</v>
      </c>
      <c r="E1081" t="s">
        <v>23</v>
      </c>
      <c r="F1081">
        <v>45</v>
      </c>
      <c r="G1081" t="s">
        <v>17</v>
      </c>
      <c r="H1081">
        <v>1</v>
      </c>
      <c r="I1081">
        <v>50</v>
      </c>
      <c r="J1081">
        <v>15</v>
      </c>
      <c r="K1081">
        <v>50</v>
      </c>
      <c r="L1081">
        <v>35</v>
      </c>
      <c r="M1081">
        <v>0.7</v>
      </c>
      <c r="N1081" t="s">
        <v>18</v>
      </c>
    </row>
    <row r="1082" spans="1:14">
      <c r="A1082">
        <v>1515</v>
      </c>
      <c r="B1082" s="4">
        <v>44961</v>
      </c>
      <c r="C1082" s="5">
        <v>0.90902777777777777</v>
      </c>
      <c r="D1082" t="s">
        <v>148</v>
      </c>
      <c r="E1082" t="s">
        <v>23</v>
      </c>
      <c r="F1082">
        <v>49</v>
      </c>
      <c r="G1082" t="s">
        <v>17</v>
      </c>
      <c r="H1082">
        <v>3</v>
      </c>
      <c r="I1082">
        <v>300</v>
      </c>
      <c r="J1082">
        <v>135</v>
      </c>
      <c r="K1082">
        <v>900</v>
      </c>
      <c r="L1082">
        <v>765</v>
      </c>
      <c r="M1082">
        <v>0.85</v>
      </c>
      <c r="N1082" t="s">
        <v>21</v>
      </c>
    </row>
    <row r="1083" spans="1:14">
      <c r="A1083">
        <v>304</v>
      </c>
      <c r="B1083" s="4">
        <v>45008</v>
      </c>
      <c r="C1083" s="5">
        <v>0.77430555555555558</v>
      </c>
      <c r="D1083" t="s">
        <v>36</v>
      </c>
      <c r="E1083" t="s">
        <v>23</v>
      </c>
      <c r="F1083">
        <v>37</v>
      </c>
      <c r="G1083" t="s">
        <v>30</v>
      </c>
      <c r="H1083">
        <v>2</v>
      </c>
      <c r="I1083">
        <v>30</v>
      </c>
      <c r="J1083">
        <v>15.6</v>
      </c>
      <c r="K1083">
        <v>60</v>
      </c>
      <c r="L1083">
        <v>44.4</v>
      </c>
      <c r="M1083">
        <v>0.74</v>
      </c>
      <c r="N1083" t="s">
        <v>18</v>
      </c>
    </row>
    <row r="1084" spans="1:14">
      <c r="A1084">
        <v>676</v>
      </c>
      <c r="B1084" s="4">
        <v>45117</v>
      </c>
      <c r="C1084" s="5">
        <v>0.92569444444444449</v>
      </c>
      <c r="D1084" t="s">
        <v>72</v>
      </c>
      <c r="E1084" t="s">
        <v>16</v>
      </c>
      <c r="F1084">
        <v>63</v>
      </c>
      <c r="G1084" t="s">
        <v>30</v>
      </c>
      <c r="H1084">
        <v>3</v>
      </c>
      <c r="I1084">
        <v>500</v>
      </c>
      <c r="J1084">
        <v>205</v>
      </c>
      <c r="K1084">
        <v>1500</v>
      </c>
      <c r="L1084">
        <v>1295</v>
      </c>
      <c r="M1084">
        <v>0.86333333333333329</v>
      </c>
      <c r="N1084" t="s">
        <v>28</v>
      </c>
    </row>
    <row r="1085" spans="1:14">
      <c r="A1085">
        <v>686</v>
      </c>
      <c r="B1085" s="4">
        <v>44567</v>
      </c>
      <c r="C1085" s="5">
        <v>0.71805555555555556</v>
      </c>
      <c r="D1085" t="s">
        <v>47</v>
      </c>
      <c r="E1085" t="s">
        <v>23</v>
      </c>
      <c r="F1085">
        <v>28</v>
      </c>
      <c r="G1085" t="s">
        <v>30</v>
      </c>
      <c r="H1085">
        <v>4</v>
      </c>
      <c r="I1085">
        <v>50</v>
      </c>
      <c r="J1085">
        <v>23.5</v>
      </c>
      <c r="K1085">
        <v>200</v>
      </c>
      <c r="L1085">
        <v>176.5</v>
      </c>
      <c r="M1085">
        <v>0.88249999999999995</v>
      </c>
      <c r="N1085" t="s">
        <v>39</v>
      </c>
    </row>
    <row r="1086" spans="1:14">
      <c r="A1086">
        <v>698</v>
      </c>
      <c r="B1086" s="4">
        <v>44637</v>
      </c>
      <c r="C1086" s="5">
        <v>0.87222222222222223</v>
      </c>
      <c r="D1086" t="s">
        <v>57</v>
      </c>
      <c r="E1086" t="s">
        <v>23</v>
      </c>
      <c r="F1086">
        <v>64</v>
      </c>
      <c r="G1086" t="s">
        <v>30</v>
      </c>
      <c r="H1086">
        <v>1</v>
      </c>
      <c r="I1086">
        <v>300</v>
      </c>
      <c r="J1086">
        <v>123</v>
      </c>
      <c r="K1086">
        <v>300</v>
      </c>
      <c r="L1086">
        <v>177</v>
      </c>
      <c r="M1086">
        <v>0.59</v>
      </c>
      <c r="N1086" t="s">
        <v>28</v>
      </c>
    </row>
    <row r="1087" spans="1:14">
      <c r="A1087">
        <v>1304</v>
      </c>
      <c r="B1087" s="4">
        <v>44830</v>
      </c>
      <c r="C1087" s="5">
        <v>0.92986111111111114</v>
      </c>
      <c r="D1087" t="s">
        <v>159</v>
      </c>
      <c r="E1087" t="s">
        <v>23</v>
      </c>
      <c r="F1087">
        <v>37</v>
      </c>
      <c r="G1087" t="s">
        <v>30</v>
      </c>
      <c r="H1087">
        <v>2</v>
      </c>
      <c r="I1087">
        <v>30</v>
      </c>
      <c r="J1087">
        <v>9.3000000000000007</v>
      </c>
      <c r="K1087">
        <v>60</v>
      </c>
      <c r="L1087">
        <v>50.7</v>
      </c>
      <c r="M1087">
        <v>0.84500000000000008</v>
      </c>
      <c r="N1087" t="s">
        <v>18</v>
      </c>
    </row>
    <row r="1088" spans="1:14">
      <c r="A1088">
        <v>1676</v>
      </c>
      <c r="B1088" s="4">
        <v>45190</v>
      </c>
      <c r="C1088" s="5">
        <v>0.84861111111111109</v>
      </c>
      <c r="D1088" t="s">
        <v>173</v>
      </c>
      <c r="E1088" t="s">
        <v>16</v>
      </c>
      <c r="F1088">
        <v>63</v>
      </c>
      <c r="G1088" t="s">
        <v>30</v>
      </c>
      <c r="H1088">
        <v>3</v>
      </c>
      <c r="I1088">
        <v>500</v>
      </c>
      <c r="J1088">
        <v>210</v>
      </c>
      <c r="K1088">
        <v>1500</v>
      </c>
      <c r="L1088">
        <v>1290</v>
      </c>
      <c r="M1088">
        <v>0.86</v>
      </c>
      <c r="N1088" t="s">
        <v>28</v>
      </c>
    </row>
    <row r="1089" spans="1:14">
      <c r="A1089">
        <v>1686</v>
      </c>
      <c r="B1089" s="4">
        <v>45270</v>
      </c>
      <c r="C1089" s="5">
        <v>0.8618055555555556</v>
      </c>
      <c r="D1089" t="s">
        <v>132</v>
      </c>
      <c r="E1089" t="s">
        <v>23</v>
      </c>
      <c r="F1089">
        <v>28</v>
      </c>
      <c r="G1089" t="s">
        <v>30</v>
      </c>
      <c r="H1089">
        <v>4</v>
      </c>
      <c r="I1089">
        <v>50</v>
      </c>
      <c r="J1089">
        <v>26</v>
      </c>
      <c r="K1089">
        <v>200</v>
      </c>
      <c r="L1089">
        <v>174</v>
      </c>
      <c r="M1089">
        <v>0.87</v>
      </c>
      <c r="N1089" t="s">
        <v>39</v>
      </c>
    </row>
    <row r="1090" spans="1:14">
      <c r="A1090">
        <v>1698</v>
      </c>
      <c r="B1090" s="4">
        <v>44658</v>
      </c>
      <c r="C1090" s="5">
        <v>0.90972222222222221</v>
      </c>
      <c r="D1090" t="s">
        <v>108</v>
      </c>
      <c r="E1090" t="s">
        <v>23</v>
      </c>
      <c r="F1090">
        <v>64</v>
      </c>
      <c r="G1090" t="s">
        <v>30</v>
      </c>
      <c r="H1090">
        <v>1</v>
      </c>
      <c r="I1090">
        <v>300</v>
      </c>
      <c r="J1090">
        <v>105</v>
      </c>
      <c r="K1090">
        <v>300</v>
      </c>
      <c r="L1090">
        <v>195</v>
      </c>
      <c r="M1090">
        <v>0.65</v>
      </c>
      <c r="N1090" t="s">
        <v>28</v>
      </c>
    </row>
    <row r="1091" spans="1:14">
      <c r="A1091">
        <v>709</v>
      </c>
      <c r="B1091" s="4">
        <v>44826</v>
      </c>
      <c r="C1091" s="5">
        <v>0.93888888888888888</v>
      </c>
      <c r="D1091" t="s">
        <v>89</v>
      </c>
      <c r="E1091" t="s">
        <v>23</v>
      </c>
      <c r="F1091">
        <v>19</v>
      </c>
      <c r="G1091" t="s">
        <v>30</v>
      </c>
      <c r="H1091">
        <v>2</v>
      </c>
      <c r="I1091">
        <v>500</v>
      </c>
      <c r="J1091">
        <v>140</v>
      </c>
      <c r="K1091">
        <v>1000</v>
      </c>
      <c r="L1091">
        <v>860</v>
      </c>
      <c r="M1091">
        <v>0.86</v>
      </c>
      <c r="N1091" t="s">
        <v>31</v>
      </c>
    </row>
    <row r="1092" spans="1:14">
      <c r="A1092">
        <v>1709</v>
      </c>
      <c r="B1092" s="4">
        <v>45182</v>
      </c>
      <c r="C1092" s="5">
        <v>0.84861111111111109</v>
      </c>
      <c r="D1092" t="s">
        <v>111</v>
      </c>
      <c r="E1092" t="s">
        <v>23</v>
      </c>
      <c r="F1092">
        <v>19</v>
      </c>
      <c r="G1092" t="s">
        <v>30</v>
      </c>
      <c r="H1092">
        <v>2</v>
      </c>
      <c r="I1092">
        <v>500</v>
      </c>
      <c r="J1092">
        <v>185</v>
      </c>
      <c r="K1092">
        <v>1000</v>
      </c>
      <c r="L1092">
        <v>815</v>
      </c>
      <c r="M1092">
        <v>0.81499999999999995</v>
      </c>
      <c r="N1092" t="s">
        <v>31</v>
      </c>
    </row>
    <row r="1093" spans="1:14">
      <c r="A1093">
        <v>114</v>
      </c>
      <c r="B1093" s="4">
        <v>44668</v>
      </c>
      <c r="C1093" s="5">
        <v>0.87291666666666667</v>
      </c>
      <c r="D1093" t="s">
        <v>172</v>
      </c>
      <c r="E1093" t="s">
        <v>23</v>
      </c>
      <c r="F1093">
        <v>22</v>
      </c>
      <c r="G1093" t="s">
        <v>20</v>
      </c>
      <c r="H1093">
        <v>4</v>
      </c>
      <c r="I1093">
        <v>25</v>
      </c>
      <c r="J1093">
        <v>9.25</v>
      </c>
      <c r="K1093">
        <v>100</v>
      </c>
      <c r="L1093">
        <v>90.75</v>
      </c>
      <c r="M1093">
        <v>0.90749999999999997</v>
      </c>
      <c r="N1093" t="s">
        <v>31</v>
      </c>
    </row>
    <row r="1094" spans="1:14">
      <c r="A1094">
        <v>359</v>
      </c>
      <c r="B1094" s="4">
        <v>44910</v>
      </c>
      <c r="C1094" s="5">
        <v>0.90902777777777777</v>
      </c>
      <c r="D1094" t="s">
        <v>106</v>
      </c>
      <c r="E1094" t="s">
        <v>16</v>
      </c>
      <c r="F1094">
        <v>50</v>
      </c>
      <c r="G1094" t="s">
        <v>17</v>
      </c>
      <c r="H1094">
        <v>1</v>
      </c>
      <c r="I1094">
        <v>50</v>
      </c>
      <c r="J1094">
        <v>22.5</v>
      </c>
      <c r="K1094">
        <v>50</v>
      </c>
      <c r="L1094">
        <v>27.5</v>
      </c>
      <c r="M1094">
        <v>0.55000000000000004</v>
      </c>
      <c r="N1094" t="s">
        <v>21</v>
      </c>
    </row>
    <row r="1095" spans="1:14">
      <c r="A1095">
        <v>1114</v>
      </c>
      <c r="B1095" s="4">
        <v>44791</v>
      </c>
      <c r="C1095" s="5">
        <v>0.92986111111111114</v>
      </c>
      <c r="D1095" t="s">
        <v>177</v>
      </c>
      <c r="E1095" t="s">
        <v>23</v>
      </c>
      <c r="F1095">
        <v>22</v>
      </c>
      <c r="G1095" t="s">
        <v>20</v>
      </c>
      <c r="H1095">
        <v>4</v>
      </c>
      <c r="I1095">
        <v>25</v>
      </c>
      <c r="J1095">
        <v>12</v>
      </c>
      <c r="K1095">
        <v>100</v>
      </c>
      <c r="L1095">
        <v>88</v>
      </c>
      <c r="M1095">
        <v>0.88</v>
      </c>
      <c r="N1095" t="s">
        <v>31</v>
      </c>
    </row>
    <row r="1096" spans="1:14">
      <c r="A1096">
        <v>1359</v>
      </c>
      <c r="B1096" s="4">
        <v>44698</v>
      </c>
      <c r="C1096" s="5">
        <v>0.93125000000000002</v>
      </c>
      <c r="D1096" t="s">
        <v>83</v>
      </c>
      <c r="E1096" t="s">
        <v>16</v>
      </c>
      <c r="F1096">
        <v>50</v>
      </c>
      <c r="G1096" t="s">
        <v>17</v>
      </c>
      <c r="H1096">
        <v>1</v>
      </c>
      <c r="I1096">
        <v>50</v>
      </c>
      <c r="J1096">
        <v>19</v>
      </c>
      <c r="K1096">
        <v>50</v>
      </c>
      <c r="L1096">
        <v>31</v>
      </c>
      <c r="M1096">
        <v>0.62</v>
      </c>
      <c r="N1096" t="s">
        <v>21</v>
      </c>
    </row>
    <row r="1097" spans="1:14">
      <c r="A1097">
        <v>773</v>
      </c>
      <c r="B1097" s="4">
        <v>44940</v>
      </c>
      <c r="C1097" s="5">
        <v>0.79861111111111116</v>
      </c>
      <c r="D1097" t="s">
        <v>81</v>
      </c>
      <c r="E1097" t="s">
        <v>16</v>
      </c>
      <c r="F1097">
        <v>25</v>
      </c>
      <c r="G1097" t="s">
        <v>30</v>
      </c>
      <c r="H1097">
        <v>4</v>
      </c>
      <c r="I1097">
        <v>500</v>
      </c>
      <c r="J1097">
        <v>175</v>
      </c>
      <c r="K1097">
        <v>2000</v>
      </c>
      <c r="L1097">
        <v>1825</v>
      </c>
      <c r="M1097">
        <v>0.91249999999999998</v>
      </c>
      <c r="N1097" t="s">
        <v>31</v>
      </c>
    </row>
    <row r="1098" spans="1:14">
      <c r="A1098">
        <v>1773</v>
      </c>
      <c r="B1098" s="4">
        <v>45272</v>
      </c>
      <c r="C1098" s="5">
        <v>0.78472222222222221</v>
      </c>
      <c r="D1098" t="s">
        <v>72</v>
      </c>
      <c r="E1098" t="s">
        <v>16</v>
      </c>
      <c r="F1098">
        <v>25</v>
      </c>
      <c r="G1098" t="s">
        <v>30</v>
      </c>
      <c r="H1098">
        <v>4</v>
      </c>
      <c r="I1098">
        <v>500</v>
      </c>
      <c r="J1098">
        <v>165</v>
      </c>
      <c r="K1098">
        <v>2000</v>
      </c>
      <c r="L1098">
        <v>1835</v>
      </c>
      <c r="M1098">
        <v>0.91749999999999998</v>
      </c>
      <c r="N1098" t="s">
        <v>31</v>
      </c>
    </row>
    <row r="1099" spans="1:14">
      <c r="A1099">
        <v>127</v>
      </c>
      <c r="B1099" s="4">
        <v>45066</v>
      </c>
      <c r="C1099" s="5">
        <v>0.81736111111111109</v>
      </c>
      <c r="D1099" t="s">
        <v>115</v>
      </c>
      <c r="E1099" t="s">
        <v>23</v>
      </c>
      <c r="F1099">
        <v>33</v>
      </c>
      <c r="G1099" t="s">
        <v>17</v>
      </c>
      <c r="H1099">
        <v>2</v>
      </c>
      <c r="I1099">
        <v>25</v>
      </c>
      <c r="J1099">
        <v>7.5</v>
      </c>
      <c r="K1099">
        <v>50</v>
      </c>
      <c r="L1099">
        <v>42.5</v>
      </c>
      <c r="M1099">
        <v>0.85</v>
      </c>
      <c r="N1099" t="s">
        <v>39</v>
      </c>
    </row>
    <row r="1100" spans="1:14">
      <c r="A1100">
        <v>213</v>
      </c>
      <c r="B1100" s="4">
        <v>45151</v>
      </c>
      <c r="C1100" s="5">
        <v>0.8666666666666667</v>
      </c>
      <c r="D1100" t="s">
        <v>156</v>
      </c>
      <c r="E1100" t="s">
        <v>16</v>
      </c>
      <c r="F1100">
        <v>27</v>
      </c>
      <c r="G1100" t="s">
        <v>20</v>
      </c>
      <c r="H1100">
        <v>3</v>
      </c>
      <c r="I1100">
        <v>500</v>
      </c>
      <c r="J1100">
        <v>275</v>
      </c>
      <c r="K1100">
        <v>1500</v>
      </c>
      <c r="L1100">
        <v>1225</v>
      </c>
      <c r="M1100">
        <v>0.81666666666666665</v>
      </c>
      <c r="N1100" t="s">
        <v>39</v>
      </c>
    </row>
    <row r="1101" spans="1:14">
      <c r="A1101">
        <v>487</v>
      </c>
      <c r="B1101" s="4">
        <v>45025</v>
      </c>
      <c r="C1101" s="5">
        <v>0.87708333333333333</v>
      </c>
      <c r="D1101" t="s">
        <v>141</v>
      </c>
      <c r="E1101" t="s">
        <v>16</v>
      </c>
      <c r="F1101">
        <v>44</v>
      </c>
      <c r="G1101" t="s">
        <v>17</v>
      </c>
      <c r="H1101">
        <v>4</v>
      </c>
      <c r="I1101">
        <v>500</v>
      </c>
      <c r="J1101">
        <v>235</v>
      </c>
      <c r="K1101">
        <v>2000</v>
      </c>
      <c r="L1101">
        <v>1765</v>
      </c>
      <c r="M1101">
        <v>0.88249999999999995</v>
      </c>
      <c r="N1101" t="s">
        <v>18</v>
      </c>
    </row>
    <row r="1102" spans="1:14">
      <c r="A1102">
        <v>495</v>
      </c>
      <c r="B1102" s="4">
        <v>44736</v>
      </c>
      <c r="C1102" s="5">
        <v>0.87916666666666665</v>
      </c>
      <c r="D1102" t="s">
        <v>161</v>
      </c>
      <c r="E1102" t="s">
        <v>16</v>
      </c>
      <c r="F1102">
        <v>24</v>
      </c>
      <c r="G1102" t="s">
        <v>20</v>
      </c>
      <c r="H1102">
        <v>2</v>
      </c>
      <c r="I1102">
        <v>30</v>
      </c>
      <c r="J1102">
        <v>11.7</v>
      </c>
      <c r="K1102">
        <v>60</v>
      </c>
      <c r="L1102">
        <v>48.3</v>
      </c>
      <c r="M1102">
        <v>0.80499999999999994</v>
      </c>
      <c r="N1102" t="s">
        <v>31</v>
      </c>
    </row>
    <row r="1103" spans="1:14">
      <c r="A1103">
        <v>605</v>
      </c>
      <c r="B1103" s="4">
        <v>45218</v>
      </c>
      <c r="C1103" s="5">
        <v>0.93333333333333335</v>
      </c>
      <c r="D1103" t="s">
        <v>130</v>
      </c>
      <c r="E1103" t="s">
        <v>16</v>
      </c>
      <c r="F1103">
        <v>37</v>
      </c>
      <c r="G1103" t="s">
        <v>30</v>
      </c>
      <c r="H1103">
        <v>2</v>
      </c>
      <c r="I1103">
        <v>500</v>
      </c>
      <c r="J1103">
        <v>180</v>
      </c>
      <c r="K1103">
        <v>1000</v>
      </c>
      <c r="L1103">
        <v>820</v>
      </c>
      <c r="M1103">
        <v>0.82</v>
      </c>
      <c r="N1103" t="s">
        <v>18</v>
      </c>
    </row>
    <row r="1104" spans="1:14">
      <c r="A1104">
        <v>1127</v>
      </c>
      <c r="B1104" s="4">
        <v>44635</v>
      </c>
      <c r="C1104" s="5">
        <v>0.80972222222222223</v>
      </c>
      <c r="D1104" t="s">
        <v>116</v>
      </c>
      <c r="E1104" t="s">
        <v>23</v>
      </c>
      <c r="F1104">
        <v>33</v>
      </c>
      <c r="G1104" t="s">
        <v>17</v>
      </c>
      <c r="H1104">
        <v>2</v>
      </c>
      <c r="I1104">
        <v>25</v>
      </c>
      <c r="J1104">
        <v>13</v>
      </c>
      <c r="K1104">
        <v>50</v>
      </c>
      <c r="L1104">
        <v>37</v>
      </c>
      <c r="M1104">
        <v>0.74</v>
      </c>
      <c r="N1104" t="s">
        <v>39</v>
      </c>
    </row>
    <row r="1105" spans="1:14">
      <c r="A1105">
        <v>1213</v>
      </c>
      <c r="B1105" s="4">
        <v>45098</v>
      </c>
      <c r="C1105" s="5">
        <v>0.72430555555555554</v>
      </c>
      <c r="D1105" t="s">
        <v>77</v>
      </c>
      <c r="E1105" t="s">
        <v>16</v>
      </c>
      <c r="F1105">
        <v>27</v>
      </c>
      <c r="G1105" t="s">
        <v>20</v>
      </c>
      <c r="H1105">
        <v>3</v>
      </c>
      <c r="I1105">
        <v>500</v>
      </c>
      <c r="J1105">
        <v>185</v>
      </c>
      <c r="K1105">
        <v>1500</v>
      </c>
      <c r="L1105">
        <v>1315</v>
      </c>
      <c r="M1105">
        <v>0.87666666666666671</v>
      </c>
      <c r="N1105" t="s">
        <v>39</v>
      </c>
    </row>
    <row r="1106" spans="1:14">
      <c r="A1106">
        <v>1487</v>
      </c>
      <c r="B1106" s="4">
        <v>44958</v>
      </c>
      <c r="C1106" s="5">
        <v>0.79236111111111107</v>
      </c>
      <c r="D1106" t="s">
        <v>161</v>
      </c>
      <c r="E1106" t="s">
        <v>16</v>
      </c>
      <c r="F1106">
        <v>44</v>
      </c>
      <c r="G1106" t="s">
        <v>17</v>
      </c>
      <c r="H1106">
        <v>4</v>
      </c>
      <c r="I1106">
        <v>500</v>
      </c>
      <c r="J1106">
        <v>140</v>
      </c>
      <c r="K1106">
        <v>2000</v>
      </c>
      <c r="L1106">
        <v>1860</v>
      </c>
      <c r="M1106">
        <v>0.93</v>
      </c>
      <c r="N1106" t="s">
        <v>18</v>
      </c>
    </row>
    <row r="1107" spans="1:14">
      <c r="A1107">
        <v>1495</v>
      </c>
      <c r="B1107" s="4">
        <v>44999</v>
      </c>
      <c r="C1107" s="5">
        <v>0.94236111111111109</v>
      </c>
      <c r="D1107" t="s">
        <v>156</v>
      </c>
      <c r="E1107" t="s">
        <v>16</v>
      </c>
      <c r="F1107">
        <v>24</v>
      </c>
      <c r="G1107" t="s">
        <v>20</v>
      </c>
      <c r="H1107">
        <v>2</v>
      </c>
      <c r="I1107">
        <v>30</v>
      </c>
      <c r="J1107">
        <v>16.2</v>
      </c>
      <c r="K1107">
        <v>60</v>
      </c>
      <c r="L1107">
        <v>43.8</v>
      </c>
      <c r="M1107">
        <v>0.73</v>
      </c>
      <c r="N1107" t="s">
        <v>31</v>
      </c>
    </row>
    <row r="1108" spans="1:14">
      <c r="A1108">
        <v>1605</v>
      </c>
      <c r="B1108" s="4">
        <v>44585</v>
      </c>
      <c r="C1108" s="5">
        <v>0.81874999999999998</v>
      </c>
      <c r="D1108" t="s">
        <v>124</v>
      </c>
      <c r="E1108" t="s">
        <v>16</v>
      </c>
      <c r="F1108">
        <v>37</v>
      </c>
      <c r="G1108" t="s">
        <v>30</v>
      </c>
      <c r="H1108">
        <v>2</v>
      </c>
      <c r="I1108">
        <v>500</v>
      </c>
      <c r="J1108">
        <v>165</v>
      </c>
      <c r="K1108">
        <v>1000</v>
      </c>
      <c r="L1108">
        <v>835</v>
      </c>
      <c r="M1108">
        <v>0.83499999999999996</v>
      </c>
      <c r="N1108" t="s">
        <v>18</v>
      </c>
    </row>
    <row r="1109" spans="1:14">
      <c r="A1109">
        <v>105</v>
      </c>
      <c r="B1109" s="4">
        <v>45095</v>
      </c>
      <c r="C1109" s="5">
        <v>0.75347222222222221</v>
      </c>
      <c r="D1109" t="s">
        <v>43</v>
      </c>
      <c r="E1109" t="s">
        <v>23</v>
      </c>
      <c r="F1109">
        <v>22</v>
      </c>
      <c r="G1109" t="s">
        <v>30</v>
      </c>
      <c r="H1109">
        <v>1</v>
      </c>
      <c r="I1109">
        <v>500</v>
      </c>
      <c r="J1109">
        <v>230</v>
      </c>
      <c r="K1109">
        <v>500</v>
      </c>
      <c r="L1109">
        <v>270</v>
      </c>
      <c r="M1109">
        <v>0.54</v>
      </c>
      <c r="N1109" t="s">
        <v>31</v>
      </c>
    </row>
    <row r="1110" spans="1:14">
      <c r="A1110">
        <v>299</v>
      </c>
      <c r="B1110" s="4">
        <v>44951</v>
      </c>
      <c r="C1110" s="5">
        <v>0.8354166666666667</v>
      </c>
      <c r="D1110" t="s">
        <v>130</v>
      </c>
      <c r="E1110" t="s">
        <v>16</v>
      </c>
      <c r="F1110">
        <v>61</v>
      </c>
      <c r="G1110" t="s">
        <v>30</v>
      </c>
      <c r="H1110">
        <v>2</v>
      </c>
      <c r="I1110">
        <v>500</v>
      </c>
      <c r="J1110">
        <v>230</v>
      </c>
      <c r="K1110">
        <v>1000</v>
      </c>
      <c r="L1110">
        <v>770</v>
      </c>
      <c r="M1110">
        <v>0.77</v>
      </c>
      <c r="N1110" t="s">
        <v>28</v>
      </c>
    </row>
    <row r="1111" spans="1:14">
      <c r="A1111">
        <v>934</v>
      </c>
      <c r="B1111" s="4">
        <v>44887</v>
      </c>
      <c r="C1111" s="5">
        <v>0.76388888888888884</v>
      </c>
      <c r="D1111" t="s">
        <v>117</v>
      </c>
      <c r="E1111" t="s">
        <v>16</v>
      </c>
      <c r="F1111">
        <v>30</v>
      </c>
      <c r="G1111" t="s">
        <v>20</v>
      </c>
      <c r="H1111">
        <v>1</v>
      </c>
      <c r="I1111">
        <v>500</v>
      </c>
      <c r="J1111">
        <v>240</v>
      </c>
      <c r="K1111">
        <v>500</v>
      </c>
      <c r="L1111">
        <v>260</v>
      </c>
      <c r="M1111">
        <v>0.52</v>
      </c>
      <c r="N1111" t="s">
        <v>39</v>
      </c>
    </row>
    <row r="1112" spans="1:14">
      <c r="A1112">
        <v>1105</v>
      </c>
      <c r="B1112" s="4">
        <v>44877</v>
      </c>
      <c r="C1112" s="5">
        <v>0.79791666666666672</v>
      </c>
      <c r="D1112" t="s">
        <v>169</v>
      </c>
      <c r="E1112" t="s">
        <v>23</v>
      </c>
      <c r="F1112">
        <v>22</v>
      </c>
      <c r="G1112" t="s">
        <v>30</v>
      </c>
      <c r="H1112">
        <v>1</v>
      </c>
      <c r="I1112">
        <v>500</v>
      </c>
      <c r="J1112">
        <v>270</v>
      </c>
      <c r="K1112">
        <v>500</v>
      </c>
      <c r="L1112">
        <v>230</v>
      </c>
      <c r="M1112">
        <v>0.46</v>
      </c>
      <c r="N1112" t="s">
        <v>31</v>
      </c>
    </row>
    <row r="1113" spans="1:14">
      <c r="A1113">
        <v>1299</v>
      </c>
      <c r="B1113" s="4">
        <v>44689</v>
      </c>
      <c r="C1113" s="5">
        <v>0.79027777777777775</v>
      </c>
      <c r="D1113" t="s">
        <v>151</v>
      </c>
      <c r="E1113" t="s">
        <v>16</v>
      </c>
      <c r="F1113">
        <v>61</v>
      </c>
      <c r="G1113" t="s">
        <v>30</v>
      </c>
      <c r="H1113">
        <v>2</v>
      </c>
      <c r="I1113">
        <v>500</v>
      </c>
      <c r="J1113">
        <v>250</v>
      </c>
      <c r="K1113">
        <v>1000</v>
      </c>
      <c r="L1113">
        <v>750</v>
      </c>
      <c r="M1113">
        <v>0.75</v>
      </c>
      <c r="N1113" t="s">
        <v>28</v>
      </c>
    </row>
    <row r="1114" spans="1:14">
      <c r="A1114">
        <v>1934</v>
      </c>
      <c r="B1114" s="4">
        <v>44812</v>
      </c>
      <c r="C1114" s="5">
        <v>0.71250000000000002</v>
      </c>
      <c r="D1114" t="s">
        <v>95</v>
      </c>
      <c r="E1114" t="s">
        <v>16</v>
      </c>
      <c r="F1114">
        <v>30</v>
      </c>
      <c r="G1114" t="s">
        <v>20</v>
      </c>
      <c r="H1114">
        <v>1</v>
      </c>
      <c r="I1114">
        <v>500</v>
      </c>
      <c r="J1114">
        <v>150</v>
      </c>
      <c r="K1114">
        <v>500</v>
      </c>
      <c r="L1114">
        <v>350</v>
      </c>
      <c r="M1114">
        <v>0.7</v>
      </c>
      <c r="N1114" t="s">
        <v>39</v>
      </c>
    </row>
    <row r="1115" spans="1:14">
      <c r="A1115">
        <v>270</v>
      </c>
      <c r="B1115" s="4">
        <v>44912</v>
      </c>
      <c r="C1115" s="5">
        <v>0.74027777777777781</v>
      </c>
      <c r="D1115" t="s">
        <v>176</v>
      </c>
      <c r="E1115" t="s">
        <v>16</v>
      </c>
      <c r="F1115">
        <v>43</v>
      </c>
      <c r="G1115" t="s">
        <v>30</v>
      </c>
      <c r="H1115">
        <v>1</v>
      </c>
      <c r="I1115">
        <v>300</v>
      </c>
      <c r="J1115">
        <v>117</v>
      </c>
      <c r="K1115">
        <v>300</v>
      </c>
      <c r="L1115">
        <v>183</v>
      </c>
      <c r="M1115">
        <v>0.61</v>
      </c>
      <c r="N1115" t="s">
        <v>18</v>
      </c>
    </row>
    <row r="1116" spans="1:14">
      <c r="A1116">
        <v>338</v>
      </c>
      <c r="B1116" s="4">
        <v>44597</v>
      </c>
      <c r="C1116" s="5">
        <v>0.8930555555555556</v>
      </c>
      <c r="D1116" t="s">
        <v>76</v>
      </c>
      <c r="E1116" t="s">
        <v>16</v>
      </c>
      <c r="F1116">
        <v>54</v>
      </c>
      <c r="G1116" t="s">
        <v>20</v>
      </c>
      <c r="H1116">
        <v>2</v>
      </c>
      <c r="I1116">
        <v>50</v>
      </c>
      <c r="J1116">
        <v>20</v>
      </c>
      <c r="K1116">
        <v>100</v>
      </c>
      <c r="L1116">
        <v>80</v>
      </c>
      <c r="M1116">
        <v>0.8</v>
      </c>
      <c r="N1116" t="s">
        <v>21</v>
      </c>
    </row>
    <row r="1117" spans="1:14">
      <c r="A1117">
        <v>543</v>
      </c>
      <c r="B1117" s="4">
        <v>44667</v>
      </c>
      <c r="C1117" s="5">
        <v>0.85416666666666663</v>
      </c>
      <c r="D1117" t="s">
        <v>126</v>
      </c>
      <c r="E1117" t="s">
        <v>16</v>
      </c>
      <c r="F1117">
        <v>49</v>
      </c>
      <c r="G1117" t="s">
        <v>20</v>
      </c>
      <c r="H1117">
        <v>2</v>
      </c>
      <c r="I1117">
        <v>300</v>
      </c>
      <c r="J1117">
        <v>75</v>
      </c>
      <c r="K1117">
        <v>600</v>
      </c>
      <c r="L1117">
        <v>525</v>
      </c>
      <c r="M1117">
        <v>0.875</v>
      </c>
      <c r="N1117" t="s">
        <v>21</v>
      </c>
    </row>
    <row r="1118" spans="1:14">
      <c r="A1118">
        <v>1270</v>
      </c>
      <c r="B1118" s="4">
        <v>44798</v>
      </c>
      <c r="C1118" s="5">
        <v>0.95416666666666672</v>
      </c>
      <c r="D1118" t="s">
        <v>176</v>
      </c>
      <c r="E1118" t="s">
        <v>16</v>
      </c>
      <c r="F1118">
        <v>43</v>
      </c>
      <c r="G1118" t="s">
        <v>30</v>
      </c>
      <c r="H1118">
        <v>1</v>
      </c>
      <c r="I1118">
        <v>300</v>
      </c>
      <c r="J1118">
        <v>108</v>
      </c>
      <c r="K1118">
        <v>300</v>
      </c>
      <c r="L1118">
        <v>192</v>
      </c>
      <c r="M1118">
        <v>0.64</v>
      </c>
      <c r="N1118" t="s">
        <v>18</v>
      </c>
    </row>
    <row r="1119" spans="1:14">
      <c r="A1119">
        <v>1338</v>
      </c>
      <c r="B1119" s="4">
        <v>44586</v>
      </c>
      <c r="C1119" s="5">
        <v>0.82986111111111116</v>
      </c>
      <c r="D1119" t="s">
        <v>99</v>
      </c>
      <c r="E1119" t="s">
        <v>16</v>
      </c>
      <c r="F1119">
        <v>54</v>
      </c>
      <c r="G1119" t="s">
        <v>20</v>
      </c>
      <c r="H1119">
        <v>2</v>
      </c>
      <c r="I1119">
        <v>50</v>
      </c>
      <c r="J1119">
        <v>19</v>
      </c>
      <c r="K1119">
        <v>100</v>
      </c>
      <c r="L1119">
        <v>81</v>
      </c>
      <c r="M1119">
        <v>0.81</v>
      </c>
      <c r="N1119" t="s">
        <v>21</v>
      </c>
    </row>
    <row r="1120" spans="1:14">
      <c r="A1120">
        <v>1543</v>
      </c>
      <c r="B1120" s="4">
        <v>44837</v>
      </c>
      <c r="C1120" s="5">
        <v>0.94444444444444442</v>
      </c>
      <c r="D1120" t="s">
        <v>178</v>
      </c>
      <c r="E1120" t="s">
        <v>16</v>
      </c>
      <c r="F1120">
        <v>49</v>
      </c>
      <c r="G1120" t="s">
        <v>20</v>
      </c>
      <c r="H1120">
        <v>2</v>
      </c>
      <c r="I1120">
        <v>300</v>
      </c>
      <c r="J1120">
        <v>123</v>
      </c>
      <c r="K1120">
        <v>600</v>
      </c>
      <c r="L1120">
        <v>477</v>
      </c>
      <c r="M1120">
        <v>0.79500000000000004</v>
      </c>
      <c r="N1120" t="s">
        <v>21</v>
      </c>
    </row>
    <row r="1121" spans="1:14">
      <c r="A1121">
        <v>557</v>
      </c>
      <c r="B1121" s="4">
        <v>45196</v>
      </c>
      <c r="C1121" s="5">
        <v>0.83402777777777781</v>
      </c>
      <c r="D1121" t="s">
        <v>133</v>
      </c>
      <c r="E1121" t="s">
        <v>23</v>
      </c>
      <c r="F1121">
        <v>20</v>
      </c>
      <c r="G1121" t="s">
        <v>20</v>
      </c>
      <c r="H1121">
        <v>3</v>
      </c>
      <c r="I1121">
        <v>30</v>
      </c>
      <c r="J1121">
        <v>12.9</v>
      </c>
      <c r="K1121">
        <v>90</v>
      </c>
      <c r="L1121">
        <v>77.099999999999994</v>
      </c>
      <c r="M1121">
        <v>0.85666666666666658</v>
      </c>
      <c r="N1121" t="s">
        <v>31</v>
      </c>
    </row>
    <row r="1122" spans="1:14">
      <c r="A1122">
        <v>702</v>
      </c>
      <c r="B1122" s="4">
        <v>44988</v>
      </c>
      <c r="C1122" s="5">
        <v>0.72083333333333333</v>
      </c>
      <c r="D1122" t="s">
        <v>32</v>
      </c>
      <c r="E1122" t="s">
        <v>23</v>
      </c>
      <c r="F1122">
        <v>60</v>
      </c>
      <c r="G1122" t="s">
        <v>17</v>
      </c>
      <c r="H1122">
        <v>2</v>
      </c>
      <c r="I1122">
        <v>300</v>
      </c>
      <c r="J1122">
        <v>78</v>
      </c>
      <c r="K1122">
        <v>600</v>
      </c>
      <c r="L1122">
        <v>522</v>
      </c>
      <c r="M1122">
        <v>0.87</v>
      </c>
      <c r="N1122" t="s">
        <v>28</v>
      </c>
    </row>
    <row r="1123" spans="1:14">
      <c r="A1123">
        <v>864</v>
      </c>
      <c r="B1123" s="4">
        <v>45138</v>
      </c>
      <c r="C1123" s="5">
        <v>0.92777777777777781</v>
      </c>
      <c r="D1123" t="s">
        <v>104</v>
      </c>
      <c r="E1123" t="s">
        <v>23</v>
      </c>
      <c r="F1123">
        <v>51</v>
      </c>
      <c r="G1123" t="s">
        <v>30</v>
      </c>
      <c r="H1123">
        <v>1</v>
      </c>
      <c r="I1123">
        <v>500</v>
      </c>
      <c r="J1123">
        <v>215</v>
      </c>
      <c r="K1123">
        <v>500</v>
      </c>
      <c r="L1123">
        <v>285</v>
      </c>
      <c r="M1123">
        <v>0.56999999999999995</v>
      </c>
      <c r="N1123" t="s">
        <v>21</v>
      </c>
    </row>
    <row r="1124" spans="1:14">
      <c r="A1124">
        <v>1557</v>
      </c>
      <c r="B1124" s="4">
        <v>44777</v>
      </c>
      <c r="C1124" s="5">
        <v>0.70902777777777781</v>
      </c>
      <c r="D1124" t="s">
        <v>160</v>
      </c>
      <c r="E1124" t="s">
        <v>23</v>
      </c>
      <c r="F1124">
        <v>20</v>
      </c>
      <c r="G1124" t="s">
        <v>20</v>
      </c>
      <c r="H1124">
        <v>3</v>
      </c>
      <c r="I1124">
        <v>30</v>
      </c>
      <c r="J1124">
        <v>10.199999999999999</v>
      </c>
      <c r="K1124">
        <v>90</v>
      </c>
      <c r="L1124">
        <v>79.8</v>
      </c>
      <c r="M1124">
        <v>0.8866666666666666</v>
      </c>
      <c r="N1124" t="s">
        <v>31</v>
      </c>
    </row>
    <row r="1125" spans="1:14">
      <c r="A1125">
        <v>1702</v>
      </c>
      <c r="B1125" s="4">
        <v>45138</v>
      </c>
      <c r="C1125" s="5">
        <v>0.91249999999999998</v>
      </c>
      <c r="D1125" t="s">
        <v>37</v>
      </c>
      <c r="E1125" t="s">
        <v>23</v>
      </c>
      <c r="F1125">
        <v>60</v>
      </c>
      <c r="G1125" t="s">
        <v>17</v>
      </c>
      <c r="H1125">
        <v>2</v>
      </c>
      <c r="I1125">
        <v>300</v>
      </c>
      <c r="J1125">
        <v>87</v>
      </c>
      <c r="K1125">
        <v>600</v>
      </c>
      <c r="L1125">
        <v>513</v>
      </c>
      <c r="M1125">
        <v>0.85499999999999998</v>
      </c>
      <c r="N1125" t="s">
        <v>28</v>
      </c>
    </row>
    <row r="1126" spans="1:14">
      <c r="A1126">
        <v>1864</v>
      </c>
      <c r="B1126" s="4">
        <v>45046</v>
      </c>
      <c r="C1126" s="5">
        <v>0.875</v>
      </c>
      <c r="D1126" t="s">
        <v>142</v>
      </c>
      <c r="E1126" t="s">
        <v>23</v>
      </c>
      <c r="F1126">
        <v>51</v>
      </c>
      <c r="G1126" t="s">
        <v>30</v>
      </c>
      <c r="H1126">
        <v>1</v>
      </c>
      <c r="I1126">
        <v>500</v>
      </c>
      <c r="J1126">
        <v>190</v>
      </c>
      <c r="K1126">
        <v>500</v>
      </c>
      <c r="L1126">
        <v>310</v>
      </c>
      <c r="M1126">
        <v>0.62</v>
      </c>
      <c r="N1126" t="s">
        <v>21</v>
      </c>
    </row>
    <row r="1127" spans="1:14">
      <c r="A1127">
        <v>254</v>
      </c>
      <c r="B1127" s="4">
        <v>44909</v>
      </c>
      <c r="C1127" s="5">
        <v>0.94791666666666663</v>
      </c>
      <c r="D1127" t="s">
        <v>100</v>
      </c>
      <c r="E1127" t="s">
        <v>16</v>
      </c>
      <c r="F1127">
        <v>41</v>
      </c>
      <c r="G1127" t="s">
        <v>30</v>
      </c>
      <c r="H1127">
        <v>1</v>
      </c>
      <c r="I1127">
        <v>500</v>
      </c>
      <c r="J1127">
        <v>165</v>
      </c>
      <c r="K1127">
        <v>500</v>
      </c>
      <c r="L1127">
        <v>335</v>
      </c>
      <c r="M1127">
        <v>0.67</v>
      </c>
      <c r="N1127" t="s">
        <v>18</v>
      </c>
    </row>
    <row r="1128" spans="1:14">
      <c r="A1128">
        <v>295</v>
      </c>
      <c r="B1128" s="4">
        <v>44593</v>
      </c>
      <c r="C1128" s="5">
        <v>0.84930555555555554</v>
      </c>
      <c r="D1128" t="s">
        <v>72</v>
      </c>
      <c r="E1128" t="s">
        <v>23</v>
      </c>
      <c r="F1128">
        <v>27</v>
      </c>
      <c r="G1128" t="s">
        <v>20</v>
      </c>
      <c r="H1128">
        <v>3</v>
      </c>
      <c r="I1128">
        <v>300</v>
      </c>
      <c r="J1128">
        <v>105</v>
      </c>
      <c r="K1128">
        <v>900</v>
      </c>
      <c r="L1128">
        <v>795</v>
      </c>
      <c r="M1128">
        <v>0.8833333333333333</v>
      </c>
      <c r="N1128" t="s">
        <v>39</v>
      </c>
    </row>
    <row r="1129" spans="1:14">
      <c r="A1129">
        <v>457</v>
      </c>
      <c r="B1129" s="4">
        <v>44893</v>
      </c>
      <c r="C1129" s="5">
        <v>0.9506944444444444</v>
      </c>
      <c r="D1129" t="s">
        <v>140</v>
      </c>
      <c r="E1129" t="s">
        <v>23</v>
      </c>
      <c r="F1129">
        <v>58</v>
      </c>
      <c r="G1129" t="s">
        <v>20</v>
      </c>
      <c r="H1129">
        <v>3</v>
      </c>
      <c r="I1129">
        <v>300</v>
      </c>
      <c r="J1129">
        <v>147</v>
      </c>
      <c r="K1129">
        <v>900</v>
      </c>
      <c r="L1129">
        <v>753</v>
      </c>
      <c r="M1129">
        <v>0.83666666666666667</v>
      </c>
      <c r="N1129" t="s">
        <v>28</v>
      </c>
    </row>
    <row r="1130" spans="1:14">
      <c r="A1130">
        <v>668</v>
      </c>
      <c r="B1130" s="4">
        <v>44729</v>
      </c>
      <c r="C1130" s="5">
        <v>0.85624999999999996</v>
      </c>
      <c r="D1130" t="s">
        <v>71</v>
      </c>
      <c r="E1130" t="s">
        <v>23</v>
      </c>
      <c r="F1130">
        <v>62</v>
      </c>
      <c r="G1130" t="s">
        <v>30</v>
      </c>
      <c r="H1130">
        <v>3</v>
      </c>
      <c r="I1130">
        <v>50</v>
      </c>
      <c r="J1130">
        <v>24.5</v>
      </c>
      <c r="K1130">
        <v>150</v>
      </c>
      <c r="L1130">
        <v>125.5</v>
      </c>
      <c r="M1130">
        <v>0.83666666666666667</v>
      </c>
      <c r="N1130" t="s">
        <v>28</v>
      </c>
    </row>
    <row r="1131" spans="1:14">
      <c r="A1131">
        <v>850</v>
      </c>
      <c r="B1131" s="4">
        <v>45183</v>
      </c>
      <c r="C1131" s="5">
        <v>0.79236111111111107</v>
      </c>
      <c r="D1131" t="s">
        <v>35</v>
      </c>
      <c r="E1131" t="s">
        <v>23</v>
      </c>
      <c r="F1131">
        <v>26</v>
      </c>
      <c r="G1131" t="s">
        <v>20</v>
      </c>
      <c r="H1131">
        <v>2</v>
      </c>
      <c r="I1131">
        <v>500</v>
      </c>
      <c r="J1131">
        <v>235</v>
      </c>
      <c r="K1131">
        <v>1000</v>
      </c>
      <c r="L1131">
        <v>765</v>
      </c>
      <c r="M1131">
        <v>0.76500000000000001</v>
      </c>
      <c r="N1131" t="s">
        <v>39</v>
      </c>
    </row>
    <row r="1132" spans="1:14">
      <c r="A1132">
        <v>1254</v>
      </c>
      <c r="B1132" s="4">
        <v>45028</v>
      </c>
      <c r="C1132" s="5">
        <v>0.76666666666666672</v>
      </c>
      <c r="D1132" t="s">
        <v>93</v>
      </c>
      <c r="E1132" t="s">
        <v>16</v>
      </c>
      <c r="F1132">
        <v>41</v>
      </c>
      <c r="G1132" t="s">
        <v>30</v>
      </c>
      <c r="H1132">
        <v>1</v>
      </c>
      <c r="I1132">
        <v>500</v>
      </c>
      <c r="J1132">
        <v>180</v>
      </c>
      <c r="K1132">
        <v>500</v>
      </c>
      <c r="L1132">
        <v>320</v>
      </c>
      <c r="M1132">
        <v>0.64</v>
      </c>
      <c r="N1132" t="s">
        <v>18</v>
      </c>
    </row>
    <row r="1133" spans="1:14">
      <c r="A1133">
        <v>1295</v>
      </c>
      <c r="B1133" s="4">
        <v>45234</v>
      </c>
      <c r="C1133" s="5">
        <v>0.81111111111111112</v>
      </c>
      <c r="D1133" t="s">
        <v>93</v>
      </c>
      <c r="E1133" t="s">
        <v>23</v>
      </c>
      <c r="F1133">
        <v>27</v>
      </c>
      <c r="G1133" t="s">
        <v>20</v>
      </c>
      <c r="H1133">
        <v>3</v>
      </c>
      <c r="I1133">
        <v>300</v>
      </c>
      <c r="J1133">
        <v>81</v>
      </c>
      <c r="K1133">
        <v>900</v>
      </c>
      <c r="L1133">
        <v>819</v>
      </c>
      <c r="M1133">
        <v>0.91</v>
      </c>
      <c r="N1133" t="s">
        <v>39</v>
      </c>
    </row>
    <row r="1134" spans="1:14">
      <c r="A1134">
        <v>1457</v>
      </c>
      <c r="B1134" s="4">
        <v>45010</v>
      </c>
      <c r="C1134" s="5">
        <v>0.89652777777777781</v>
      </c>
      <c r="D1134" t="s">
        <v>168</v>
      </c>
      <c r="E1134" t="s">
        <v>23</v>
      </c>
      <c r="F1134">
        <v>58</v>
      </c>
      <c r="G1134" t="s">
        <v>20</v>
      </c>
      <c r="H1134">
        <v>3</v>
      </c>
      <c r="I1134">
        <v>300</v>
      </c>
      <c r="J1134">
        <v>108</v>
      </c>
      <c r="K1134">
        <v>900</v>
      </c>
      <c r="L1134">
        <v>792</v>
      </c>
      <c r="M1134">
        <v>0.88</v>
      </c>
      <c r="N1134" t="s">
        <v>28</v>
      </c>
    </row>
    <row r="1135" spans="1:14">
      <c r="A1135">
        <v>1668</v>
      </c>
      <c r="B1135" s="4">
        <v>44998</v>
      </c>
      <c r="C1135" s="5">
        <v>0.90277777777777779</v>
      </c>
      <c r="D1135" t="s">
        <v>94</v>
      </c>
      <c r="E1135" t="s">
        <v>23</v>
      </c>
      <c r="F1135">
        <v>62</v>
      </c>
      <c r="G1135" t="s">
        <v>30</v>
      </c>
      <c r="H1135">
        <v>3</v>
      </c>
      <c r="I1135">
        <v>50</v>
      </c>
      <c r="J1135">
        <v>14</v>
      </c>
      <c r="K1135">
        <v>150</v>
      </c>
      <c r="L1135">
        <v>136</v>
      </c>
      <c r="M1135">
        <v>0.90666666666666662</v>
      </c>
      <c r="N1135" t="s">
        <v>28</v>
      </c>
    </row>
    <row r="1136" spans="1:14">
      <c r="A1136">
        <v>1850</v>
      </c>
      <c r="B1136" s="4">
        <v>44608</v>
      </c>
      <c r="C1136" s="5">
        <v>0.86388888888888893</v>
      </c>
      <c r="D1136" t="s">
        <v>179</v>
      </c>
      <c r="E1136" t="s">
        <v>23</v>
      </c>
      <c r="F1136">
        <v>26</v>
      </c>
      <c r="G1136" t="s">
        <v>20</v>
      </c>
      <c r="H1136">
        <v>2</v>
      </c>
      <c r="I1136">
        <v>500</v>
      </c>
      <c r="J1136">
        <v>240</v>
      </c>
      <c r="K1136">
        <v>1000</v>
      </c>
      <c r="L1136">
        <v>760</v>
      </c>
      <c r="M1136">
        <v>0.76</v>
      </c>
      <c r="N1136" t="s">
        <v>39</v>
      </c>
    </row>
    <row r="1137" spans="1:14">
      <c r="A1137">
        <v>541</v>
      </c>
      <c r="B1137" s="4">
        <v>44920</v>
      </c>
      <c r="C1137" s="5">
        <v>0.77569444444444446</v>
      </c>
      <c r="D1137" t="s">
        <v>75</v>
      </c>
      <c r="E1137" t="s">
        <v>16</v>
      </c>
      <c r="F1137">
        <v>56</v>
      </c>
      <c r="G1137" t="s">
        <v>20</v>
      </c>
      <c r="H1137">
        <v>1</v>
      </c>
      <c r="I1137">
        <v>500</v>
      </c>
      <c r="J1137">
        <v>215</v>
      </c>
      <c r="K1137">
        <v>500</v>
      </c>
      <c r="L1137">
        <v>285</v>
      </c>
      <c r="M1137">
        <v>0.56999999999999995</v>
      </c>
      <c r="N1137" t="s">
        <v>28</v>
      </c>
    </row>
    <row r="1138" spans="1:14">
      <c r="A1138">
        <v>980</v>
      </c>
      <c r="B1138" s="4">
        <v>44848</v>
      </c>
      <c r="C1138" s="5">
        <v>0.82708333333333328</v>
      </c>
      <c r="D1138" t="s">
        <v>59</v>
      </c>
      <c r="E1138" t="s">
        <v>23</v>
      </c>
      <c r="F1138">
        <v>31</v>
      </c>
      <c r="G1138" t="s">
        <v>30</v>
      </c>
      <c r="H1138">
        <v>3</v>
      </c>
      <c r="I1138">
        <v>25</v>
      </c>
      <c r="J1138">
        <v>12.5</v>
      </c>
      <c r="K1138">
        <v>75</v>
      </c>
      <c r="L1138">
        <v>62.5</v>
      </c>
      <c r="M1138">
        <v>0.83333333333333337</v>
      </c>
      <c r="N1138" t="s">
        <v>39</v>
      </c>
    </row>
    <row r="1139" spans="1:14">
      <c r="A1139">
        <v>1541</v>
      </c>
      <c r="B1139" s="4">
        <v>45201</v>
      </c>
      <c r="C1139" s="5">
        <v>0.92847222222222225</v>
      </c>
      <c r="D1139" t="s">
        <v>64</v>
      </c>
      <c r="E1139" t="s">
        <v>16</v>
      </c>
      <c r="F1139">
        <v>56</v>
      </c>
      <c r="G1139" t="s">
        <v>20</v>
      </c>
      <c r="H1139">
        <v>1</v>
      </c>
      <c r="I1139">
        <v>500</v>
      </c>
      <c r="J1139">
        <v>195</v>
      </c>
      <c r="K1139">
        <v>500</v>
      </c>
      <c r="L1139">
        <v>305</v>
      </c>
      <c r="M1139">
        <v>0.61</v>
      </c>
      <c r="N1139" t="s">
        <v>28</v>
      </c>
    </row>
    <row r="1140" spans="1:14">
      <c r="A1140">
        <v>1980</v>
      </c>
      <c r="B1140" s="4">
        <v>45161</v>
      </c>
      <c r="C1140" s="5">
        <v>0.85416666666666663</v>
      </c>
      <c r="D1140" t="s">
        <v>142</v>
      </c>
      <c r="E1140" t="s">
        <v>23</v>
      </c>
      <c r="F1140">
        <v>31</v>
      </c>
      <c r="G1140" t="s">
        <v>30</v>
      </c>
      <c r="H1140">
        <v>3</v>
      </c>
      <c r="I1140">
        <v>25</v>
      </c>
      <c r="J1140">
        <v>6.5</v>
      </c>
      <c r="K1140">
        <v>75</v>
      </c>
      <c r="L1140">
        <v>68.5</v>
      </c>
      <c r="M1140">
        <v>0.91333333333333333</v>
      </c>
      <c r="N1140" t="s">
        <v>39</v>
      </c>
    </row>
    <row r="1141" spans="1:14">
      <c r="A1141">
        <v>262</v>
      </c>
      <c r="B1141" s="4">
        <v>45184</v>
      </c>
      <c r="C1141" s="5">
        <v>0.85624999999999996</v>
      </c>
      <c r="D1141" t="s">
        <v>152</v>
      </c>
      <c r="E1141" t="s">
        <v>23</v>
      </c>
      <c r="F1141">
        <v>32</v>
      </c>
      <c r="G1141" t="s">
        <v>20</v>
      </c>
      <c r="H1141">
        <v>4</v>
      </c>
      <c r="I1141">
        <v>30</v>
      </c>
      <c r="J1141">
        <v>12.6</v>
      </c>
      <c r="K1141">
        <v>120</v>
      </c>
      <c r="L1141">
        <v>107.4</v>
      </c>
      <c r="M1141">
        <v>0.89500000000000002</v>
      </c>
      <c r="N1141" t="s">
        <v>39</v>
      </c>
    </row>
    <row r="1142" spans="1:14">
      <c r="A1142">
        <v>467</v>
      </c>
      <c r="B1142" s="4">
        <v>44585</v>
      </c>
      <c r="C1142" s="5">
        <v>0.94374999999999998</v>
      </c>
      <c r="D1142" t="s">
        <v>132</v>
      </c>
      <c r="E1142" t="s">
        <v>23</v>
      </c>
      <c r="F1142">
        <v>53</v>
      </c>
      <c r="G1142" t="s">
        <v>30</v>
      </c>
      <c r="H1142">
        <v>3</v>
      </c>
      <c r="I1142">
        <v>50</v>
      </c>
      <c r="J1142">
        <v>14.5</v>
      </c>
      <c r="K1142">
        <v>150</v>
      </c>
      <c r="L1142">
        <v>135.5</v>
      </c>
      <c r="M1142">
        <v>0.90333333333333332</v>
      </c>
      <c r="N1142" t="s">
        <v>21</v>
      </c>
    </row>
    <row r="1143" spans="1:14">
      <c r="A1143">
        <v>1262</v>
      </c>
      <c r="B1143" s="4">
        <v>44786</v>
      </c>
      <c r="C1143" s="5">
        <v>0.85624999999999996</v>
      </c>
      <c r="D1143" t="s">
        <v>128</v>
      </c>
      <c r="E1143" t="s">
        <v>23</v>
      </c>
      <c r="F1143">
        <v>32</v>
      </c>
      <c r="G1143" t="s">
        <v>20</v>
      </c>
      <c r="H1143">
        <v>4</v>
      </c>
      <c r="I1143">
        <v>30</v>
      </c>
      <c r="J1143">
        <v>8.4</v>
      </c>
      <c r="K1143">
        <v>120</v>
      </c>
      <c r="L1143">
        <v>111.6</v>
      </c>
      <c r="M1143">
        <v>0.92999999999999994</v>
      </c>
      <c r="N1143" t="s">
        <v>39</v>
      </c>
    </row>
    <row r="1144" spans="1:14">
      <c r="A1144">
        <v>1467</v>
      </c>
      <c r="B1144" s="4">
        <v>45151</v>
      </c>
      <c r="C1144" s="5">
        <v>0.81319444444444444</v>
      </c>
      <c r="D1144" t="s">
        <v>53</v>
      </c>
      <c r="E1144" t="s">
        <v>23</v>
      </c>
      <c r="F1144">
        <v>53</v>
      </c>
      <c r="G1144" t="s">
        <v>30</v>
      </c>
      <c r="H1144">
        <v>3</v>
      </c>
      <c r="I1144">
        <v>50</v>
      </c>
      <c r="J1144">
        <v>14</v>
      </c>
      <c r="K1144">
        <v>150</v>
      </c>
      <c r="L1144">
        <v>136</v>
      </c>
      <c r="M1144">
        <v>0.90666666666666662</v>
      </c>
      <c r="N1144" t="s">
        <v>21</v>
      </c>
    </row>
    <row r="1145" spans="1:14">
      <c r="A1145">
        <v>463</v>
      </c>
      <c r="B1145" s="4">
        <v>44955</v>
      </c>
      <c r="C1145" s="5">
        <v>0.84861111111111109</v>
      </c>
      <c r="D1145" t="s">
        <v>83</v>
      </c>
      <c r="E1145" t="s">
        <v>23</v>
      </c>
      <c r="F1145">
        <v>54</v>
      </c>
      <c r="G1145" t="s">
        <v>20</v>
      </c>
      <c r="H1145">
        <v>3</v>
      </c>
      <c r="I1145">
        <v>500</v>
      </c>
      <c r="J1145">
        <v>175</v>
      </c>
      <c r="K1145">
        <v>1500</v>
      </c>
      <c r="L1145">
        <v>1325</v>
      </c>
      <c r="M1145">
        <v>0.8833333333333333</v>
      </c>
      <c r="N1145" t="s">
        <v>21</v>
      </c>
    </row>
    <row r="1146" spans="1:14">
      <c r="A1146">
        <v>1463</v>
      </c>
      <c r="B1146" s="4">
        <v>44771</v>
      </c>
      <c r="C1146" s="5">
        <v>0.82291666666666663</v>
      </c>
      <c r="D1146" t="s">
        <v>45</v>
      </c>
      <c r="E1146" t="s">
        <v>23</v>
      </c>
      <c r="F1146">
        <v>54</v>
      </c>
      <c r="G1146" t="s">
        <v>20</v>
      </c>
      <c r="H1146">
        <v>3</v>
      </c>
      <c r="I1146">
        <v>500</v>
      </c>
      <c r="J1146">
        <v>170</v>
      </c>
      <c r="K1146">
        <v>1500</v>
      </c>
      <c r="L1146">
        <v>1330</v>
      </c>
      <c r="M1146">
        <v>0.88666666666666671</v>
      </c>
      <c r="N1146" t="s">
        <v>21</v>
      </c>
    </row>
    <row r="1147" spans="1:14">
      <c r="A1147">
        <v>598</v>
      </c>
      <c r="B1147" s="4">
        <v>44735</v>
      </c>
      <c r="C1147" s="5">
        <v>0.70972222222222225</v>
      </c>
      <c r="D1147" t="s">
        <v>105</v>
      </c>
      <c r="E1147" t="s">
        <v>16</v>
      </c>
      <c r="F1147">
        <v>37</v>
      </c>
      <c r="G1147" t="s">
        <v>20</v>
      </c>
      <c r="H1147">
        <v>4</v>
      </c>
      <c r="I1147">
        <v>30</v>
      </c>
      <c r="J1147">
        <v>11.1</v>
      </c>
      <c r="K1147">
        <v>120</v>
      </c>
      <c r="L1147">
        <v>108.9</v>
      </c>
      <c r="M1147">
        <v>0.90750000000000008</v>
      </c>
      <c r="N1147" t="s">
        <v>18</v>
      </c>
    </row>
    <row r="1148" spans="1:14">
      <c r="A1148">
        <v>667</v>
      </c>
      <c r="B1148" s="4">
        <v>44896</v>
      </c>
      <c r="C1148" s="5">
        <v>0.78194444444444444</v>
      </c>
      <c r="D1148" t="s">
        <v>73</v>
      </c>
      <c r="E1148" t="s">
        <v>23</v>
      </c>
      <c r="F1148">
        <v>29</v>
      </c>
      <c r="G1148" t="s">
        <v>30</v>
      </c>
      <c r="H1148">
        <v>1</v>
      </c>
      <c r="I1148">
        <v>500</v>
      </c>
      <c r="J1148">
        <v>190</v>
      </c>
      <c r="K1148">
        <v>500</v>
      </c>
      <c r="L1148">
        <v>310</v>
      </c>
      <c r="M1148">
        <v>0.62</v>
      </c>
      <c r="N1148" t="s">
        <v>39</v>
      </c>
    </row>
    <row r="1149" spans="1:14">
      <c r="A1149">
        <v>672</v>
      </c>
      <c r="B1149" s="4">
        <v>44609</v>
      </c>
      <c r="C1149" s="5">
        <v>0.82222222222222219</v>
      </c>
      <c r="D1149" t="s">
        <v>40</v>
      </c>
      <c r="E1149" t="s">
        <v>23</v>
      </c>
      <c r="F1149">
        <v>34</v>
      </c>
      <c r="G1149" t="s">
        <v>20</v>
      </c>
      <c r="H1149">
        <v>2</v>
      </c>
      <c r="I1149">
        <v>50</v>
      </c>
      <c r="J1149">
        <v>27.5</v>
      </c>
      <c r="K1149">
        <v>100</v>
      </c>
      <c r="L1149">
        <v>72.5</v>
      </c>
      <c r="M1149">
        <v>0.72499999999999998</v>
      </c>
      <c r="N1149" t="s">
        <v>39</v>
      </c>
    </row>
    <row r="1150" spans="1:14">
      <c r="A1150">
        <v>1598</v>
      </c>
      <c r="B1150" s="4">
        <v>44941</v>
      </c>
      <c r="C1150" s="5">
        <v>0.80347222222222225</v>
      </c>
      <c r="D1150" t="s">
        <v>175</v>
      </c>
      <c r="E1150" t="s">
        <v>16</v>
      </c>
      <c r="F1150">
        <v>37</v>
      </c>
      <c r="G1150" t="s">
        <v>20</v>
      </c>
      <c r="H1150">
        <v>4</v>
      </c>
      <c r="I1150">
        <v>30</v>
      </c>
      <c r="J1150">
        <v>9.9</v>
      </c>
      <c r="K1150">
        <v>120</v>
      </c>
      <c r="L1150">
        <v>110.1</v>
      </c>
      <c r="M1150">
        <v>0.91749999999999998</v>
      </c>
      <c r="N1150" t="s">
        <v>18</v>
      </c>
    </row>
    <row r="1151" spans="1:14">
      <c r="A1151">
        <v>1667</v>
      </c>
      <c r="B1151" s="4">
        <v>44746</v>
      </c>
      <c r="C1151" s="5">
        <v>0.79791666666666672</v>
      </c>
      <c r="D1151" t="s">
        <v>115</v>
      </c>
      <c r="E1151" t="s">
        <v>23</v>
      </c>
      <c r="F1151">
        <v>29</v>
      </c>
      <c r="G1151" t="s">
        <v>30</v>
      </c>
      <c r="H1151">
        <v>1</v>
      </c>
      <c r="I1151">
        <v>500</v>
      </c>
      <c r="J1151">
        <v>125</v>
      </c>
      <c r="K1151">
        <v>500</v>
      </c>
      <c r="L1151">
        <v>375</v>
      </c>
      <c r="M1151">
        <v>0.75</v>
      </c>
      <c r="N1151" t="s">
        <v>39</v>
      </c>
    </row>
    <row r="1152" spans="1:14">
      <c r="A1152">
        <v>1672</v>
      </c>
      <c r="B1152" s="4">
        <v>45013</v>
      </c>
      <c r="C1152" s="5">
        <v>0.94027777777777777</v>
      </c>
      <c r="D1152" t="s">
        <v>116</v>
      </c>
      <c r="E1152" t="s">
        <v>23</v>
      </c>
      <c r="F1152">
        <v>34</v>
      </c>
      <c r="G1152" t="s">
        <v>20</v>
      </c>
      <c r="H1152">
        <v>2</v>
      </c>
      <c r="I1152">
        <v>50</v>
      </c>
      <c r="J1152">
        <v>15.5</v>
      </c>
      <c r="K1152">
        <v>100</v>
      </c>
      <c r="L1152">
        <v>84.5</v>
      </c>
      <c r="M1152">
        <v>0.84499999999999997</v>
      </c>
      <c r="N1152" t="s">
        <v>39</v>
      </c>
    </row>
    <row r="1153" spans="1:14">
      <c r="A1153">
        <v>949</v>
      </c>
      <c r="B1153" s="4">
        <v>45097</v>
      </c>
      <c r="C1153" s="5">
        <v>0.85277777777777775</v>
      </c>
      <c r="D1153" t="s">
        <v>129</v>
      </c>
      <c r="E1153" t="s">
        <v>23</v>
      </c>
      <c r="F1153">
        <v>41</v>
      </c>
      <c r="G1153" t="s">
        <v>30</v>
      </c>
      <c r="H1153">
        <v>2</v>
      </c>
      <c r="I1153">
        <v>25</v>
      </c>
      <c r="J1153">
        <v>9</v>
      </c>
      <c r="K1153">
        <v>50</v>
      </c>
      <c r="L1153">
        <v>41</v>
      </c>
      <c r="M1153">
        <v>0.82</v>
      </c>
      <c r="N1153" t="s">
        <v>18</v>
      </c>
    </row>
    <row r="1154" spans="1:14">
      <c r="A1154">
        <v>1949</v>
      </c>
      <c r="B1154" s="4">
        <v>44876</v>
      </c>
      <c r="C1154" s="5">
        <v>0.85</v>
      </c>
      <c r="D1154" t="s">
        <v>127</v>
      </c>
      <c r="E1154" t="s">
        <v>23</v>
      </c>
      <c r="F1154">
        <v>41</v>
      </c>
      <c r="G1154" t="s">
        <v>30</v>
      </c>
      <c r="H1154">
        <v>2</v>
      </c>
      <c r="I1154">
        <v>25</v>
      </c>
      <c r="J1154">
        <v>12.5</v>
      </c>
      <c r="K1154">
        <v>50</v>
      </c>
      <c r="L1154">
        <v>37.5</v>
      </c>
      <c r="M1154">
        <v>0.75</v>
      </c>
      <c r="N1154" t="s">
        <v>18</v>
      </c>
    </row>
    <row r="1155" spans="1:14">
      <c r="A1155">
        <v>27</v>
      </c>
      <c r="B1155" s="4">
        <v>45274</v>
      </c>
      <c r="C1155" s="5">
        <v>0.82222222222222219</v>
      </c>
      <c r="D1155" t="s">
        <v>75</v>
      </c>
      <c r="E1155" t="s">
        <v>23</v>
      </c>
      <c r="F1155">
        <v>38</v>
      </c>
      <c r="G1155" t="s">
        <v>20</v>
      </c>
      <c r="H1155">
        <v>2</v>
      </c>
      <c r="I1155">
        <v>25</v>
      </c>
      <c r="J1155">
        <v>8.25</v>
      </c>
      <c r="K1155">
        <v>50</v>
      </c>
      <c r="L1155">
        <v>41.75</v>
      </c>
      <c r="M1155">
        <v>0.83499999999999996</v>
      </c>
      <c r="N1155" t="s">
        <v>18</v>
      </c>
    </row>
    <row r="1156" spans="1:14">
      <c r="A1156">
        <v>347</v>
      </c>
      <c r="B1156" s="4">
        <v>44646</v>
      </c>
      <c r="C1156" s="5">
        <v>0.81319444444444444</v>
      </c>
      <c r="D1156" t="s">
        <v>112</v>
      </c>
      <c r="E1156" t="s">
        <v>16</v>
      </c>
      <c r="F1156">
        <v>42</v>
      </c>
      <c r="G1156" t="s">
        <v>30</v>
      </c>
      <c r="H1156">
        <v>1</v>
      </c>
      <c r="I1156">
        <v>25</v>
      </c>
      <c r="J1156">
        <v>7</v>
      </c>
      <c r="K1156">
        <v>25</v>
      </c>
      <c r="L1156">
        <v>18</v>
      </c>
      <c r="M1156">
        <v>0.72</v>
      </c>
      <c r="N1156" t="s">
        <v>18</v>
      </c>
    </row>
    <row r="1157" spans="1:14">
      <c r="A1157">
        <v>687</v>
      </c>
      <c r="B1157" s="4">
        <v>44739</v>
      </c>
      <c r="C1157" s="5">
        <v>0.71805555555555556</v>
      </c>
      <c r="D1157" t="s">
        <v>93</v>
      </c>
      <c r="E1157" t="s">
        <v>23</v>
      </c>
      <c r="F1157">
        <v>53</v>
      </c>
      <c r="G1157" t="s">
        <v>30</v>
      </c>
      <c r="H1157">
        <v>1</v>
      </c>
      <c r="I1157">
        <v>300</v>
      </c>
      <c r="J1157">
        <v>150</v>
      </c>
      <c r="K1157">
        <v>300</v>
      </c>
      <c r="L1157">
        <v>150</v>
      </c>
      <c r="M1157">
        <v>0.5</v>
      </c>
      <c r="N1157" t="s">
        <v>21</v>
      </c>
    </row>
    <row r="1158" spans="1:14">
      <c r="A1158">
        <v>1027</v>
      </c>
      <c r="B1158" s="4">
        <v>44681</v>
      </c>
      <c r="C1158" s="5">
        <v>0.875</v>
      </c>
      <c r="D1158" t="s">
        <v>161</v>
      </c>
      <c r="E1158" t="s">
        <v>23</v>
      </c>
      <c r="F1158">
        <v>38</v>
      </c>
      <c r="G1158" t="s">
        <v>20</v>
      </c>
      <c r="H1158">
        <v>2</v>
      </c>
      <c r="I1158">
        <v>25</v>
      </c>
      <c r="J1158">
        <v>7.5</v>
      </c>
      <c r="K1158">
        <v>50</v>
      </c>
      <c r="L1158">
        <v>42.5</v>
      </c>
      <c r="M1158">
        <v>0.85</v>
      </c>
      <c r="N1158" t="s">
        <v>18</v>
      </c>
    </row>
    <row r="1159" spans="1:14">
      <c r="A1159">
        <v>1347</v>
      </c>
      <c r="B1159" s="4">
        <v>45251</v>
      </c>
      <c r="C1159" s="5">
        <v>0.91319444444444442</v>
      </c>
      <c r="D1159" t="s">
        <v>105</v>
      </c>
      <c r="E1159" t="s">
        <v>16</v>
      </c>
      <c r="F1159">
        <v>42</v>
      </c>
      <c r="G1159" t="s">
        <v>30</v>
      </c>
      <c r="H1159">
        <v>1</v>
      </c>
      <c r="I1159">
        <v>25</v>
      </c>
      <c r="J1159">
        <v>13</v>
      </c>
      <c r="K1159">
        <v>25</v>
      </c>
      <c r="L1159">
        <v>12</v>
      </c>
      <c r="M1159">
        <v>0.48</v>
      </c>
      <c r="N1159" t="s">
        <v>18</v>
      </c>
    </row>
    <row r="1160" spans="1:14">
      <c r="A1160">
        <v>1687</v>
      </c>
      <c r="B1160" s="4">
        <v>44974</v>
      </c>
      <c r="C1160" s="5">
        <v>0.93541666666666667</v>
      </c>
      <c r="D1160" t="s">
        <v>37</v>
      </c>
      <c r="E1160" t="s">
        <v>23</v>
      </c>
      <c r="F1160">
        <v>53</v>
      </c>
      <c r="G1160" t="s">
        <v>30</v>
      </c>
      <c r="H1160">
        <v>1</v>
      </c>
      <c r="I1160">
        <v>300</v>
      </c>
      <c r="J1160">
        <v>81</v>
      </c>
      <c r="K1160">
        <v>300</v>
      </c>
      <c r="L1160">
        <v>219</v>
      </c>
      <c r="M1160">
        <v>0.73</v>
      </c>
      <c r="N1160" t="s">
        <v>21</v>
      </c>
    </row>
    <row r="1161" spans="1:14">
      <c r="A1161">
        <v>549</v>
      </c>
      <c r="B1161" s="4">
        <v>44868</v>
      </c>
      <c r="C1161" s="5">
        <v>0.81874999999999998</v>
      </c>
      <c r="D1161" t="s">
        <v>69</v>
      </c>
      <c r="E1161" t="s">
        <v>23</v>
      </c>
      <c r="F1161">
        <v>50</v>
      </c>
      <c r="G1161" t="s">
        <v>20</v>
      </c>
      <c r="H1161">
        <v>2</v>
      </c>
      <c r="I1161">
        <v>50</v>
      </c>
      <c r="J1161">
        <v>12.5</v>
      </c>
      <c r="K1161">
        <v>100</v>
      </c>
      <c r="L1161">
        <v>87.5</v>
      </c>
      <c r="M1161">
        <v>0.875</v>
      </c>
      <c r="N1161" t="s">
        <v>21</v>
      </c>
    </row>
    <row r="1162" spans="1:14">
      <c r="A1162">
        <v>675</v>
      </c>
      <c r="B1162" s="4">
        <v>45126</v>
      </c>
      <c r="C1162" s="5">
        <v>0.75694444444444442</v>
      </c>
      <c r="D1162" t="s">
        <v>112</v>
      </c>
      <c r="E1162" t="s">
        <v>23</v>
      </c>
      <c r="F1162">
        <v>45</v>
      </c>
      <c r="G1162" t="s">
        <v>17</v>
      </c>
      <c r="H1162">
        <v>2</v>
      </c>
      <c r="I1162">
        <v>30</v>
      </c>
      <c r="J1162">
        <v>15.9</v>
      </c>
      <c r="K1162">
        <v>60</v>
      </c>
      <c r="L1162">
        <v>44.1</v>
      </c>
      <c r="M1162">
        <v>0.73499999999999999</v>
      </c>
      <c r="N1162" t="s">
        <v>18</v>
      </c>
    </row>
    <row r="1163" spans="1:14">
      <c r="A1163">
        <v>730</v>
      </c>
      <c r="B1163" s="4">
        <v>44612</v>
      </c>
      <c r="C1163" s="5">
        <v>0.81805555555555554</v>
      </c>
      <c r="D1163" t="s">
        <v>161</v>
      </c>
      <c r="E1163" t="s">
        <v>23</v>
      </c>
      <c r="F1163">
        <v>36</v>
      </c>
      <c r="G1163" t="s">
        <v>17</v>
      </c>
      <c r="H1163">
        <v>2</v>
      </c>
      <c r="I1163">
        <v>25</v>
      </c>
      <c r="J1163">
        <v>13.25</v>
      </c>
      <c r="K1163">
        <v>50</v>
      </c>
      <c r="L1163">
        <v>36.75</v>
      </c>
      <c r="M1163">
        <v>0.73499999999999999</v>
      </c>
      <c r="N1163" t="s">
        <v>18</v>
      </c>
    </row>
    <row r="1164" spans="1:14">
      <c r="A1164">
        <v>798</v>
      </c>
      <c r="B1164" s="4">
        <v>44946</v>
      </c>
      <c r="C1164" s="5">
        <v>0.8881944444444444</v>
      </c>
      <c r="D1164" t="s">
        <v>178</v>
      </c>
      <c r="E1164" t="s">
        <v>16</v>
      </c>
      <c r="F1164">
        <v>61</v>
      </c>
      <c r="G1164" t="s">
        <v>17</v>
      </c>
      <c r="H1164">
        <v>1</v>
      </c>
      <c r="I1164">
        <v>50</v>
      </c>
      <c r="J1164">
        <v>15</v>
      </c>
      <c r="K1164">
        <v>50</v>
      </c>
      <c r="L1164">
        <v>35</v>
      </c>
      <c r="M1164">
        <v>0.7</v>
      </c>
      <c r="N1164" t="s">
        <v>28</v>
      </c>
    </row>
    <row r="1165" spans="1:14">
      <c r="A1165">
        <v>1549</v>
      </c>
      <c r="B1165" s="4">
        <v>45245</v>
      </c>
      <c r="C1165" s="5">
        <v>0.80902777777777779</v>
      </c>
      <c r="D1165" t="s">
        <v>162</v>
      </c>
      <c r="E1165" t="s">
        <v>23</v>
      </c>
      <c r="F1165">
        <v>50</v>
      </c>
      <c r="G1165" t="s">
        <v>20</v>
      </c>
      <c r="H1165">
        <v>2</v>
      </c>
      <c r="I1165">
        <v>50</v>
      </c>
      <c r="J1165">
        <v>14.5</v>
      </c>
      <c r="K1165">
        <v>100</v>
      </c>
      <c r="L1165">
        <v>85.5</v>
      </c>
      <c r="M1165">
        <v>0.85499999999999998</v>
      </c>
      <c r="N1165" t="s">
        <v>21</v>
      </c>
    </row>
    <row r="1166" spans="1:14">
      <c r="A1166">
        <v>1675</v>
      </c>
      <c r="B1166" s="4">
        <v>44698</v>
      </c>
      <c r="C1166" s="5">
        <v>0.82986111111111116</v>
      </c>
      <c r="D1166" t="s">
        <v>79</v>
      </c>
      <c r="E1166" t="s">
        <v>23</v>
      </c>
      <c r="F1166">
        <v>45</v>
      </c>
      <c r="G1166" t="s">
        <v>17</v>
      </c>
      <c r="H1166">
        <v>2</v>
      </c>
      <c r="I1166">
        <v>30</v>
      </c>
      <c r="J1166">
        <v>16.2</v>
      </c>
      <c r="K1166">
        <v>60</v>
      </c>
      <c r="L1166">
        <v>43.8</v>
      </c>
      <c r="M1166">
        <v>0.73</v>
      </c>
      <c r="N1166" t="s">
        <v>18</v>
      </c>
    </row>
    <row r="1167" spans="1:14">
      <c r="A1167">
        <v>1730</v>
      </c>
      <c r="B1167" s="4">
        <v>45152</v>
      </c>
      <c r="C1167" s="5">
        <v>0.80347222222222225</v>
      </c>
      <c r="D1167" t="s">
        <v>57</v>
      </c>
      <c r="E1167" t="s">
        <v>23</v>
      </c>
      <c r="F1167">
        <v>36</v>
      </c>
      <c r="G1167" t="s">
        <v>17</v>
      </c>
      <c r="H1167">
        <v>2</v>
      </c>
      <c r="I1167">
        <v>25</v>
      </c>
      <c r="J1167">
        <v>10.75</v>
      </c>
      <c r="K1167">
        <v>50</v>
      </c>
      <c r="L1167">
        <v>39.25</v>
      </c>
      <c r="M1167">
        <v>0.78500000000000003</v>
      </c>
      <c r="N1167" t="s">
        <v>18</v>
      </c>
    </row>
    <row r="1168" spans="1:14">
      <c r="A1168">
        <v>1798</v>
      </c>
      <c r="B1168" s="4">
        <v>45125</v>
      </c>
      <c r="C1168" s="5">
        <v>0.85138888888888886</v>
      </c>
      <c r="D1168" t="s">
        <v>157</v>
      </c>
      <c r="E1168" t="s">
        <v>16</v>
      </c>
      <c r="F1168">
        <v>61</v>
      </c>
      <c r="G1168" t="s">
        <v>17</v>
      </c>
      <c r="H1168">
        <v>1</v>
      </c>
      <c r="I1168">
        <v>50</v>
      </c>
      <c r="J1168">
        <v>20</v>
      </c>
      <c r="K1168">
        <v>50</v>
      </c>
      <c r="L1168">
        <v>30</v>
      </c>
      <c r="M1168">
        <v>0.6</v>
      </c>
      <c r="N1168" t="s">
        <v>28</v>
      </c>
    </row>
    <row r="1169" spans="1:14">
      <c r="A1169">
        <v>13</v>
      </c>
      <c r="B1169" s="4">
        <v>44965</v>
      </c>
      <c r="C1169" s="5">
        <v>0.73819444444444449</v>
      </c>
      <c r="D1169" t="s">
        <v>109</v>
      </c>
      <c r="E1169" t="s">
        <v>16</v>
      </c>
      <c r="F1169">
        <v>22</v>
      </c>
      <c r="G1169" t="s">
        <v>30</v>
      </c>
      <c r="H1169">
        <v>3</v>
      </c>
      <c r="I1169">
        <v>500</v>
      </c>
      <c r="J1169">
        <v>245</v>
      </c>
      <c r="K1169">
        <v>1500</v>
      </c>
      <c r="L1169">
        <v>1255</v>
      </c>
      <c r="M1169">
        <v>0.83666666666666667</v>
      </c>
      <c r="N1169" t="s">
        <v>31</v>
      </c>
    </row>
    <row r="1170" spans="1:14">
      <c r="A1170">
        <v>35</v>
      </c>
      <c r="B1170" s="4">
        <v>44863</v>
      </c>
      <c r="C1170" s="5">
        <v>0.72916666666666663</v>
      </c>
      <c r="D1170" t="s">
        <v>106</v>
      </c>
      <c r="E1170" t="s">
        <v>23</v>
      </c>
      <c r="F1170">
        <v>58</v>
      </c>
      <c r="G1170" t="s">
        <v>20</v>
      </c>
      <c r="H1170">
        <v>3</v>
      </c>
      <c r="I1170">
        <v>300</v>
      </c>
      <c r="J1170">
        <v>126</v>
      </c>
      <c r="K1170">
        <v>900</v>
      </c>
      <c r="L1170">
        <v>774</v>
      </c>
      <c r="M1170">
        <v>0.86</v>
      </c>
      <c r="N1170" t="s">
        <v>28</v>
      </c>
    </row>
    <row r="1171" spans="1:14">
      <c r="A1171">
        <v>140</v>
      </c>
      <c r="B1171" s="4">
        <v>44749</v>
      </c>
      <c r="C1171" s="5">
        <v>0.84722222222222221</v>
      </c>
      <c r="D1171" t="s">
        <v>89</v>
      </c>
      <c r="E1171" t="s">
        <v>16</v>
      </c>
      <c r="F1171">
        <v>38</v>
      </c>
      <c r="G1171" t="s">
        <v>30</v>
      </c>
      <c r="H1171">
        <v>1</v>
      </c>
      <c r="I1171">
        <v>30</v>
      </c>
      <c r="J1171">
        <v>14.4</v>
      </c>
      <c r="K1171">
        <v>30</v>
      </c>
      <c r="L1171">
        <v>15.6</v>
      </c>
      <c r="M1171">
        <v>0.52</v>
      </c>
      <c r="N1171" t="s">
        <v>18</v>
      </c>
    </row>
    <row r="1172" spans="1:14">
      <c r="A1172">
        <v>206</v>
      </c>
      <c r="B1172" s="4">
        <v>44806</v>
      </c>
      <c r="C1172" s="5">
        <v>0.76249999999999996</v>
      </c>
      <c r="D1172" t="s">
        <v>99</v>
      </c>
      <c r="E1172" t="s">
        <v>16</v>
      </c>
      <c r="F1172">
        <v>61</v>
      </c>
      <c r="G1172" t="s">
        <v>17</v>
      </c>
      <c r="H1172">
        <v>1</v>
      </c>
      <c r="I1172">
        <v>25</v>
      </c>
      <c r="J1172">
        <v>11.75</v>
      </c>
      <c r="K1172">
        <v>25</v>
      </c>
      <c r="L1172">
        <v>13.25</v>
      </c>
      <c r="M1172">
        <v>0.53</v>
      </c>
      <c r="N1172" t="s">
        <v>28</v>
      </c>
    </row>
    <row r="1173" spans="1:14">
      <c r="A1173">
        <v>261</v>
      </c>
      <c r="B1173" s="4">
        <v>44598</v>
      </c>
      <c r="C1173" s="5">
        <v>0.7416666666666667</v>
      </c>
      <c r="D1173" t="s">
        <v>50</v>
      </c>
      <c r="E1173" t="s">
        <v>16</v>
      </c>
      <c r="F1173">
        <v>21</v>
      </c>
      <c r="G1173" t="s">
        <v>17</v>
      </c>
      <c r="H1173">
        <v>2</v>
      </c>
      <c r="I1173">
        <v>25</v>
      </c>
      <c r="J1173">
        <v>8.25</v>
      </c>
      <c r="K1173">
        <v>50</v>
      </c>
      <c r="L1173">
        <v>41.75</v>
      </c>
      <c r="M1173">
        <v>0.83499999999999996</v>
      </c>
      <c r="N1173" t="s">
        <v>31</v>
      </c>
    </row>
    <row r="1174" spans="1:14">
      <c r="A1174">
        <v>279</v>
      </c>
      <c r="B1174" s="4">
        <v>45148</v>
      </c>
      <c r="C1174" s="5">
        <v>0.72847222222222219</v>
      </c>
      <c r="D1174" t="s">
        <v>140</v>
      </c>
      <c r="E1174" t="s">
        <v>16</v>
      </c>
      <c r="F1174">
        <v>50</v>
      </c>
      <c r="G1174" t="s">
        <v>17</v>
      </c>
      <c r="H1174">
        <v>1</v>
      </c>
      <c r="I1174">
        <v>500</v>
      </c>
      <c r="J1174">
        <v>210</v>
      </c>
      <c r="K1174">
        <v>500</v>
      </c>
      <c r="L1174">
        <v>290</v>
      </c>
      <c r="M1174">
        <v>0.57999999999999996</v>
      </c>
      <c r="N1174" t="s">
        <v>21</v>
      </c>
    </row>
    <row r="1175" spans="1:14">
      <c r="A1175">
        <v>308</v>
      </c>
      <c r="B1175" s="4">
        <v>44651</v>
      </c>
      <c r="C1175" s="5">
        <v>0.8</v>
      </c>
      <c r="D1175" t="s">
        <v>51</v>
      </c>
      <c r="E1175" t="s">
        <v>23</v>
      </c>
      <c r="F1175">
        <v>34</v>
      </c>
      <c r="G1175" t="s">
        <v>20</v>
      </c>
      <c r="H1175">
        <v>4</v>
      </c>
      <c r="I1175">
        <v>300</v>
      </c>
      <c r="J1175">
        <v>126</v>
      </c>
      <c r="K1175">
        <v>1200</v>
      </c>
      <c r="L1175">
        <v>1074</v>
      </c>
      <c r="M1175">
        <v>0.89500000000000002</v>
      </c>
      <c r="N1175" t="s">
        <v>39</v>
      </c>
    </row>
    <row r="1176" spans="1:14">
      <c r="A1176">
        <v>418</v>
      </c>
      <c r="B1176" s="4">
        <v>44652</v>
      </c>
      <c r="C1176" s="5">
        <v>0.75347222222222221</v>
      </c>
      <c r="D1176" t="s">
        <v>135</v>
      </c>
      <c r="E1176" t="s">
        <v>23</v>
      </c>
      <c r="F1176">
        <v>60</v>
      </c>
      <c r="G1176" t="s">
        <v>30</v>
      </c>
      <c r="H1176">
        <v>2</v>
      </c>
      <c r="I1176">
        <v>500</v>
      </c>
      <c r="J1176">
        <v>155</v>
      </c>
      <c r="K1176">
        <v>1000</v>
      </c>
      <c r="L1176">
        <v>845</v>
      </c>
      <c r="M1176">
        <v>0.84499999999999997</v>
      </c>
      <c r="N1176" t="s">
        <v>28</v>
      </c>
    </row>
    <row r="1177" spans="1:14">
      <c r="A1177">
        <v>1013</v>
      </c>
      <c r="B1177" s="4">
        <v>44758</v>
      </c>
      <c r="C1177" s="5">
        <v>0.81805555555555554</v>
      </c>
      <c r="D1177" t="s">
        <v>117</v>
      </c>
      <c r="E1177" t="s">
        <v>16</v>
      </c>
      <c r="F1177">
        <v>22</v>
      </c>
      <c r="G1177" t="s">
        <v>30</v>
      </c>
      <c r="H1177">
        <v>3</v>
      </c>
      <c r="I1177">
        <v>500</v>
      </c>
      <c r="J1177">
        <v>200</v>
      </c>
      <c r="K1177">
        <v>1500</v>
      </c>
      <c r="L1177">
        <v>1300</v>
      </c>
      <c r="M1177">
        <v>0.8666666666666667</v>
      </c>
      <c r="N1177" t="s">
        <v>31</v>
      </c>
    </row>
    <row r="1178" spans="1:14">
      <c r="A1178">
        <v>1035</v>
      </c>
      <c r="B1178" s="4">
        <v>45042</v>
      </c>
      <c r="C1178" s="5">
        <v>0.91388888888888886</v>
      </c>
      <c r="D1178" t="s">
        <v>19</v>
      </c>
      <c r="E1178" t="s">
        <v>23</v>
      </c>
      <c r="F1178">
        <v>58</v>
      </c>
      <c r="G1178" t="s">
        <v>20</v>
      </c>
      <c r="H1178">
        <v>3</v>
      </c>
      <c r="I1178">
        <v>300</v>
      </c>
      <c r="J1178">
        <v>105</v>
      </c>
      <c r="K1178">
        <v>900</v>
      </c>
      <c r="L1178">
        <v>795</v>
      </c>
      <c r="M1178">
        <v>0.8833333333333333</v>
      </c>
      <c r="N1178" t="s">
        <v>28</v>
      </c>
    </row>
    <row r="1179" spans="1:14">
      <c r="A1179">
        <v>1140</v>
      </c>
      <c r="B1179" s="4">
        <v>44703</v>
      </c>
      <c r="C1179" s="5">
        <v>0.80972222222222223</v>
      </c>
      <c r="D1179" t="s">
        <v>179</v>
      </c>
      <c r="E1179" t="s">
        <v>16</v>
      </c>
      <c r="F1179">
        <v>38</v>
      </c>
      <c r="G1179" t="s">
        <v>30</v>
      </c>
      <c r="H1179">
        <v>1</v>
      </c>
      <c r="I1179">
        <v>30</v>
      </c>
      <c r="J1179">
        <v>15.9</v>
      </c>
      <c r="K1179">
        <v>30</v>
      </c>
      <c r="L1179">
        <v>14.1</v>
      </c>
      <c r="M1179">
        <v>0.47</v>
      </c>
      <c r="N1179" t="s">
        <v>18</v>
      </c>
    </row>
    <row r="1180" spans="1:14">
      <c r="A1180">
        <v>1206</v>
      </c>
      <c r="B1180" s="4">
        <v>45060</v>
      </c>
      <c r="C1180" s="5">
        <v>0.82291666666666663</v>
      </c>
      <c r="D1180" t="s">
        <v>47</v>
      </c>
      <c r="E1180" t="s">
        <v>16</v>
      </c>
      <c r="F1180">
        <v>61</v>
      </c>
      <c r="G1180" t="s">
        <v>17</v>
      </c>
      <c r="H1180">
        <v>1</v>
      </c>
      <c r="I1180">
        <v>25</v>
      </c>
      <c r="J1180">
        <v>8.5</v>
      </c>
      <c r="K1180">
        <v>25</v>
      </c>
      <c r="L1180">
        <v>16.5</v>
      </c>
      <c r="M1180">
        <v>0.66</v>
      </c>
      <c r="N1180" t="s">
        <v>28</v>
      </c>
    </row>
    <row r="1181" spans="1:14">
      <c r="A1181">
        <v>1261</v>
      </c>
      <c r="B1181" s="4">
        <v>44831</v>
      </c>
      <c r="C1181" s="5">
        <v>0.8881944444444444</v>
      </c>
      <c r="D1181" t="s">
        <v>57</v>
      </c>
      <c r="E1181" t="s">
        <v>16</v>
      </c>
      <c r="F1181">
        <v>21</v>
      </c>
      <c r="G1181" t="s">
        <v>17</v>
      </c>
      <c r="H1181">
        <v>2</v>
      </c>
      <c r="I1181">
        <v>25</v>
      </c>
      <c r="J1181">
        <v>6.25</v>
      </c>
      <c r="K1181">
        <v>50</v>
      </c>
      <c r="L1181">
        <v>43.75</v>
      </c>
      <c r="M1181">
        <v>0.875</v>
      </c>
      <c r="N1181" t="s">
        <v>31</v>
      </c>
    </row>
    <row r="1182" spans="1:14">
      <c r="A1182">
        <v>1279</v>
      </c>
      <c r="B1182" s="4">
        <v>44672</v>
      </c>
      <c r="C1182" s="5">
        <v>0.95486111111111116</v>
      </c>
      <c r="D1182" t="s">
        <v>57</v>
      </c>
      <c r="E1182" t="s">
        <v>16</v>
      </c>
      <c r="F1182">
        <v>50</v>
      </c>
      <c r="G1182" t="s">
        <v>17</v>
      </c>
      <c r="H1182">
        <v>1</v>
      </c>
      <c r="I1182">
        <v>500</v>
      </c>
      <c r="J1182">
        <v>170</v>
      </c>
      <c r="K1182">
        <v>500</v>
      </c>
      <c r="L1182">
        <v>330</v>
      </c>
      <c r="M1182">
        <v>0.66</v>
      </c>
      <c r="N1182" t="s">
        <v>21</v>
      </c>
    </row>
    <row r="1183" spans="1:14">
      <c r="A1183">
        <v>1308</v>
      </c>
      <c r="B1183" s="4">
        <v>45096</v>
      </c>
      <c r="C1183" s="5">
        <v>0.94374999999999998</v>
      </c>
      <c r="D1183" t="s">
        <v>173</v>
      </c>
      <c r="E1183" t="s">
        <v>23</v>
      </c>
      <c r="F1183">
        <v>34</v>
      </c>
      <c r="G1183" t="s">
        <v>20</v>
      </c>
      <c r="H1183">
        <v>4</v>
      </c>
      <c r="I1183">
        <v>300</v>
      </c>
      <c r="J1183">
        <v>150</v>
      </c>
      <c r="K1183">
        <v>1200</v>
      </c>
      <c r="L1183">
        <v>1050</v>
      </c>
      <c r="M1183">
        <v>0.875</v>
      </c>
      <c r="N1183" t="s">
        <v>39</v>
      </c>
    </row>
    <row r="1184" spans="1:14">
      <c r="A1184">
        <v>1418</v>
      </c>
      <c r="B1184" s="4">
        <v>44821</v>
      </c>
      <c r="C1184" s="5">
        <v>0.7631944444444444</v>
      </c>
      <c r="D1184" t="s">
        <v>47</v>
      </c>
      <c r="E1184" t="s">
        <v>23</v>
      </c>
      <c r="F1184">
        <v>60</v>
      </c>
      <c r="G1184" t="s">
        <v>30</v>
      </c>
      <c r="H1184">
        <v>2</v>
      </c>
      <c r="I1184">
        <v>500</v>
      </c>
      <c r="J1184">
        <v>215</v>
      </c>
      <c r="K1184">
        <v>1000</v>
      </c>
      <c r="L1184">
        <v>785</v>
      </c>
      <c r="M1184">
        <v>0.78500000000000003</v>
      </c>
      <c r="N1184" t="s">
        <v>28</v>
      </c>
    </row>
    <row r="1185" spans="1:14">
      <c r="A1185">
        <v>612</v>
      </c>
      <c r="B1185" s="4">
        <v>44615</v>
      </c>
      <c r="C1185" s="5">
        <v>0.79583333333333328</v>
      </c>
      <c r="D1185" t="s">
        <v>55</v>
      </c>
      <c r="E1185" t="s">
        <v>23</v>
      </c>
      <c r="F1185">
        <v>61</v>
      </c>
      <c r="G1185" t="s">
        <v>30</v>
      </c>
      <c r="H1185">
        <v>1</v>
      </c>
      <c r="I1185">
        <v>500</v>
      </c>
      <c r="J1185">
        <v>235</v>
      </c>
      <c r="K1185">
        <v>500</v>
      </c>
      <c r="L1185">
        <v>265</v>
      </c>
      <c r="M1185">
        <v>0.53</v>
      </c>
      <c r="N1185" t="s">
        <v>28</v>
      </c>
    </row>
    <row r="1186" spans="1:14">
      <c r="A1186">
        <v>875</v>
      </c>
      <c r="B1186" s="4">
        <v>45260</v>
      </c>
      <c r="C1186" s="5">
        <v>0.90763888888888888</v>
      </c>
      <c r="D1186" t="s">
        <v>136</v>
      </c>
      <c r="E1186" t="s">
        <v>23</v>
      </c>
      <c r="F1186">
        <v>51</v>
      </c>
      <c r="G1186" t="s">
        <v>30</v>
      </c>
      <c r="H1186">
        <v>4</v>
      </c>
      <c r="I1186">
        <v>500</v>
      </c>
      <c r="J1186">
        <v>135</v>
      </c>
      <c r="K1186">
        <v>2000</v>
      </c>
      <c r="L1186">
        <v>1865</v>
      </c>
      <c r="M1186">
        <v>0.9325</v>
      </c>
      <c r="N1186" t="s">
        <v>21</v>
      </c>
    </row>
    <row r="1187" spans="1:14">
      <c r="A1187">
        <v>1612</v>
      </c>
      <c r="B1187" s="4">
        <v>44913</v>
      </c>
      <c r="C1187" s="5">
        <v>0.88472222222222219</v>
      </c>
      <c r="D1187" t="s">
        <v>168</v>
      </c>
      <c r="E1187" t="s">
        <v>23</v>
      </c>
      <c r="F1187">
        <v>61</v>
      </c>
      <c r="G1187" t="s">
        <v>30</v>
      </c>
      <c r="H1187">
        <v>1</v>
      </c>
      <c r="I1187">
        <v>500</v>
      </c>
      <c r="J1187">
        <v>230</v>
      </c>
      <c r="K1187">
        <v>500</v>
      </c>
      <c r="L1187">
        <v>270</v>
      </c>
      <c r="M1187">
        <v>0.54</v>
      </c>
      <c r="N1187" t="s">
        <v>28</v>
      </c>
    </row>
    <row r="1188" spans="1:14">
      <c r="A1188">
        <v>1875</v>
      </c>
      <c r="B1188" s="4">
        <v>44715</v>
      </c>
      <c r="C1188" s="5">
        <v>0.9458333333333333</v>
      </c>
      <c r="D1188" t="s">
        <v>154</v>
      </c>
      <c r="E1188" t="s">
        <v>23</v>
      </c>
      <c r="F1188">
        <v>51</v>
      </c>
      <c r="G1188" t="s">
        <v>30</v>
      </c>
      <c r="H1188">
        <v>4</v>
      </c>
      <c r="I1188">
        <v>500</v>
      </c>
      <c r="J1188">
        <v>165</v>
      </c>
      <c r="K1188">
        <v>2000</v>
      </c>
      <c r="L1188">
        <v>1835</v>
      </c>
      <c r="M1188">
        <v>0.91749999999999998</v>
      </c>
      <c r="N1188" t="s">
        <v>21</v>
      </c>
    </row>
    <row r="1189" spans="1:14">
      <c r="A1189">
        <v>430</v>
      </c>
      <c r="B1189" s="4">
        <v>45069</v>
      </c>
      <c r="C1189" s="5">
        <v>0.77500000000000002</v>
      </c>
      <c r="D1189" t="s">
        <v>177</v>
      </c>
      <c r="E1189" t="s">
        <v>23</v>
      </c>
      <c r="F1189">
        <v>43</v>
      </c>
      <c r="G1189" t="s">
        <v>30</v>
      </c>
      <c r="H1189">
        <v>3</v>
      </c>
      <c r="I1189">
        <v>300</v>
      </c>
      <c r="J1189">
        <v>153</v>
      </c>
      <c r="K1189">
        <v>900</v>
      </c>
      <c r="L1189">
        <v>747</v>
      </c>
      <c r="M1189">
        <v>0.83</v>
      </c>
      <c r="N1189" t="s">
        <v>18</v>
      </c>
    </row>
    <row r="1190" spans="1:14">
      <c r="A1190">
        <v>633</v>
      </c>
      <c r="B1190" s="4">
        <v>45113</v>
      </c>
      <c r="C1190" s="5">
        <v>0.93055555555555558</v>
      </c>
      <c r="D1190" t="s">
        <v>163</v>
      </c>
      <c r="E1190" t="s">
        <v>16</v>
      </c>
      <c r="F1190">
        <v>39</v>
      </c>
      <c r="G1190" t="s">
        <v>20</v>
      </c>
      <c r="H1190">
        <v>4</v>
      </c>
      <c r="I1190">
        <v>30</v>
      </c>
      <c r="J1190">
        <v>12.3</v>
      </c>
      <c r="K1190">
        <v>120</v>
      </c>
      <c r="L1190">
        <v>107.7</v>
      </c>
      <c r="M1190">
        <v>0.89750000000000008</v>
      </c>
      <c r="N1190" t="s">
        <v>18</v>
      </c>
    </row>
    <row r="1191" spans="1:14">
      <c r="A1191">
        <v>1430</v>
      </c>
      <c r="B1191" s="4">
        <v>45230</v>
      </c>
      <c r="C1191" s="5">
        <v>0.76736111111111116</v>
      </c>
      <c r="D1191" t="s">
        <v>73</v>
      </c>
      <c r="E1191" t="s">
        <v>23</v>
      </c>
      <c r="F1191">
        <v>43</v>
      </c>
      <c r="G1191" t="s">
        <v>30</v>
      </c>
      <c r="H1191">
        <v>3</v>
      </c>
      <c r="I1191">
        <v>300</v>
      </c>
      <c r="J1191">
        <v>132</v>
      </c>
      <c r="K1191">
        <v>900</v>
      </c>
      <c r="L1191">
        <v>768</v>
      </c>
      <c r="M1191">
        <v>0.85333333333333339</v>
      </c>
      <c r="N1191" t="s">
        <v>18</v>
      </c>
    </row>
    <row r="1192" spans="1:14">
      <c r="A1192">
        <v>1633</v>
      </c>
      <c r="B1192" s="4">
        <v>44926</v>
      </c>
      <c r="C1192" s="5">
        <v>0.76249999999999996</v>
      </c>
      <c r="D1192" t="s">
        <v>79</v>
      </c>
      <c r="E1192" t="s">
        <v>16</v>
      </c>
      <c r="F1192">
        <v>39</v>
      </c>
      <c r="G1192" t="s">
        <v>20</v>
      </c>
      <c r="H1192">
        <v>4</v>
      </c>
      <c r="I1192">
        <v>30</v>
      </c>
      <c r="J1192">
        <v>11.4</v>
      </c>
      <c r="K1192">
        <v>120</v>
      </c>
      <c r="L1192">
        <v>108.6</v>
      </c>
      <c r="M1192">
        <v>0.90499999999999992</v>
      </c>
      <c r="N1192" t="s">
        <v>18</v>
      </c>
    </row>
    <row r="1193" spans="1:14">
      <c r="A1193">
        <v>125</v>
      </c>
      <c r="B1193" s="4">
        <v>44832</v>
      </c>
      <c r="C1193" s="5">
        <v>0.78333333333333333</v>
      </c>
      <c r="D1193" t="s">
        <v>38</v>
      </c>
      <c r="E1193" t="s">
        <v>16</v>
      </c>
      <c r="F1193">
        <v>48</v>
      </c>
      <c r="G1193" t="s">
        <v>17</v>
      </c>
      <c r="H1193">
        <v>2</v>
      </c>
      <c r="I1193">
        <v>50</v>
      </c>
      <c r="J1193">
        <v>19</v>
      </c>
      <c r="K1193">
        <v>100</v>
      </c>
      <c r="L1193">
        <v>81</v>
      </c>
      <c r="M1193">
        <v>0.81</v>
      </c>
      <c r="N1193" t="s">
        <v>21</v>
      </c>
    </row>
    <row r="1194" spans="1:14">
      <c r="A1194">
        <v>716</v>
      </c>
      <c r="B1194" s="4">
        <v>45151</v>
      </c>
      <c r="C1194" s="5">
        <v>0.82708333333333328</v>
      </c>
      <c r="D1194" t="s">
        <v>38</v>
      </c>
      <c r="E1194" t="s">
        <v>23</v>
      </c>
      <c r="F1194">
        <v>60</v>
      </c>
      <c r="G1194" t="s">
        <v>17</v>
      </c>
      <c r="H1194">
        <v>4</v>
      </c>
      <c r="I1194">
        <v>300</v>
      </c>
      <c r="J1194">
        <v>108</v>
      </c>
      <c r="K1194">
        <v>1200</v>
      </c>
      <c r="L1194">
        <v>1092</v>
      </c>
      <c r="M1194">
        <v>0.91</v>
      </c>
      <c r="N1194" t="s">
        <v>28</v>
      </c>
    </row>
    <row r="1195" spans="1:14">
      <c r="A1195">
        <v>790</v>
      </c>
      <c r="B1195" s="4">
        <v>45029</v>
      </c>
      <c r="C1195" s="5">
        <v>0.86597222222222225</v>
      </c>
      <c r="D1195" t="s">
        <v>91</v>
      </c>
      <c r="E1195" t="s">
        <v>16</v>
      </c>
      <c r="F1195">
        <v>62</v>
      </c>
      <c r="G1195" t="s">
        <v>17</v>
      </c>
      <c r="H1195">
        <v>1</v>
      </c>
      <c r="I1195">
        <v>25</v>
      </c>
      <c r="J1195">
        <v>9.25</v>
      </c>
      <c r="K1195">
        <v>25</v>
      </c>
      <c r="L1195">
        <v>15.75</v>
      </c>
      <c r="M1195">
        <v>0.63</v>
      </c>
      <c r="N1195" t="s">
        <v>28</v>
      </c>
    </row>
    <row r="1196" spans="1:14">
      <c r="A1196">
        <v>960</v>
      </c>
      <c r="B1196" s="4">
        <v>45014</v>
      </c>
      <c r="C1196" s="5">
        <v>0.79236111111111107</v>
      </c>
      <c r="D1196" t="s">
        <v>136</v>
      </c>
      <c r="E1196" t="s">
        <v>16</v>
      </c>
      <c r="F1196">
        <v>59</v>
      </c>
      <c r="G1196" t="s">
        <v>17</v>
      </c>
      <c r="H1196">
        <v>2</v>
      </c>
      <c r="I1196">
        <v>30</v>
      </c>
      <c r="J1196">
        <v>14.4</v>
      </c>
      <c r="K1196">
        <v>60</v>
      </c>
      <c r="L1196">
        <v>45.6</v>
      </c>
      <c r="M1196">
        <v>0.76</v>
      </c>
      <c r="N1196" t="s">
        <v>28</v>
      </c>
    </row>
    <row r="1197" spans="1:14">
      <c r="A1197">
        <v>1125</v>
      </c>
      <c r="B1197" s="4">
        <v>45242</v>
      </c>
      <c r="C1197" s="5">
        <v>0.74375000000000002</v>
      </c>
      <c r="D1197" t="s">
        <v>180</v>
      </c>
      <c r="E1197" t="s">
        <v>16</v>
      </c>
      <c r="F1197">
        <v>48</v>
      </c>
      <c r="G1197" t="s">
        <v>17</v>
      </c>
      <c r="H1197">
        <v>2</v>
      </c>
      <c r="I1197">
        <v>50</v>
      </c>
      <c r="J1197">
        <v>21.5</v>
      </c>
      <c r="K1197">
        <v>100</v>
      </c>
      <c r="L1197">
        <v>78.5</v>
      </c>
      <c r="M1197">
        <v>0.78500000000000003</v>
      </c>
      <c r="N1197" t="s">
        <v>21</v>
      </c>
    </row>
    <row r="1198" spans="1:14">
      <c r="A1198">
        <v>1716</v>
      </c>
      <c r="B1198" s="4">
        <v>44604</v>
      </c>
      <c r="C1198" s="5">
        <v>0.80277777777777781</v>
      </c>
      <c r="D1198" t="s">
        <v>75</v>
      </c>
      <c r="E1198" t="s">
        <v>23</v>
      </c>
      <c r="F1198">
        <v>60</v>
      </c>
      <c r="G1198" t="s">
        <v>17</v>
      </c>
      <c r="H1198">
        <v>4</v>
      </c>
      <c r="I1198">
        <v>300</v>
      </c>
      <c r="J1198">
        <v>87</v>
      </c>
      <c r="K1198">
        <v>1200</v>
      </c>
      <c r="L1198">
        <v>1113</v>
      </c>
      <c r="M1198">
        <v>0.92749999999999999</v>
      </c>
      <c r="N1198" t="s">
        <v>28</v>
      </c>
    </row>
    <row r="1199" spans="1:14">
      <c r="A1199">
        <v>1790</v>
      </c>
      <c r="B1199" s="4">
        <v>45060</v>
      </c>
      <c r="C1199" s="5">
        <v>0.86944444444444446</v>
      </c>
      <c r="D1199" t="s">
        <v>59</v>
      </c>
      <c r="E1199" t="s">
        <v>16</v>
      </c>
      <c r="F1199">
        <v>62</v>
      </c>
      <c r="G1199" t="s">
        <v>17</v>
      </c>
      <c r="H1199">
        <v>1</v>
      </c>
      <c r="I1199">
        <v>25</v>
      </c>
      <c r="J1199">
        <v>7.5</v>
      </c>
      <c r="K1199">
        <v>25</v>
      </c>
      <c r="L1199">
        <v>17.5</v>
      </c>
      <c r="M1199">
        <v>0.7</v>
      </c>
      <c r="N1199" t="s">
        <v>28</v>
      </c>
    </row>
    <row r="1200" spans="1:14">
      <c r="A1200">
        <v>1960</v>
      </c>
      <c r="B1200" s="4">
        <v>44741</v>
      </c>
      <c r="C1200" s="5">
        <v>0.9194444444444444</v>
      </c>
      <c r="D1200" t="s">
        <v>52</v>
      </c>
      <c r="E1200" t="s">
        <v>16</v>
      </c>
      <c r="F1200">
        <v>59</v>
      </c>
      <c r="G1200" t="s">
        <v>17</v>
      </c>
      <c r="H1200">
        <v>2</v>
      </c>
      <c r="I1200">
        <v>30</v>
      </c>
      <c r="J1200">
        <v>13.2</v>
      </c>
      <c r="K1200">
        <v>60</v>
      </c>
      <c r="L1200">
        <v>46.8</v>
      </c>
      <c r="M1200">
        <v>0.77999999999999992</v>
      </c>
      <c r="N1200" t="s">
        <v>28</v>
      </c>
    </row>
    <row r="1201" spans="1:14">
      <c r="A1201">
        <v>259</v>
      </c>
      <c r="B1201" s="4">
        <v>44996</v>
      </c>
      <c r="C1201" s="5">
        <v>0.85138888888888886</v>
      </c>
      <c r="D1201" t="s">
        <v>134</v>
      </c>
      <c r="E1201" t="s">
        <v>23</v>
      </c>
      <c r="F1201">
        <v>45</v>
      </c>
      <c r="G1201" t="s">
        <v>17</v>
      </c>
      <c r="H1201">
        <v>4</v>
      </c>
      <c r="I1201">
        <v>50</v>
      </c>
      <c r="J1201">
        <v>22.5</v>
      </c>
      <c r="K1201">
        <v>200</v>
      </c>
      <c r="L1201">
        <v>177.5</v>
      </c>
      <c r="M1201">
        <v>0.88749999999999996</v>
      </c>
      <c r="N1201" t="s">
        <v>18</v>
      </c>
    </row>
    <row r="1202" spans="1:14">
      <c r="A1202">
        <v>443</v>
      </c>
      <c r="B1202" s="4">
        <v>45188</v>
      </c>
      <c r="C1202" s="5">
        <v>0.85069444444444442</v>
      </c>
      <c r="D1202" t="s">
        <v>45</v>
      </c>
      <c r="E1202" t="s">
        <v>16</v>
      </c>
      <c r="F1202">
        <v>29</v>
      </c>
      <c r="G1202" t="s">
        <v>17</v>
      </c>
      <c r="H1202">
        <v>2</v>
      </c>
      <c r="I1202">
        <v>300</v>
      </c>
      <c r="J1202">
        <v>114</v>
      </c>
      <c r="K1202">
        <v>600</v>
      </c>
      <c r="L1202">
        <v>486</v>
      </c>
      <c r="M1202">
        <v>0.81</v>
      </c>
      <c r="N1202" t="s">
        <v>39</v>
      </c>
    </row>
    <row r="1203" spans="1:14">
      <c r="A1203">
        <v>529</v>
      </c>
      <c r="B1203" s="4">
        <v>44894</v>
      </c>
      <c r="C1203" s="5">
        <v>0.73819444444444449</v>
      </c>
      <c r="D1203" t="s">
        <v>118</v>
      </c>
      <c r="E1203" t="s">
        <v>23</v>
      </c>
      <c r="F1203">
        <v>35</v>
      </c>
      <c r="G1203" t="s">
        <v>17</v>
      </c>
      <c r="H1203">
        <v>3</v>
      </c>
      <c r="I1203">
        <v>50</v>
      </c>
      <c r="J1203">
        <v>20.5</v>
      </c>
      <c r="K1203">
        <v>150</v>
      </c>
      <c r="L1203">
        <v>129.5</v>
      </c>
      <c r="M1203">
        <v>0.86333333333333329</v>
      </c>
      <c r="N1203" t="s">
        <v>39</v>
      </c>
    </row>
    <row r="1204" spans="1:14">
      <c r="A1204">
        <v>563</v>
      </c>
      <c r="B1204" s="4">
        <v>44916</v>
      </c>
      <c r="C1204" s="5">
        <v>0.77777777777777779</v>
      </c>
      <c r="D1204" t="s">
        <v>41</v>
      </c>
      <c r="E1204" t="s">
        <v>16</v>
      </c>
      <c r="F1204">
        <v>20</v>
      </c>
      <c r="G1204" t="s">
        <v>17</v>
      </c>
      <c r="H1204">
        <v>2</v>
      </c>
      <c r="I1204">
        <v>30</v>
      </c>
      <c r="J1204">
        <v>16.2</v>
      </c>
      <c r="K1204">
        <v>60</v>
      </c>
      <c r="L1204">
        <v>43.8</v>
      </c>
      <c r="M1204">
        <v>0.73</v>
      </c>
      <c r="N1204" t="s">
        <v>31</v>
      </c>
    </row>
    <row r="1205" spans="1:14">
      <c r="A1205">
        <v>1259</v>
      </c>
      <c r="B1205" s="4">
        <v>44868</v>
      </c>
      <c r="C1205" s="5">
        <v>0.72986111111111107</v>
      </c>
      <c r="D1205" t="s">
        <v>127</v>
      </c>
      <c r="E1205" t="s">
        <v>23</v>
      </c>
      <c r="F1205">
        <v>45</v>
      </c>
      <c r="G1205" t="s">
        <v>17</v>
      </c>
      <c r="H1205">
        <v>4</v>
      </c>
      <c r="I1205">
        <v>50</v>
      </c>
      <c r="J1205">
        <v>21</v>
      </c>
      <c r="K1205">
        <v>200</v>
      </c>
      <c r="L1205">
        <v>179</v>
      </c>
      <c r="M1205">
        <v>0.89500000000000002</v>
      </c>
      <c r="N1205" t="s">
        <v>18</v>
      </c>
    </row>
    <row r="1206" spans="1:14">
      <c r="A1206">
        <v>1443</v>
      </c>
      <c r="B1206" s="4">
        <v>44730</v>
      </c>
      <c r="C1206" s="5">
        <v>0.81736111111111109</v>
      </c>
      <c r="D1206" t="s">
        <v>107</v>
      </c>
      <c r="E1206" t="s">
        <v>16</v>
      </c>
      <c r="F1206">
        <v>29</v>
      </c>
      <c r="G1206" t="s">
        <v>17</v>
      </c>
      <c r="H1206">
        <v>2</v>
      </c>
      <c r="I1206">
        <v>300</v>
      </c>
      <c r="J1206">
        <v>147</v>
      </c>
      <c r="K1206">
        <v>600</v>
      </c>
      <c r="L1206">
        <v>453</v>
      </c>
      <c r="M1206">
        <v>0.755</v>
      </c>
      <c r="N1206" t="s">
        <v>39</v>
      </c>
    </row>
    <row r="1207" spans="1:14">
      <c r="A1207">
        <v>1529</v>
      </c>
      <c r="B1207" s="4">
        <v>44821</v>
      </c>
      <c r="C1207" s="5">
        <v>0.94305555555555554</v>
      </c>
      <c r="D1207" t="s">
        <v>127</v>
      </c>
      <c r="E1207" t="s">
        <v>23</v>
      </c>
      <c r="F1207">
        <v>35</v>
      </c>
      <c r="G1207" t="s">
        <v>17</v>
      </c>
      <c r="H1207">
        <v>3</v>
      </c>
      <c r="I1207">
        <v>50</v>
      </c>
      <c r="J1207">
        <v>17</v>
      </c>
      <c r="K1207">
        <v>150</v>
      </c>
      <c r="L1207">
        <v>133</v>
      </c>
      <c r="M1207">
        <v>0.88666666666666671</v>
      </c>
      <c r="N1207" t="s">
        <v>39</v>
      </c>
    </row>
    <row r="1208" spans="1:14">
      <c r="A1208">
        <v>1563</v>
      </c>
      <c r="B1208" s="4">
        <v>44847</v>
      </c>
      <c r="C1208" s="5">
        <v>0.73888888888888893</v>
      </c>
      <c r="D1208" t="s">
        <v>73</v>
      </c>
      <c r="E1208" t="s">
        <v>16</v>
      </c>
      <c r="F1208">
        <v>20</v>
      </c>
      <c r="G1208" t="s">
        <v>17</v>
      </c>
      <c r="H1208">
        <v>2</v>
      </c>
      <c r="I1208">
        <v>30</v>
      </c>
      <c r="J1208">
        <v>15.3</v>
      </c>
      <c r="K1208">
        <v>60</v>
      </c>
      <c r="L1208">
        <v>44.7</v>
      </c>
      <c r="M1208">
        <v>0.745</v>
      </c>
      <c r="N1208" t="s">
        <v>31</v>
      </c>
    </row>
    <row r="1209" spans="1:14">
      <c r="A1209">
        <v>801</v>
      </c>
      <c r="B1209" s="4">
        <v>44896</v>
      </c>
      <c r="C1209" s="5">
        <v>0.71805555555555556</v>
      </c>
      <c r="D1209" t="s">
        <v>155</v>
      </c>
      <c r="E1209" t="s">
        <v>16</v>
      </c>
      <c r="F1209">
        <v>21</v>
      </c>
      <c r="G1209" t="s">
        <v>17</v>
      </c>
      <c r="H1209">
        <v>4</v>
      </c>
      <c r="I1209">
        <v>50</v>
      </c>
      <c r="J1209">
        <v>19</v>
      </c>
      <c r="K1209">
        <v>200</v>
      </c>
      <c r="L1209">
        <v>181</v>
      </c>
      <c r="M1209">
        <v>0.90500000000000003</v>
      </c>
      <c r="N1209" t="s">
        <v>31</v>
      </c>
    </row>
    <row r="1210" spans="1:14">
      <c r="A1210">
        <v>1801</v>
      </c>
      <c r="B1210" s="4">
        <v>44752</v>
      </c>
      <c r="C1210" s="5">
        <v>0.91736111111111107</v>
      </c>
      <c r="D1210" t="s">
        <v>147</v>
      </c>
      <c r="E1210" t="s">
        <v>16</v>
      </c>
      <c r="F1210">
        <v>21</v>
      </c>
      <c r="G1210" t="s">
        <v>17</v>
      </c>
      <c r="H1210">
        <v>4</v>
      </c>
      <c r="I1210">
        <v>50</v>
      </c>
      <c r="J1210">
        <v>13.5</v>
      </c>
      <c r="K1210">
        <v>200</v>
      </c>
      <c r="L1210">
        <v>186.5</v>
      </c>
      <c r="M1210">
        <v>0.9325</v>
      </c>
      <c r="N1210" t="s">
        <v>31</v>
      </c>
    </row>
    <row r="1211" spans="1:14">
      <c r="A1211">
        <v>160</v>
      </c>
      <c r="B1211" s="4">
        <v>44762</v>
      </c>
      <c r="C1211" s="5">
        <v>0.71388888888888891</v>
      </c>
      <c r="D1211" t="s">
        <v>128</v>
      </c>
      <c r="E1211" t="s">
        <v>23</v>
      </c>
      <c r="F1211">
        <v>43</v>
      </c>
      <c r="G1211" t="s">
        <v>17</v>
      </c>
      <c r="H1211">
        <v>2</v>
      </c>
      <c r="I1211">
        <v>50</v>
      </c>
      <c r="J1211">
        <v>26.5</v>
      </c>
      <c r="K1211">
        <v>100</v>
      </c>
      <c r="L1211">
        <v>73.5</v>
      </c>
      <c r="M1211">
        <v>0.73499999999999999</v>
      </c>
      <c r="N1211" t="s">
        <v>18</v>
      </c>
    </row>
    <row r="1212" spans="1:14">
      <c r="A1212">
        <v>508</v>
      </c>
      <c r="B1212" s="4">
        <v>45112</v>
      </c>
      <c r="C1212" s="5">
        <v>0.95277777777777772</v>
      </c>
      <c r="D1212" t="s">
        <v>146</v>
      </c>
      <c r="E1212" t="s">
        <v>16</v>
      </c>
      <c r="F1212">
        <v>58</v>
      </c>
      <c r="G1212" t="s">
        <v>20</v>
      </c>
      <c r="H1212">
        <v>2</v>
      </c>
      <c r="I1212">
        <v>300</v>
      </c>
      <c r="J1212">
        <v>123</v>
      </c>
      <c r="K1212">
        <v>600</v>
      </c>
      <c r="L1212">
        <v>477</v>
      </c>
      <c r="M1212">
        <v>0.79500000000000004</v>
      </c>
      <c r="N1212" t="s">
        <v>28</v>
      </c>
    </row>
    <row r="1213" spans="1:14">
      <c r="A1213">
        <v>807</v>
      </c>
      <c r="B1213" s="4">
        <v>44952</v>
      </c>
      <c r="C1213" s="5">
        <v>0.8256944444444444</v>
      </c>
      <c r="D1213" t="s">
        <v>173</v>
      </c>
      <c r="E1213" t="s">
        <v>23</v>
      </c>
      <c r="F1213">
        <v>50</v>
      </c>
      <c r="G1213" t="s">
        <v>30</v>
      </c>
      <c r="H1213">
        <v>4</v>
      </c>
      <c r="I1213">
        <v>50</v>
      </c>
      <c r="J1213">
        <v>15.5</v>
      </c>
      <c r="K1213">
        <v>200</v>
      </c>
      <c r="L1213">
        <v>184.5</v>
      </c>
      <c r="M1213">
        <v>0.92249999999999999</v>
      </c>
      <c r="N1213" t="s">
        <v>21</v>
      </c>
    </row>
    <row r="1214" spans="1:14">
      <c r="A1214">
        <v>1160</v>
      </c>
      <c r="B1214" s="4">
        <v>45158</v>
      </c>
      <c r="C1214" s="5">
        <v>0.80555555555555558</v>
      </c>
      <c r="D1214" t="s">
        <v>127</v>
      </c>
      <c r="E1214" t="s">
        <v>23</v>
      </c>
      <c r="F1214">
        <v>43</v>
      </c>
      <c r="G1214" t="s">
        <v>17</v>
      </c>
      <c r="H1214">
        <v>2</v>
      </c>
      <c r="I1214">
        <v>50</v>
      </c>
      <c r="J1214">
        <v>14</v>
      </c>
      <c r="K1214">
        <v>100</v>
      </c>
      <c r="L1214">
        <v>86</v>
      </c>
      <c r="M1214">
        <v>0.86</v>
      </c>
      <c r="N1214" t="s">
        <v>18</v>
      </c>
    </row>
    <row r="1215" spans="1:14">
      <c r="A1215">
        <v>1508</v>
      </c>
      <c r="B1215" s="4">
        <v>44659</v>
      </c>
      <c r="C1215" s="5">
        <v>0.85555555555555551</v>
      </c>
      <c r="D1215" t="s">
        <v>78</v>
      </c>
      <c r="E1215" t="s">
        <v>16</v>
      </c>
      <c r="F1215">
        <v>58</v>
      </c>
      <c r="G1215" t="s">
        <v>20</v>
      </c>
      <c r="H1215">
        <v>2</v>
      </c>
      <c r="I1215">
        <v>300</v>
      </c>
      <c r="J1215">
        <v>81</v>
      </c>
      <c r="K1215">
        <v>600</v>
      </c>
      <c r="L1215">
        <v>519</v>
      </c>
      <c r="M1215">
        <v>0.86499999999999999</v>
      </c>
      <c r="N1215" t="s">
        <v>28</v>
      </c>
    </row>
    <row r="1216" spans="1:14">
      <c r="A1216">
        <v>1807</v>
      </c>
      <c r="B1216" s="4">
        <v>44777</v>
      </c>
      <c r="C1216" s="5">
        <v>0.92708333333333337</v>
      </c>
      <c r="D1216" t="s">
        <v>169</v>
      </c>
      <c r="E1216" t="s">
        <v>23</v>
      </c>
      <c r="F1216">
        <v>50</v>
      </c>
      <c r="G1216" t="s">
        <v>30</v>
      </c>
      <c r="H1216">
        <v>4</v>
      </c>
      <c r="I1216">
        <v>50</v>
      </c>
      <c r="J1216">
        <v>22</v>
      </c>
      <c r="K1216">
        <v>200</v>
      </c>
      <c r="L1216">
        <v>178</v>
      </c>
      <c r="M1216">
        <v>0.89</v>
      </c>
      <c r="N1216" t="s">
        <v>21</v>
      </c>
    </row>
    <row r="1217" spans="1:14">
      <c r="A1217">
        <v>511</v>
      </c>
      <c r="B1217" s="4">
        <v>45283</v>
      </c>
      <c r="C1217" s="5">
        <v>0.7631944444444444</v>
      </c>
      <c r="D1217" t="s">
        <v>108</v>
      </c>
      <c r="E1217" t="s">
        <v>16</v>
      </c>
      <c r="F1217">
        <v>45</v>
      </c>
      <c r="G1217" t="s">
        <v>20</v>
      </c>
      <c r="H1217">
        <v>2</v>
      </c>
      <c r="I1217">
        <v>50</v>
      </c>
      <c r="J1217">
        <v>24.5</v>
      </c>
      <c r="K1217">
        <v>100</v>
      </c>
      <c r="L1217">
        <v>75.5</v>
      </c>
      <c r="M1217">
        <v>0.755</v>
      </c>
      <c r="N1217" t="s">
        <v>18</v>
      </c>
    </row>
    <row r="1218" spans="1:14">
      <c r="A1218">
        <v>521</v>
      </c>
      <c r="B1218" s="4">
        <v>45227</v>
      </c>
      <c r="C1218" s="5">
        <v>0.8305555555555556</v>
      </c>
      <c r="D1218" t="s">
        <v>164</v>
      </c>
      <c r="E1218" t="s">
        <v>23</v>
      </c>
      <c r="F1218">
        <v>47</v>
      </c>
      <c r="G1218" t="s">
        <v>17</v>
      </c>
      <c r="H1218">
        <v>4</v>
      </c>
      <c r="I1218">
        <v>30</v>
      </c>
      <c r="J1218">
        <v>8.6999999999999993</v>
      </c>
      <c r="K1218">
        <v>120</v>
      </c>
      <c r="L1218">
        <v>111.3</v>
      </c>
      <c r="M1218">
        <v>0.92749999999999999</v>
      </c>
      <c r="N1218" t="s">
        <v>21</v>
      </c>
    </row>
    <row r="1219" spans="1:14">
      <c r="A1219">
        <v>695</v>
      </c>
      <c r="B1219" s="4">
        <v>44654</v>
      </c>
      <c r="C1219" s="5">
        <v>0.92500000000000004</v>
      </c>
      <c r="D1219" t="s">
        <v>19</v>
      </c>
      <c r="E1219" t="s">
        <v>23</v>
      </c>
      <c r="F1219">
        <v>22</v>
      </c>
      <c r="G1219" t="s">
        <v>30</v>
      </c>
      <c r="H1219">
        <v>3</v>
      </c>
      <c r="I1219">
        <v>50</v>
      </c>
      <c r="J1219">
        <v>21</v>
      </c>
      <c r="K1219">
        <v>150</v>
      </c>
      <c r="L1219">
        <v>129</v>
      </c>
      <c r="M1219">
        <v>0.86</v>
      </c>
      <c r="N1219" t="s">
        <v>31</v>
      </c>
    </row>
    <row r="1220" spans="1:14">
      <c r="A1220">
        <v>816</v>
      </c>
      <c r="B1220" s="4">
        <v>45196</v>
      </c>
      <c r="C1220" s="5">
        <v>0.81180555555555556</v>
      </c>
      <c r="D1220" t="s">
        <v>164</v>
      </c>
      <c r="E1220" t="s">
        <v>16</v>
      </c>
      <c r="F1220">
        <v>47</v>
      </c>
      <c r="G1220" t="s">
        <v>20</v>
      </c>
      <c r="H1220">
        <v>2</v>
      </c>
      <c r="I1220">
        <v>500</v>
      </c>
      <c r="J1220">
        <v>240</v>
      </c>
      <c r="K1220">
        <v>1000</v>
      </c>
      <c r="L1220">
        <v>760</v>
      </c>
      <c r="M1220">
        <v>0.76</v>
      </c>
      <c r="N1220" t="s">
        <v>21</v>
      </c>
    </row>
    <row r="1221" spans="1:14">
      <c r="A1221">
        <v>1511</v>
      </c>
      <c r="B1221" s="4">
        <v>44660</v>
      </c>
      <c r="C1221" s="5">
        <v>0.9</v>
      </c>
      <c r="D1221" t="s">
        <v>143</v>
      </c>
      <c r="E1221" t="s">
        <v>16</v>
      </c>
      <c r="F1221">
        <v>45</v>
      </c>
      <c r="G1221" t="s">
        <v>20</v>
      </c>
      <c r="H1221">
        <v>2</v>
      </c>
      <c r="I1221">
        <v>50</v>
      </c>
      <c r="J1221">
        <v>13.5</v>
      </c>
      <c r="K1221">
        <v>100</v>
      </c>
      <c r="L1221">
        <v>86.5</v>
      </c>
      <c r="M1221">
        <v>0.86499999999999999</v>
      </c>
      <c r="N1221" t="s">
        <v>18</v>
      </c>
    </row>
    <row r="1222" spans="1:14">
      <c r="A1222">
        <v>1521</v>
      </c>
      <c r="B1222" s="4">
        <v>45130</v>
      </c>
      <c r="C1222" s="5">
        <v>0.79722222222222228</v>
      </c>
      <c r="D1222" t="s">
        <v>152</v>
      </c>
      <c r="E1222" t="s">
        <v>23</v>
      </c>
      <c r="F1222">
        <v>47</v>
      </c>
      <c r="G1222" t="s">
        <v>17</v>
      </c>
      <c r="H1222">
        <v>4</v>
      </c>
      <c r="I1222">
        <v>30</v>
      </c>
      <c r="J1222">
        <v>12.9</v>
      </c>
      <c r="K1222">
        <v>120</v>
      </c>
      <c r="L1222">
        <v>107.1</v>
      </c>
      <c r="M1222">
        <v>0.89249999999999996</v>
      </c>
      <c r="N1222" t="s">
        <v>21</v>
      </c>
    </row>
    <row r="1223" spans="1:14">
      <c r="A1223">
        <v>1695</v>
      </c>
      <c r="B1223" s="4">
        <v>45190</v>
      </c>
      <c r="C1223" s="5">
        <v>0.86875000000000002</v>
      </c>
      <c r="D1223" t="s">
        <v>24</v>
      </c>
      <c r="E1223" t="s">
        <v>23</v>
      </c>
      <c r="F1223">
        <v>22</v>
      </c>
      <c r="G1223" t="s">
        <v>30</v>
      </c>
      <c r="H1223">
        <v>3</v>
      </c>
      <c r="I1223">
        <v>50</v>
      </c>
      <c r="J1223">
        <v>23</v>
      </c>
      <c r="K1223">
        <v>150</v>
      </c>
      <c r="L1223">
        <v>127</v>
      </c>
      <c r="M1223">
        <v>0.84666666666666668</v>
      </c>
      <c r="N1223" t="s">
        <v>31</v>
      </c>
    </row>
    <row r="1224" spans="1:14">
      <c r="A1224">
        <v>1816</v>
      </c>
      <c r="B1224" s="4">
        <v>44729</v>
      </c>
      <c r="C1224" s="5">
        <v>0.9375</v>
      </c>
      <c r="D1224" t="s">
        <v>19</v>
      </c>
      <c r="E1224" t="s">
        <v>16</v>
      </c>
      <c r="F1224">
        <v>47</v>
      </c>
      <c r="G1224" t="s">
        <v>20</v>
      </c>
      <c r="H1224">
        <v>2</v>
      </c>
      <c r="I1224">
        <v>500</v>
      </c>
      <c r="J1224">
        <v>245</v>
      </c>
      <c r="K1224">
        <v>1000</v>
      </c>
      <c r="L1224">
        <v>755</v>
      </c>
      <c r="M1224">
        <v>0.755</v>
      </c>
      <c r="N1224" t="s">
        <v>21</v>
      </c>
    </row>
    <row r="1225" spans="1:14">
      <c r="A1225">
        <v>217</v>
      </c>
      <c r="B1225" s="4">
        <v>44683</v>
      </c>
      <c r="C1225" s="5">
        <v>0.70902777777777781</v>
      </c>
      <c r="D1225" t="s">
        <v>48</v>
      </c>
      <c r="E1225" t="s">
        <v>23</v>
      </c>
      <c r="F1225">
        <v>35</v>
      </c>
      <c r="G1225" t="s">
        <v>30</v>
      </c>
      <c r="H1225">
        <v>4</v>
      </c>
      <c r="I1225">
        <v>50</v>
      </c>
      <c r="J1225">
        <v>26.5</v>
      </c>
      <c r="K1225">
        <v>200</v>
      </c>
      <c r="L1225">
        <v>173.5</v>
      </c>
      <c r="M1225">
        <v>0.86750000000000005</v>
      </c>
      <c r="N1225" t="s">
        <v>39</v>
      </c>
    </row>
    <row r="1226" spans="1:14">
      <c r="A1226">
        <v>384</v>
      </c>
      <c r="B1226" s="4">
        <v>44661</v>
      </c>
      <c r="C1226" s="5">
        <v>0.82847222222222228</v>
      </c>
      <c r="D1226" t="s">
        <v>128</v>
      </c>
      <c r="E1226" t="s">
        <v>16</v>
      </c>
      <c r="F1226">
        <v>55</v>
      </c>
      <c r="G1226" t="s">
        <v>17</v>
      </c>
      <c r="H1226">
        <v>1</v>
      </c>
      <c r="I1226">
        <v>500</v>
      </c>
      <c r="J1226">
        <v>145</v>
      </c>
      <c r="K1226">
        <v>500</v>
      </c>
      <c r="L1226">
        <v>355</v>
      </c>
      <c r="M1226">
        <v>0.71</v>
      </c>
      <c r="N1226" t="s">
        <v>21</v>
      </c>
    </row>
    <row r="1227" spans="1:14">
      <c r="A1227">
        <v>1217</v>
      </c>
      <c r="B1227" s="4">
        <v>45215</v>
      </c>
      <c r="C1227" s="5">
        <v>0.81111111111111112</v>
      </c>
      <c r="D1227" t="s">
        <v>144</v>
      </c>
      <c r="E1227" t="s">
        <v>23</v>
      </c>
      <c r="F1227">
        <v>35</v>
      </c>
      <c r="G1227" t="s">
        <v>30</v>
      </c>
      <c r="H1227">
        <v>4</v>
      </c>
      <c r="I1227">
        <v>50</v>
      </c>
      <c r="J1227">
        <v>18</v>
      </c>
      <c r="K1227">
        <v>200</v>
      </c>
      <c r="L1227">
        <v>182</v>
      </c>
      <c r="M1227">
        <v>0.91</v>
      </c>
      <c r="N1227" t="s">
        <v>39</v>
      </c>
    </row>
    <row r="1228" spans="1:14">
      <c r="A1228">
        <v>1384</v>
      </c>
      <c r="B1228" s="4">
        <v>45277</v>
      </c>
      <c r="C1228" s="5">
        <v>0.84930555555555554</v>
      </c>
      <c r="D1228" t="s">
        <v>109</v>
      </c>
      <c r="E1228" t="s">
        <v>16</v>
      </c>
      <c r="F1228">
        <v>55</v>
      </c>
      <c r="G1228" t="s">
        <v>17</v>
      </c>
      <c r="H1228">
        <v>1</v>
      </c>
      <c r="I1228">
        <v>500</v>
      </c>
      <c r="J1228">
        <v>260</v>
      </c>
      <c r="K1228">
        <v>500</v>
      </c>
      <c r="L1228">
        <v>240</v>
      </c>
      <c r="M1228">
        <v>0.48</v>
      </c>
      <c r="N1228" t="s">
        <v>21</v>
      </c>
    </row>
    <row r="1229" spans="1:14">
      <c r="A1229">
        <v>648</v>
      </c>
      <c r="B1229" s="4">
        <v>44980</v>
      </c>
      <c r="C1229" s="5">
        <v>0.75902777777777775</v>
      </c>
      <c r="D1229" t="s">
        <v>77</v>
      </c>
      <c r="E1229" t="s">
        <v>16</v>
      </c>
      <c r="F1229">
        <v>53</v>
      </c>
      <c r="G1229" t="s">
        <v>20</v>
      </c>
      <c r="H1229">
        <v>4</v>
      </c>
      <c r="I1229">
        <v>300</v>
      </c>
      <c r="J1229">
        <v>138</v>
      </c>
      <c r="K1229">
        <v>1200</v>
      </c>
      <c r="L1229">
        <v>1062</v>
      </c>
      <c r="M1229">
        <v>0.88500000000000001</v>
      </c>
      <c r="N1229" t="s">
        <v>21</v>
      </c>
    </row>
    <row r="1230" spans="1:14">
      <c r="A1230">
        <v>926</v>
      </c>
      <c r="B1230" s="4">
        <v>45205</v>
      </c>
      <c r="C1230" s="5">
        <v>0.95347222222222228</v>
      </c>
      <c r="D1230" t="s">
        <v>158</v>
      </c>
      <c r="E1230" t="s">
        <v>16</v>
      </c>
      <c r="F1230">
        <v>22</v>
      </c>
      <c r="G1230" t="s">
        <v>30</v>
      </c>
      <c r="H1230">
        <v>1</v>
      </c>
      <c r="I1230">
        <v>30</v>
      </c>
      <c r="J1230">
        <v>15.6</v>
      </c>
      <c r="K1230">
        <v>30</v>
      </c>
      <c r="L1230">
        <v>14.4</v>
      </c>
      <c r="M1230">
        <v>0.48000000000000004</v>
      </c>
      <c r="N1230" t="s">
        <v>31</v>
      </c>
    </row>
    <row r="1231" spans="1:14">
      <c r="A1231">
        <v>1648</v>
      </c>
      <c r="B1231" s="4">
        <v>45117</v>
      </c>
      <c r="C1231" s="5">
        <v>0.72083333333333333</v>
      </c>
      <c r="D1231" t="s">
        <v>50</v>
      </c>
      <c r="E1231" t="s">
        <v>16</v>
      </c>
      <c r="F1231">
        <v>53</v>
      </c>
      <c r="G1231" t="s">
        <v>20</v>
      </c>
      <c r="H1231">
        <v>4</v>
      </c>
      <c r="I1231">
        <v>300</v>
      </c>
      <c r="J1231">
        <v>87</v>
      </c>
      <c r="K1231">
        <v>1200</v>
      </c>
      <c r="L1231">
        <v>1113</v>
      </c>
      <c r="M1231">
        <v>0.92749999999999999</v>
      </c>
      <c r="N1231" t="s">
        <v>21</v>
      </c>
    </row>
    <row r="1232" spans="1:14">
      <c r="A1232">
        <v>1926</v>
      </c>
      <c r="B1232" s="4">
        <v>45145</v>
      </c>
      <c r="C1232" s="5">
        <v>0.84861111111111109</v>
      </c>
      <c r="D1232" t="s">
        <v>145</v>
      </c>
      <c r="E1232" t="s">
        <v>16</v>
      </c>
      <c r="F1232">
        <v>22</v>
      </c>
      <c r="G1232" t="s">
        <v>30</v>
      </c>
      <c r="H1232">
        <v>1</v>
      </c>
      <c r="I1232">
        <v>30</v>
      </c>
      <c r="J1232">
        <v>9.6</v>
      </c>
      <c r="K1232">
        <v>30</v>
      </c>
      <c r="L1232">
        <v>20.399999999999999</v>
      </c>
      <c r="M1232">
        <v>0.67999999999999994</v>
      </c>
      <c r="N1232" t="s">
        <v>31</v>
      </c>
    </row>
    <row r="1233" spans="1:14">
      <c r="A1233">
        <v>285</v>
      </c>
      <c r="B1233" s="4">
        <v>45261</v>
      </c>
      <c r="C1233" s="5">
        <v>0.75972222222222219</v>
      </c>
      <c r="D1233" t="s">
        <v>148</v>
      </c>
      <c r="E1233" t="s">
        <v>23</v>
      </c>
      <c r="F1233">
        <v>31</v>
      </c>
      <c r="G1233" t="s">
        <v>30</v>
      </c>
      <c r="H1233">
        <v>1</v>
      </c>
      <c r="I1233">
        <v>25</v>
      </c>
      <c r="J1233">
        <v>13.5</v>
      </c>
      <c r="K1233">
        <v>25</v>
      </c>
      <c r="L1233">
        <v>11.5</v>
      </c>
      <c r="M1233">
        <v>0.46</v>
      </c>
      <c r="N1233" t="s">
        <v>39</v>
      </c>
    </row>
    <row r="1234" spans="1:14">
      <c r="A1234">
        <v>427</v>
      </c>
      <c r="B1234" s="4">
        <v>45246</v>
      </c>
      <c r="C1234" s="5">
        <v>0.8930555555555556</v>
      </c>
      <c r="D1234" t="s">
        <v>34</v>
      </c>
      <c r="E1234" t="s">
        <v>16</v>
      </c>
      <c r="F1234">
        <v>25</v>
      </c>
      <c r="G1234" t="s">
        <v>30</v>
      </c>
      <c r="H1234">
        <v>1</v>
      </c>
      <c r="I1234">
        <v>25</v>
      </c>
      <c r="J1234">
        <v>11.75</v>
      </c>
      <c r="K1234">
        <v>25</v>
      </c>
      <c r="L1234">
        <v>13.25</v>
      </c>
      <c r="M1234">
        <v>0.53</v>
      </c>
      <c r="N1234" t="s">
        <v>31</v>
      </c>
    </row>
    <row r="1235" spans="1:14">
      <c r="A1235">
        <v>569</v>
      </c>
      <c r="B1235" s="4">
        <v>44680</v>
      </c>
      <c r="C1235" s="5">
        <v>0.86736111111111114</v>
      </c>
      <c r="D1235" t="s">
        <v>94</v>
      </c>
      <c r="E1235" t="s">
        <v>16</v>
      </c>
      <c r="F1235">
        <v>52</v>
      </c>
      <c r="G1235" t="s">
        <v>30</v>
      </c>
      <c r="H1235">
        <v>4</v>
      </c>
      <c r="I1235">
        <v>50</v>
      </c>
      <c r="J1235">
        <v>19</v>
      </c>
      <c r="K1235">
        <v>200</v>
      </c>
      <c r="L1235">
        <v>181</v>
      </c>
      <c r="M1235">
        <v>0.90500000000000003</v>
      </c>
      <c r="N1235" t="s">
        <v>21</v>
      </c>
    </row>
    <row r="1236" spans="1:14">
      <c r="A1236">
        <v>570</v>
      </c>
      <c r="B1236" s="4">
        <v>44721</v>
      </c>
      <c r="C1236" s="5">
        <v>0.95347222222222228</v>
      </c>
      <c r="D1236" t="s">
        <v>173</v>
      </c>
      <c r="E1236" t="s">
        <v>16</v>
      </c>
      <c r="F1236">
        <v>49</v>
      </c>
      <c r="G1236" t="s">
        <v>17</v>
      </c>
      <c r="H1236">
        <v>1</v>
      </c>
      <c r="I1236">
        <v>500</v>
      </c>
      <c r="J1236">
        <v>185</v>
      </c>
      <c r="K1236">
        <v>500</v>
      </c>
      <c r="L1236">
        <v>315</v>
      </c>
      <c r="M1236">
        <v>0.63</v>
      </c>
      <c r="N1236" t="s">
        <v>21</v>
      </c>
    </row>
    <row r="1237" spans="1:14">
      <c r="A1237">
        <v>630</v>
      </c>
      <c r="B1237" s="4">
        <v>45006</v>
      </c>
      <c r="C1237" s="5">
        <v>0.72847222222222219</v>
      </c>
      <c r="D1237" t="s">
        <v>56</v>
      </c>
      <c r="E1237" t="s">
        <v>16</v>
      </c>
      <c r="F1237">
        <v>42</v>
      </c>
      <c r="G1237" t="s">
        <v>17</v>
      </c>
      <c r="H1237">
        <v>2</v>
      </c>
      <c r="I1237">
        <v>50</v>
      </c>
      <c r="J1237">
        <v>25.5</v>
      </c>
      <c r="K1237">
        <v>100</v>
      </c>
      <c r="L1237">
        <v>74.5</v>
      </c>
      <c r="M1237">
        <v>0.745</v>
      </c>
      <c r="N1237" t="s">
        <v>18</v>
      </c>
    </row>
    <row r="1238" spans="1:14">
      <c r="A1238">
        <v>957</v>
      </c>
      <c r="B1238" s="4">
        <v>45096</v>
      </c>
      <c r="C1238" s="5">
        <v>0.79166666666666663</v>
      </c>
      <c r="D1238" t="s">
        <v>127</v>
      </c>
      <c r="E1238" t="s">
        <v>23</v>
      </c>
      <c r="F1238">
        <v>60</v>
      </c>
      <c r="G1238" t="s">
        <v>30</v>
      </c>
      <c r="H1238">
        <v>4</v>
      </c>
      <c r="I1238">
        <v>30</v>
      </c>
      <c r="J1238">
        <v>9.3000000000000007</v>
      </c>
      <c r="K1238">
        <v>120</v>
      </c>
      <c r="L1238">
        <v>110.7</v>
      </c>
      <c r="M1238">
        <v>0.92249999999999999</v>
      </c>
      <c r="N1238" t="s">
        <v>28</v>
      </c>
    </row>
    <row r="1239" spans="1:14">
      <c r="A1239">
        <v>1285</v>
      </c>
      <c r="B1239" s="4">
        <v>45078</v>
      </c>
      <c r="C1239" s="5">
        <v>0.91319444444444442</v>
      </c>
      <c r="D1239" t="s">
        <v>51</v>
      </c>
      <c r="E1239" t="s">
        <v>23</v>
      </c>
      <c r="F1239">
        <v>31</v>
      </c>
      <c r="G1239" t="s">
        <v>30</v>
      </c>
      <c r="H1239">
        <v>1</v>
      </c>
      <c r="I1239">
        <v>25</v>
      </c>
      <c r="J1239">
        <v>12.25</v>
      </c>
      <c r="K1239">
        <v>25</v>
      </c>
      <c r="L1239">
        <v>12.75</v>
      </c>
      <c r="M1239">
        <v>0.51</v>
      </c>
      <c r="N1239" t="s">
        <v>39</v>
      </c>
    </row>
    <row r="1240" spans="1:14">
      <c r="A1240">
        <v>1427</v>
      </c>
      <c r="B1240" s="4">
        <v>45122</v>
      </c>
      <c r="C1240" s="5">
        <v>0.77500000000000002</v>
      </c>
      <c r="D1240" t="s">
        <v>172</v>
      </c>
      <c r="E1240" t="s">
        <v>16</v>
      </c>
      <c r="F1240">
        <v>25</v>
      </c>
      <c r="G1240" t="s">
        <v>30</v>
      </c>
      <c r="H1240">
        <v>1</v>
      </c>
      <c r="I1240">
        <v>25</v>
      </c>
      <c r="J1240">
        <v>11.5</v>
      </c>
      <c r="K1240">
        <v>25</v>
      </c>
      <c r="L1240">
        <v>13.5</v>
      </c>
      <c r="M1240">
        <v>0.54</v>
      </c>
      <c r="N1240" t="s">
        <v>31</v>
      </c>
    </row>
    <row r="1241" spans="1:14">
      <c r="A1241">
        <v>1569</v>
      </c>
      <c r="B1241" s="4">
        <v>45260</v>
      </c>
      <c r="C1241" s="5">
        <v>0.87986111111111109</v>
      </c>
      <c r="D1241" t="s">
        <v>163</v>
      </c>
      <c r="E1241" t="s">
        <v>16</v>
      </c>
      <c r="F1241">
        <v>52</v>
      </c>
      <c r="G1241" t="s">
        <v>30</v>
      </c>
      <c r="H1241">
        <v>4</v>
      </c>
      <c r="I1241">
        <v>50</v>
      </c>
      <c r="J1241">
        <v>18</v>
      </c>
      <c r="K1241">
        <v>200</v>
      </c>
      <c r="L1241">
        <v>182</v>
      </c>
      <c r="M1241">
        <v>0.91</v>
      </c>
      <c r="N1241" t="s">
        <v>21</v>
      </c>
    </row>
    <row r="1242" spans="1:14">
      <c r="A1242">
        <v>1570</v>
      </c>
      <c r="B1242" s="4">
        <v>45092</v>
      </c>
      <c r="C1242" s="5">
        <v>0.93888888888888888</v>
      </c>
      <c r="D1242" t="s">
        <v>162</v>
      </c>
      <c r="E1242" t="s">
        <v>16</v>
      </c>
      <c r="F1242">
        <v>49</v>
      </c>
      <c r="G1242" t="s">
        <v>17</v>
      </c>
      <c r="H1242">
        <v>1</v>
      </c>
      <c r="I1242">
        <v>500</v>
      </c>
      <c r="J1242">
        <v>170</v>
      </c>
      <c r="K1242">
        <v>500</v>
      </c>
      <c r="L1242">
        <v>330</v>
      </c>
      <c r="M1242">
        <v>0.66</v>
      </c>
      <c r="N1242" t="s">
        <v>21</v>
      </c>
    </row>
    <row r="1243" spans="1:14">
      <c r="A1243">
        <v>1630</v>
      </c>
      <c r="B1243" s="4">
        <v>44703</v>
      </c>
      <c r="C1243" s="5">
        <v>0.72361111111111109</v>
      </c>
      <c r="D1243" t="s">
        <v>135</v>
      </c>
      <c r="E1243" t="s">
        <v>16</v>
      </c>
      <c r="F1243">
        <v>42</v>
      </c>
      <c r="G1243" t="s">
        <v>17</v>
      </c>
      <c r="H1243">
        <v>2</v>
      </c>
      <c r="I1243">
        <v>50</v>
      </c>
      <c r="J1243">
        <v>16</v>
      </c>
      <c r="K1243">
        <v>100</v>
      </c>
      <c r="L1243">
        <v>84</v>
      </c>
      <c r="M1243">
        <v>0.84</v>
      </c>
      <c r="N1243" t="s">
        <v>18</v>
      </c>
    </row>
    <row r="1244" spans="1:14">
      <c r="A1244">
        <v>1957</v>
      </c>
      <c r="B1244" s="4">
        <v>44859</v>
      </c>
      <c r="C1244" s="5">
        <v>0.79166666666666663</v>
      </c>
      <c r="D1244" t="s">
        <v>82</v>
      </c>
      <c r="E1244" t="s">
        <v>23</v>
      </c>
      <c r="F1244">
        <v>60</v>
      </c>
      <c r="G1244" t="s">
        <v>30</v>
      </c>
      <c r="H1244">
        <v>4</v>
      </c>
      <c r="I1244">
        <v>30</v>
      </c>
      <c r="J1244">
        <v>14.7</v>
      </c>
      <c r="K1244">
        <v>120</v>
      </c>
      <c r="L1244">
        <v>105.3</v>
      </c>
      <c r="M1244">
        <v>0.87749999999999995</v>
      </c>
      <c r="N1244" t="s">
        <v>28</v>
      </c>
    </row>
    <row r="1245" spans="1:14">
      <c r="A1245">
        <v>635</v>
      </c>
      <c r="B1245" s="4">
        <v>44899</v>
      </c>
      <c r="C1245" s="5">
        <v>0.87708333333333333</v>
      </c>
      <c r="D1245" t="s">
        <v>53</v>
      </c>
      <c r="E1245" t="s">
        <v>23</v>
      </c>
      <c r="F1245">
        <v>63</v>
      </c>
      <c r="G1245" t="s">
        <v>30</v>
      </c>
      <c r="H1245">
        <v>3</v>
      </c>
      <c r="I1245">
        <v>300</v>
      </c>
      <c r="J1245">
        <v>129</v>
      </c>
      <c r="K1245">
        <v>900</v>
      </c>
      <c r="L1245">
        <v>771</v>
      </c>
      <c r="M1245">
        <v>0.85666666666666669</v>
      </c>
      <c r="N1245" t="s">
        <v>28</v>
      </c>
    </row>
    <row r="1246" spans="1:14">
      <c r="A1246">
        <v>1635</v>
      </c>
      <c r="B1246" s="4">
        <v>45033</v>
      </c>
      <c r="C1246" s="5">
        <v>0.75555555555555554</v>
      </c>
      <c r="D1246" t="s">
        <v>141</v>
      </c>
      <c r="E1246" t="s">
        <v>23</v>
      </c>
      <c r="F1246">
        <v>63</v>
      </c>
      <c r="G1246" t="s">
        <v>30</v>
      </c>
      <c r="H1246">
        <v>3</v>
      </c>
      <c r="I1246">
        <v>300</v>
      </c>
      <c r="J1246">
        <v>159</v>
      </c>
      <c r="K1246">
        <v>900</v>
      </c>
      <c r="L1246">
        <v>741</v>
      </c>
      <c r="M1246">
        <v>0.82333333333333336</v>
      </c>
      <c r="N1246" t="s">
        <v>28</v>
      </c>
    </row>
    <row r="1247" spans="1:14">
      <c r="A1247">
        <v>29</v>
      </c>
      <c r="B1247" s="4">
        <v>44628</v>
      </c>
      <c r="C1247" s="5">
        <v>0.84027777777777779</v>
      </c>
      <c r="D1247" t="s">
        <v>99</v>
      </c>
      <c r="E1247" t="s">
        <v>23</v>
      </c>
      <c r="F1247">
        <v>42</v>
      </c>
      <c r="G1247" t="s">
        <v>30</v>
      </c>
      <c r="H1247">
        <v>1</v>
      </c>
      <c r="I1247">
        <v>30</v>
      </c>
      <c r="J1247">
        <v>13.5</v>
      </c>
      <c r="K1247">
        <v>30</v>
      </c>
      <c r="L1247">
        <v>16.5</v>
      </c>
      <c r="M1247">
        <v>0.55000000000000004</v>
      </c>
      <c r="N1247" t="s">
        <v>18</v>
      </c>
    </row>
    <row r="1248" spans="1:14">
      <c r="A1248">
        <v>277</v>
      </c>
      <c r="B1248" s="4">
        <v>45110</v>
      </c>
      <c r="C1248" s="5">
        <v>0.92361111111111116</v>
      </c>
      <c r="D1248" t="s">
        <v>104</v>
      </c>
      <c r="E1248" t="s">
        <v>16</v>
      </c>
      <c r="F1248">
        <v>36</v>
      </c>
      <c r="G1248" t="s">
        <v>17</v>
      </c>
      <c r="H1248">
        <v>4</v>
      </c>
      <c r="I1248">
        <v>25</v>
      </c>
      <c r="J1248">
        <v>12.25</v>
      </c>
      <c r="K1248">
        <v>100</v>
      </c>
      <c r="L1248">
        <v>87.75</v>
      </c>
      <c r="M1248">
        <v>0.87749999999999995</v>
      </c>
      <c r="N1248" t="s">
        <v>18</v>
      </c>
    </row>
    <row r="1249" spans="1:14">
      <c r="A1249">
        <v>859</v>
      </c>
      <c r="B1249" s="4">
        <v>44824</v>
      </c>
      <c r="C1249" s="5">
        <v>0.91111111111111109</v>
      </c>
      <c r="D1249" t="s">
        <v>118</v>
      </c>
      <c r="E1249" t="s">
        <v>23</v>
      </c>
      <c r="F1249">
        <v>56</v>
      </c>
      <c r="G1249" t="s">
        <v>30</v>
      </c>
      <c r="H1249">
        <v>3</v>
      </c>
      <c r="I1249">
        <v>500</v>
      </c>
      <c r="J1249">
        <v>190</v>
      </c>
      <c r="K1249">
        <v>1500</v>
      </c>
      <c r="L1249">
        <v>1310</v>
      </c>
      <c r="M1249">
        <v>0.87333333333333329</v>
      </c>
      <c r="N1249" t="s">
        <v>28</v>
      </c>
    </row>
    <row r="1250" spans="1:14">
      <c r="A1250">
        <v>1029</v>
      </c>
      <c r="B1250" s="4">
        <v>45125</v>
      </c>
      <c r="C1250" s="5">
        <v>0.80763888888888891</v>
      </c>
      <c r="D1250" t="s">
        <v>15</v>
      </c>
      <c r="E1250" t="s">
        <v>23</v>
      </c>
      <c r="F1250">
        <v>42</v>
      </c>
      <c r="G1250" t="s">
        <v>30</v>
      </c>
      <c r="H1250">
        <v>1</v>
      </c>
      <c r="I1250">
        <v>30</v>
      </c>
      <c r="J1250">
        <v>12.3</v>
      </c>
      <c r="K1250">
        <v>30</v>
      </c>
      <c r="L1250">
        <v>17.7</v>
      </c>
      <c r="M1250">
        <v>0.59</v>
      </c>
      <c r="N1250" t="s">
        <v>18</v>
      </c>
    </row>
    <row r="1251" spans="1:14">
      <c r="A1251">
        <v>1277</v>
      </c>
      <c r="B1251" s="4">
        <v>45216</v>
      </c>
      <c r="C1251" s="5">
        <v>0.88888888888888884</v>
      </c>
      <c r="D1251" t="s">
        <v>72</v>
      </c>
      <c r="E1251" t="s">
        <v>16</v>
      </c>
      <c r="F1251">
        <v>36</v>
      </c>
      <c r="G1251" t="s">
        <v>17</v>
      </c>
      <c r="H1251">
        <v>4</v>
      </c>
      <c r="I1251">
        <v>25</v>
      </c>
      <c r="J1251">
        <v>12.75</v>
      </c>
      <c r="K1251">
        <v>100</v>
      </c>
      <c r="L1251">
        <v>87.25</v>
      </c>
      <c r="M1251">
        <v>0.87250000000000005</v>
      </c>
      <c r="N1251" t="s">
        <v>18</v>
      </c>
    </row>
    <row r="1252" spans="1:14">
      <c r="A1252">
        <v>1859</v>
      </c>
      <c r="B1252" s="4">
        <v>44818</v>
      </c>
      <c r="C1252" s="5">
        <v>0.87361111111111112</v>
      </c>
      <c r="D1252" t="s">
        <v>146</v>
      </c>
      <c r="E1252" t="s">
        <v>23</v>
      </c>
      <c r="F1252">
        <v>56</v>
      </c>
      <c r="G1252" t="s">
        <v>30</v>
      </c>
      <c r="H1252">
        <v>3</v>
      </c>
      <c r="I1252">
        <v>500</v>
      </c>
      <c r="J1252">
        <v>205</v>
      </c>
      <c r="K1252">
        <v>1500</v>
      </c>
      <c r="L1252">
        <v>1295</v>
      </c>
      <c r="M1252">
        <v>0.86333333333333329</v>
      </c>
      <c r="N1252" t="s">
        <v>28</v>
      </c>
    </row>
    <row r="1253" spans="1:14">
      <c r="A1253">
        <v>638</v>
      </c>
      <c r="B1253" s="4">
        <v>44936</v>
      </c>
      <c r="C1253" s="5">
        <v>0.82777777777777772</v>
      </c>
      <c r="D1253" t="s">
        <v>179</v>
      </c>
      <c r="E1253" t="s">
        <v>16</v>
      </c>
      <c r="F1253">
        <v>46</v>
      </c>
      <c r="G1253" t="s">
        <v>30</v>
      </c>
      <c r="H1253">
        <v>1</v>
      </c>
      <c r="I1253">
        <v>500</v>
      </c>
      <c r="J1253">
        <v>190</v>
      </c>
      <c r="K1253">
        <v>500</v>
      </c>
      <c r="L1253">
        <v>310</v>
      </c>
      <c r="M1253">
        <v>0.62</v>
      </c>
      <c r="N1253" t="s">
        <v>21</v>
      </c>
    </row>
    <row r="1254" spans="1:14">
      <c r="A1254">
        <v>823</v>
      </c>
      <c r="B1254" s="4">
        <v>45263</v>
      </c>
      <c r="C1254" s="5">
        <v>0.73750000000000004</v>
      </c>
      <c r="D1254" t="s">
        <v>32</v>
      </c>
      <c r="E1254" t="s">
        <v>23</v>
      </c>
      <c r="F1254">
        <v>56</v>
      </c>
      <c r="G1254" t="s">
        <v>30</v>
      </c>
      <c r="H1254">
        <v>2</v>
      </c>
      <c r="I1254">
        <v>50</v>
      </c>
      <c r="J1254">
        <v>25</v>
      </c>
      <c r="K1254">
        <v>100</v>
      </c>
      <c r="L1254">
        <v>75</v>
      </c>
      <c r="M1254">
        <v>0.75</v>
      </c>
      <c r="N1254" t="s">
        <v>28</v>
      </c>
    </row>
    <row r="1255" spans="1:14">
      <c r="A1255">
        <v>956</v>
      </c>
      <c r="B1255" s="4">
        <v>45040</v>
      </c>
      <c r="C1255" s="5">
        <v>0.90972222222222221</v>
      </c>
      <c r="D1255" t="s">
        <v>168</v>
      </c>
      <c r="E1255" t="s">
        <v>16</v>
      </c>
      <c r="F1255">
        <v>30</v>
      </c>
      <c r="G1255" t="s">
        <v>17</v>
      </c>
      <c r="H1255">
        <v>3</v>
      </c>
      <c r="I1255">
        <v>500</v>
      </c>
      <c r="J1255">
        <v>135</v>
      </c>
      <c r="K1255">
        <v>1500</v>
      </c>
      <c r="L1255">
        <v>1365</v>
      </c>
      <c r="M1255">
        <v>0.91</v>
      </c>
      <c r="N1255" t="s">
        <v>39</v>
      </c>
    </row>
    <row r="1256" spans="1:14">
      <c r="A1256">
        <v>981</v>
      </c>
      <c r="B1256" s="4">
        <v>44597</v>
      </c>
      <c r="C1256" s="5">
        <v>0.88055555555555554</v>
      </c>
      <c r="D1256" t="s">
        <v>22</v>
      </c>
      <c r="E1256" t="s">
        <v>23</v>
      </c>
      <c r="F1256">
        <v>30</v>
      </c>
      <c r="G1256" t="s">
        <v>30</v>
      </c>
      <c r="H1256">
        <v>2</v>
      </c>
      <c r="I1256">
        <v>30</v>
      </c>
      <c r="J1256">
        <v>12.9</v>
      </c>
      <c r="K1256">
        <v>60</v>
      </c>
      <c r="L1256">
        <v>47.1</v>
      </c>
      <c r="M1256">
        <v>0.78500000000000003</v>
      </c>
      <c r="N1256" t="s">
        <v>39</v>
      </c>
    </row>
    <row r="1257" spans="1:14">
      <c r="A1257">
        <v>1638</v>
      </c>
      <c r="B1257" s="4">
        <v>44786</v>
      </c>
      <c r="C1257" s="5">
        <v>0.7680555555555556</v>
      </c>
      <c r="D1257" t="s">
        <v>96</v>
      </c>
      <c r="E1257" t="s">
        <v>16</v>
      </c>
      <c r="F1257">
        <v>46</v>
      </c>
      <c r="G1257" t="s">
        <v>30</v>
      </c>
      <c r="H1257">
        <v>1</v>
      </c>
      <c r="I1257">
        <v>500</v>
      </c>
      <c r="J1257">
        <v>155</v>
      </c>
      <c r="K1257">
        <v>500</v>
      </c>
      <c r="L1257">
        <v>345</v>
      </c>
      <c r="M1257">
        <v>0.69</v>
      </c>
      <c r="N1257" t="s">
        <v>21</v>
      </c>
    </row>
    <row r="1258" spans="1:14">
      <c r="A1258">
        <v>1823</v>
      </c>
      <c r="B1258" s="4">
        <v>44873</v>
      </c>
      <c r="C1258" s="5">
        <v>0.93611111111111112</v>
      </c>
      <c r="D1258" t="s">
        <v>35</v>
      </c>
      <c r="E1258" t="s">
        <v>23</v>
      </c>
      <c r="F1258">
        <v>56</v>
      </c>
      <c r="G1258" t="s">
        <v>30</v>
      </c>
      <c r="H1258">
        <v>2</v>
      </c>
      <c r="I1258">
        <v>50</v>
      </c>
      <c r="J1258">
        <v>26.5</v>
      </c>
      <c r="K1258">
        <v>100</v>
      </c>
      <c r="L1258">
        <v>73.5</v>
      </c>
      <c r="M1258">
        <v>0.73499999999999999</v>
      </c>
      <c r="N1258" t="s">
        <v>28</v>
      </c>
    </row>
    <row r="1259" spans="1:14">
      <c r="A1259">
        <v>1956</v>
      </c>
      <c r="B1259" s="4">
        <v>45078</v>
      </c>
      <c r="C1259" s="5">
        <v>0.86111111111111116</v>
      </c>
      <c r="D1259" t="s">
        <v>74</v>
      </c>
      <c r="E1259" t="s">
        <v>16</v>
      </c>
      <c r="F1259">
        <v>30</v>
      </c>
      <c r="G1259" t="s">
        <v>17</v>
      </c>
      <c r="H1259">
        <v>3</v>
      </c>
      <c r="I1259">
        <v>500</v>
      </c>
      <c r="J1259">
        <v>170</v>
      </c>
      <c r="K1259">
        <v>1500</v>
      </c>
      <c r="L1259">
        <v>1330</v>
      </c>
      <c r="M1259">
        <v>0.88666666666666671</v>
      </c>
      <c r="N1259" t="s">
        <v>39</v>
      </c>
    </row>
    <row r="1260" spans="1:14">
      <c r="A1260">
        <v>1981</v>
      </c>
      <c r="B1260" s="4">
        <v>44717</v>
      </c>
      <c r="C1260" s="5">
        <v>0.95138888888888884</v>
      </c>
      <c r="D1260" t="s">
        <v>169</v>
      </c>
      <c r="E1260" t="s">
        <v>23</v>
      </c>
      <c r="F1260">
        <v>30</v>
      </c>
      <c r="G1260" t="s">
        <v>30</v>
      </c>
      <c r="H1260">
        <v>2</v>
      </c>
      <c r="I1260">
        <v>30</v>
      </c>
      <c r="J1260">
        <v>11.7</v>
      </c>
      <c r="K1260">
        <v>60</v>
      </c>
      <c r="L1260">
        <v>48.3</v>
      </c>
      <c r="M1260">
        <v>0.80499999999999994</v>
      </c>
      <c r="N1260" t="s">
        <v>39</v>
      </c>
    </row>
    <row r="1261" spans="1:14">
      <c r="A1261">
        <v>219</v>
      </c>
      <c r="B1261" s="4">
        <v>45185</v>
      </c>
      <c r="C1261" s="5">
        <v>0.94027777777777777</v>
      </c>
      <c r="D1261" t="s">
        <v>180</v>
      </c>
      <c r="E1261" t="s">
        <v>23</v>
      </c>
      <c r="F1261">
        <v>53</v>
      </c>
      <c r="G1261" t="s">
        <v>30</v>
      </c>
      <c r="H1261">
        <v>3</v>
      </c>
      <c r="I1261">
        <v>30</v>
      </c>
      <c r="J1261">
        <v>10.199999999999999</v>
      </c>
      <c r="K1261">
        <v>90</v>
      </c>
      <c r="L1261">
        <v>79.8</v>
      </c>
      <c r="M1261">
        <v>0.8866666666666666</v>
      </c>
      <c r="N1261" t="s">
        <v>21</v>
      </c>
    </row>
    <row r="1262" spans="1:14">
      <c r="A1262">
        <v>1219</v>
      </c>
      <c r="B1262" s="4">
        <v>44867</v>
      </c>
      <c r="C1262" s="5">
        <v>0.90763888888888888</v>
      </c>
      <c r="D1262" t="s">
        <v>80</v>
      </c>
      <c r="E1262" t="s">
        <v>23</v>
      </c>
      <c r="F1262">
        <v>53</v>
      </c>
      <c r="G1262" t="s">
        <v>30</v>
      </c>
      <c r="H1262">
        <v>3</v>
      </c>
      <c r="I1262">
        <v>30</v>
      </c>
      <c r="J1262">
        <v>11.1</v>
      </c>
      <c r="K1262">
        <v>90</v>
      </c>
      <c r="L1262">
        <v>78.900000000000006</v>
      </c>
      <c r="M1262">
        <v>0.87666666666666671</v>
      </c>
      <c r="N1262" t="s">
        <v>21</v>
      </c>
    </row>
    <row r="1263" spans="1:14">
      <c r="A1263">
        <v>73</v>
      </c>
      <c r="B1263" s="4">
        <v>44575</v>
      </c>
      <c r="C1263" s="5">
        <v>0.90763888888888888</v>
      </c>
      <c r="D1263" t="s">
        <v>123</v>
      </c>
      <c r="E1263" t="s">
        <v>16</v>
      </c>
      <c r="F1263">
        <v>29</v>
      </c>
      <c r="G1263" t="s">
        <v>30</v>
      </c>
      <c r="H1263">
        <v>3</v>
      </c>
      <c r="I1263">
        <v>30</v>
      </c>
      <c r="J1263">
        <v>9</v>
      </c>
      <c r="K1263">
        <v>90</v>
      </c>
      <c r="L1263">
        <v>81</v>
      </c>
      <c r="M1263">
        <v>0.9</v>
      </c>
      <c r="N1263" t="s">
        <v>39</v>
      </c>
    </row>
    <row r="1264" spans="1:14">
      <c r="A1264">
        <v>162</v>
      </c>
      <c r="B1264" s="4">
        <v>45027</v>
      </c>
      <c r="C1264" s="5">
        <v>0.81736111111111109</v>
      </c>
      <c r="D1264" t="s">
        <v>114</v>
      </c>
      <c r="E1264" t="s">
        <v>16</v>
      </c>
      <c r="F1264">
        <v>39</v>
      </c>
      <c r="G1264" t="s">
        <v>17</v>
      </c>
      <c r="H1264">
        <v>2</v>
      </c>
      <c r="I1264">
        <v>30</v>
      </c>
      <c r="J1264">
        <v>9</v>
      </c>
      <c r="K1264">
        <v>60</v>
      </c>
      <c r="L1264">
        <v>51</v>
      </c>
      <c r="M1264">
        <v>0.85</v>
      </c>
      <c r="N1264" t="s">
        <v>18</v>
      </c>
    </row>
    <row r="1265" spans="1:14">
      <c r="A1265">
        <v>306</v>
      </c>
      <c r="B1265" s="4">
        <v>44565</v>
      </c>
      <c r="C1265" s="5">
        <v>0.92013888888888884</v>
      </c>
      <c r="D1265" t="s">
        <v>147</v>
      </c>
      <c r="E1265" t="s">
        <v>16</v>
      </c>
      <c r="F1265">
        <v>54</v>
      </c>
      <c r="G1265" t="s">
        <v>30</v>
      </c>
      <c r="H1265">
        <v>1</v>
      </c>
      <c r="I1265">
        <v>50</v>
      </c>
      <c r="J1265">
        <v>26.5</v>
      </c>
      <c r="K1265">
        <v>50</v>
      </c>
      <c r="L1265">
        <v>23.5</v>
      </c>
      <c r="M1265">
        <v>0.47</v>
      </c>
      <c r="N1265" t="s">
        <v>21</v>
      </c>
    </row>
    <row r="1266" spans="1:14">
      <c r="A1266">
        <v>725</v>
      </c>
      <c r="B1266" s="4">
        <v>45190</v>
      </c>
      <c r="C1266" s="5">
        <v>0.85555555555555551</v>
      </c>
      <c r="D1266" t="s">
        <v>124</v>
      </c>
      <c r="E1266" t="s">
        <v>16</v>
      </c>
      <c r="F1266">
        <v>61</v>
      </c>
      <c r="G1266" t="s">
        <v>30</v>
      </c>
      <c r="H1266">
        <v>1</v>
      </c>
      <c r="I1266">
        <v>300</v>
      </c>
      <c r="J1266">
        <v>153</v>
      </c>
      <c r="K1266">
        <v>300</v>
      </c>
      <c r="L1266">
        <v>147</v>
      </c>
      <c r="M1266">
        <v>0.49</v>
      </c>
      <c r="N1266" t="s">
        <v>28</v>
      </c>
    </row>
    <row r="1267" spans="1:14">
      <c r="A1267">
        <v>880</v>
      </c>
      <c r="B1267" s="4">
        <v>45195</v>
      </c>
      <c r="C1267" s="5">
        <v>0.84236111111111112</v>
      </c>
      <c r="D1267" t="s">
        <v>138</v>
      </c>
      <c r="E1267" t="s">
        <v>16</v>
      </c>
      <c r="F1267">
        <v>22</v>
      </c>
      <c r="G1267" t="s">
        <v>20</v>
      </c>
      <c r="H1267">
        <v>2</v>
      </c>
      <c r="I1267">
        <v>500</v>
      </c>
      <c r="J1267">
        <v>175</v>
      </c>
      <c r="K1267">
        <v>1000</v>
      </c>
      <c r="L1267">
        <v>825</v>
      </c>
      <c r="M1267">
        <v>0.82499999999999996</v>
      </c>
      <c r="N1267" t="s">
        <v>31</v>
      </c>
    </row>
    <row r="1268" spans="1:14">
      <c r="A1268">
        <v>992</v>
      </c>
      <c r="B1268" s="4">
        <v>45214</v>
      </c>
      <c r="C1268" s="5">
        <v>0.81527777777777777</v>
      </c>
      <c r="D1268" t="s">
        <v>136</v>
      </c>
      <c r="E1268" t="s">
        <v>23</v>
      </c>
      <c r="F1268">
        <v>57</v>
      </c>
      <c r="G1268" t="s">
        <v>30</v>
      </c>
      <c r="H1268">
        <v>2</v>
      </c>
      <c r="I1268">
        <v>30</v>
      </c>
      <c r="J1268">
        <v>7.8</v>
      </c>
      <c r="K1268">
        <v>60</v>
      </c>
      <c r="L1268">
        <v>52.2</v>
      </c>
      <c r="M1268">
        <v>0.87</v>
      </c>
      <c r="N1268" t="s">
        <v>28</v>
      </c>
    </row>
    <row r="1269" spans="1:14">
      <c r="A1269">
        <v>1073</v>
      </c>
      <c r="B1269" s="4">
        <v>44613</v>
      </c>
      <c r="C1269" s="5">
        <v>0.76111111111111107</v>
      </c>
      <c r="D1269" t="s">
        <v>43</v>
      </c>
      <c r="E1269" t="s">
        <v>16</v>
      </c>
      <c r="F1269">
        <v>29</v>
      </c>
      <c r="G1269" t="s">
        <v>30</v>
      </c>
      <c r="H1269">
        <v>3</v>
      </c>
      <c r="I1269">
        <v>30</v>
      </c>
      <c r="J1269">
        <v>15.3</v>
      </c>
      <c r="K1269">
        <v>90</v>
      </c>
      <c r="L1269">
        <v>74.7</v>
      </c>
      <c r="M1269">
        <v>0.83000000000000007</v>
      </c>
      <c r="N1269" t="s">
        <v>39</v>
      </c>
    </row>
    <row r="1270" spans="1:14">
      <c r="A1270">
        <v>1162</v>
      </c>
      <c r="B1270" s="4">
        <v>44755</v>
      </c>
      <c r="C1270" s="5">
        <v>0.71388888888888891</v>
      </c>
      <c r="D1270" t="s">
        <v>58</v>
      </c>
      <c r="E1270" t="s">
        <v>16</v>
      </c>
      <c r="F1270">
        <v>39</v>
      </c>
      <c r="G1270" t="s">
        <v>17</v>
      </c>
      <c r="H1270">
        <v>2</v>
      </c>
      <c r="I1270">
        <v>30</v>
      </c>
      <c r="J1270">
        <v>12.6</v>
      </c>
      <c r="K1270">
        <v>60</v>
      </c>
      <c r="L1270">
        <v>47.4</v>
      </c>
      <c r="M1270">
        <v>0.78999999999999992</v>
      </c>
      <c r="N1270" t="s">
        <v>18</v>
      </c>
    </row>
    <row r="1271" spans="1:14">
      <c r="A1271">
        <v>1306</v>
      </c>
      <c r="B1271" s="4">
        <v>45241</v>
      </c>
      <c r="C1271" s="5">
        <v>0.87291666666666667</v>
      </c>
      <c r="D1271" t="s">
        <v>106</v>
      </c>
      <c r="E1271" t="s">
        <v>16</v>
      </c>
      <c r="F1271">
        <v>54</v>
      </c>
      <c r="G1271" t="s">
        <v>30</v>
      </c>
      <c r="H1271">
        <v>1</v>
      </c>
      <c r="I1271">
        <v>50</v>
      </c>
      <c r="J1271">
        <v>18.5</v>
      </c>
      <c r="K1271">
        <v>50</v>
      </c>
      <c r="L1271">
        <v>31.5</v>
      </c>
      <c r="M1271">
        <v>0.63</v>
      </c>
      <c r="N1271" t="s">
        <v>21</v>
      </c>
    </row>
    <row r="1272" spans="1:14">
      <c r="A1272">
        <v>1725</v>
      </c>
      <c r="B1272" s="4">
        <v>44697</v>
      </c>
      <c r="C1272" s="5">
        <v>0.87638888888888888</v>
      </c>
      <c r="D1272" t="s">
        <v>162</v>
      </c>
      <c r="E1272" t="s">
        <v>16</v>
      </c>
      <c r="F1272">
        <v>61</v>
      </c>
      <c r="G1272" t="s">
        <v>30</v>
      </c>
      <c r="H1272">
        <v>1</v>
      </c>
      <c r="I1272">
        <v>300</v>
      </c>
      <c r="J1272">
        <v>105</v>
      </c>
      <c r="K1272">
        <v>300</v>
      </c>
      <c r="L1272">
        <v>195</v>
      </c>
      <c r="M1272">
        <v>0.65</v>
      </c>
      <c r="N1272" t="s">
        <v>28</v>
      </c>
    </row>
    <row r="1273" spans="1:14">
      <c r="A1273">
        <v>1880</v>
      </c>
      <c r="B1273" s="4">
        <v>45091</v>
      </c>
      <c r="C1273" s="5">
        <v>0.8354166666666667</v>
      </c>
      <c r="D1273" t="s">
        <v>96</v>
      </c>
      <c r="E1273" t="s">
        <v>16</v>
      </c>
      <c r="F1273">
        <v>22</v>
      </c>
      <c r="G1273" t="s">
        <v>20</v>
      </c>
      <c r="H1273">
        <v>2</v>
      </c>
      <c r="I1273">
        <v>500</v>
      </c>
      <c r="J1273">
        <v>175</v>
      </c>
      <c r="K1273">
        <v>1000</v>
      </c>
      <c r="L1273">
        <v>825</v>
      </c>
      <c r="M1273">
        <v>0.82499999999999996</v>
      </c>
      <c r="N1273" t="s">
        <v>31</v>
      </c>
    </row>
    <row r="1274" spans="1:14">
      <c r="A1274">
        <v>1992</v>
      </c>
      <c r="B1274" s="4">
        <v>45065</v>
      </c>
      <c r="C1274" s="5">
        <v>0.89930555555555558</v>
      </c>
      <c r="D1274" t="s">
        <v>144</v>
      </c>
      <c r="E1274" t="s">
        <v>23</v>
      </c>
      <c r="F1274">
        <v>57</v>
      </c>
      <c r="G1274" t="s">
        <v>30</v>
      </c>
      <c r="H1274">
        <v>2</v>
      </c>
      <c r="I1274">
        <v>30</v>
      </c>
      <c r="J1274">
        <v>8.6999999999999993</v>
      </c>
      <c r="K1274">
        <v>60</v>
      </c>
      <c r="L1274">
        <v>51.3</v>
      </c>
      <c r="M1274">
        <v>0.85499999999999998</v>
      </c>
      <c r="N1274" t="s">
        <v>28</v>
      </c>
    </row>
    <row r="1275" spans="1:14">
      <c r="A1275">
        <v>597</v>
      </c>
      <c r="B1275" s="4">
        <v>44866</v>
      </c>
      <c r="C1275" s="5">
        <v>0.81180555555555556</v>
      </c>
      <c r="D1275" t="s">
        <v>176</v>
      </c>
      <c r="E1275" t="s">
        <v>16</v>
      </c>
      <c r="F1275">
        <v>22</v>
      </c>
      <c r="G1275" t="s">
        <v>20</v>
      </c>
      <c r="H1275">
        <v>4</v>
      </c>
      <c r="I1275">
        <v>300</v>
      </c>
      <c r="J1275">
        <v>111</v>
      </c>
      <c r="K1275">
        <v>1200</v>
      </c>
      <c r="L1275">
        <v>1089</v>
      </c>
      <c r="M1275">
        <v>0.90749999999999997</v>
      </c>
      <c r="N1275" t="s">
        <v>31</v>
      </c>
    </row>
    <row r="1276" spans="1:14">
      <c r="A1276">
        <v>622</v>
      </c>
      <c r="B1276" s="4">
        <v>44850</v>
      </c>
      <c r="C1276" s="5">
        <v>0.91666666666666663</v>
      </c>
      <c r="D1276" t="s">
        <v>133</v>
      </c>
      <c r="E1276" t="s">
        <v>23</v>
      </c>
      <c r="F1276">
        <v>49</v>
      </c>
      <c r="G1276" t="s">
        <v>20</v>
      </c>
      <c r="H1276">
        <v>3</v>
      </c>
      <c r="I1276">
        <v>25</v>
      </c>
      <c r="J1276">
        <v>6.25</v>
      </c>
      <c r="K1276">
        <v>75</v>
      </c>
      <c r="L1276">
        <v>68.75</v>
      </c>
      <c r="M1276">
        <v>0.91666666666666663</v>
      </c>
      <c r="N1276" t="s">
        <v>21</v>
      </c>
    </row>
    <row r="1277" spans="1:14">
      <c r="A1277">
        <v>1597</v>
      </c>
      <c r="B1277" s="4">
        <v>45166</v>
      </c>
      <c r="C1277" s="5">
        <v>0.76458333333333328</v>
      </c>
      <c r="D1277" t="s">
        <v>146</v>
      </c>
      <c r="E1277" t="s">
        <v>16</v>
      </c>
      <c r="F1277">
        <v>22</v>
      </c>
      <c r="G1277" t="s">
        <v>20</v>
      </c>
      <c r="H1277">
        <v>4</v>
      </c>
      <c r="I1277">
        <v>300</v>
      </c>
      <c r="J1277">
        <v>78</v>
      </c>
      <c r="K1277">
        <v>1200</v>
      </c>
      <c r="L1277">
        <v>1122</v>
      </c>
      <c r="M1277">
        <v>0.93500000000000005</v>
      </c>
      <c r="N1277" t="s">
        <v>31</v>
      </c>
    </row>
    <row r="1278" spans="1:14">
      <c r="A1278">
        <v>1622</v>
      </c>
      <c r="B1278" s="4">
        <v>45038</v>
      </c>
      <c r="C1278" s="5">
        <v>0.89444444444444449</v>
      </c>
      <c r="D1278" t="s">
        <v>29</v>
      </c>
      <c r="E1278" t="s">
        <v>23</v>
      </c>
      <c r="F1278">
        <v>49</v>
      </c>
      <c r="G1278" t="s">
        <v>20</v>
      </c>
      <c r="H1278">
        <v>3</v>
      </c>
      <c r="I1278">
        <v>25</v>
      </c>
      <c r="J1278">
        <v>11.75</v>
      </c>
      <c r="K1278">
        <v>75</v>
      </c>
      <c r="L1278">
        <v>63.25</v>
      </c>
      <c r="M1278">
        <v>0.84333333333333338</v>
      </c>
      <c r="N1278" t="s">
        <v>21</v>
      </c>
    </row>
    <row r="1279" spans="1:14">
      <c r="A1279">
        <v>116</v>
      </c>
      <c r="B1279" s="4">
        <v>45099</v>
      </c>
      <c r="C1279" s="5">
        <v>0.83611111111111114</v>
      </c>
      <c r="D1279" t="s">
        <v>35</v>
      </c>
      <c r="E1279" t="s">
        <v>23</v>
      </c>
      <c r="F1279">
        <v>23</v>
      </c>
      <c r="G1279" t="s">
        <v>17</v>
      </c>
      <c r="H1279">
        <v>1</v>
      </c>
      <c r="I1279">
        <v>30</v>
      </c>
      <c r="J1279">
        <v>15</v>
      </c>
      <c r="K1279">
        <v>30</v>
      </c>
      <c r="L1279">
        <v>15</v>
      </c>
      <c r="M1279">
        <v>0.5</v>
      </c>
      <c r="N1279" t="s">
        <v>31</v>
      </c>
    </row>
    <row r="1280" spans="1:14">
      <c r="A1280">
        <v>364</v>
      </c>
      <c r="B1280" s="4">
        <v>44719</v>
      </c>
      <c r="C1280" s="5">
        <v>0.79583333333333328</v>
      </c>
      <c r="D1280" t="s">
        <v>45</v>
      </c>
      <c r="E1280" t="s">
        <v>23</v>
      </c>
      <c r="F1280">
        <v>19</v>
      </c>
      <c r="G1280" t="s">
        <v>20</v>
      </c>
      <c r="H1280">
        <v>1</v>
      </c>
      <c r="I1280">
        <v>500</v>
      </c>
      <c r="J1280">
        <v>200</v>
      </c>
      <c r="K1280">
        <v>500</v>
      </c>
      <c r="L1280">
        <v>300</v>
      </c>
      <c r="M1280">
        <v>0.6</v>
      </c>
      <c r="N1280" t="s">
        <v>31</v>
      </c>
    </row>
    <row r="1281" spans="1:14">
      <c r="A1281">
        <v>368</v>
      </c>
      <c r="B1281" s="4">
        <v>44957</v>
      </c>
      <c r="C1281" s="5">
        <v>0.88263888888888886</v>
      </c>
      <c r="D1281" t="s">
        <v>78</v>
      </c>
      <c r="E1281" t="s">
        <v>23</v>
      </c>
      <c r="F1281">
        <v>56</v>
      </c>
      <c r="G1281" t="s">
        <v>17</v>
      </c>
      <c r="H1281">
        <v>4</v>
      </c>
      <c r="I1281">
        <v>300</v>
      </c>
      <c r="J1281">
        <v>132</v>
      </c>
      <c r="K1281">
        <v>1200</v>
      </c>
      <c r="L1281">
        <v>1068</v>
      </c>
      <c r="M1281">
        <v>0.89</v>
      </c>
      <c r="N1281" t="s">
        <v>28</v>
      </c>
    </row>
    <row r="1282" spans="1:14">
      <c r="A1282">
        <v>1116</v>
      </c>
      <c r="B1282" s="4">
        <v>44788</v>
      </c>
      <c r="C1282" s="5">
        <v>0.93472222222222223</v>
      </c>
      <c r="D1282" t="s">
        <v>61</v>
      </c>
      <c r="E1282" t="s">
        <v>23</v>
      </c>
      <c r="F1282">
        <v>23</v>
      </c>
      <c r="G1282" t="s">
        <v>17</v>
      </c>
      <c r="H1282">
        <v>1</v>
      </c>
      <c r="I1282">
        <v>30</v>
      </c>
      <c r="J1282">
        <v>12.3</v>
      </c>
      <c r="K1282">
        <v>30</v>
      </c>
      <c r="L1282">
        <v>17.7</v>
      </c>
      <c r="M1282">
        <v>0.59</v>
      </c>
      <c r="N1282" t="s">
        <v>31</v>
      </c>
    </row>
    <row r="1283" spans="1:14">
      <c r="A1283">
        <v>1364</v>
      </c>
      <c r="B1283" s="4">
        <v>45192</v>
      </c>
      <c r="C1283" s="5">
        <v>0.71111111111111114</v>
      </c>
      <c r="D1283" t="s">
        <v>62</v>
      </c>
      <c r="E1283" t="s">
        <v>23</v>
      </c>
      <c r="F1283">
        <v>19</v>
      </c>
      <c r="G1283" t="s">
        <v>20</v>
      </c>
      <c r="H1283">
        <v>1</v>
      </c>
      <c r="I1283">
        <v>500</v>
      </c>
      <c r="J1283">
        <v>250</v>
      </c>
      <c r="K1283">
        <v>500</v>
      </c>
      <c r="L1283">
        <v>250</v>
      </c>
      <c r="M1283">
        <v>0.5</v>
      </c>
      <c r="N1283" t="s">
        <v>31</v>
      </c>
    </row>
    <row r="1284" spans="1:14">
      <c r="A1284">
        <v>1368</v>
      </c>
      <c r="B1284" s="4">
        <v>44628</v>
      </c>
      <c r="C1284" s="5">
        <v>0.89513888888888893</v>
      </c>
      <c r="D1284" t="s">
        <v>61</v>
      </c>
      <c r="E1284" t="s">
        <v>23</v>
      </c>
      <c r="F1284">
        <v>56</v>
      </c>
      <c r="G1284" t="s">
        <v>17</v>
      </c>
      <c r="H1284">
        <v>4</v>
      </c>
      <c r="I1284">
        <v>300</v>
      </c>
      <c r="J1284">
        <v>132</v>
      </c>
      <c r="K1284">
        <v>1200</v>
      </c>
      <c r="L1284">
        <v>1068</v>
      </c>
      <c r="M1284">
        <v>0.89</v>
      </c>
      <c r="N1284" t="s">
        <v>28</v>
      </c>
    </row>
    <row r="1285" spans="1:14">
      <c r="A1285">
        <v>50</v>
      </c>
      <c r="B1285" s="4">
        <v>44649</v>
      </c>
      <c r="C1285" s="5">
        <v>0.78541666666666665</v>
      </c>
      <c r="D1285" t="s">
        <v>67</v>
      </c>
      <c r="E1285" t="s">
        <v>23</v>
      </c>
      <c r="F1285">
        <v>27</v>
      </c>
      <c r="G1285" t="s">
        <v>20</v>
      </c>
      <c r="H1285">
        <v>3</v>
      </c>
      <c r="I1285">
        <v>25</v>
      </c>
      <c r="J1285">
        <v>10.5</v>
      </c>
      <c r="K1285">
        <v>75</v>
      </c>
      <c r="L1285">
        <v>64.5</v>
      </c>
      <c r="M1285">
        <v>0.86</v>
      </c>
      <c r="N1285" t="s">
        <v>39</v>
      </c>
    </row>
    <row r="1286" spans="1:14">
      <c r="A1286">
        <v>479</v>
      </c>
      <c r="B1286" s="4">
        <v>44868</v>
      </c>
      <c r="C1286" s="5">
        <v>0.89930555555555558</v>
      </c>
      <c r="D1286" t="s">
        <v>78</v>
      </c>
      <c r="E1286" t="s">
        <v>16</v>
      </c>
      <c r="F1286">
        <v>52</v>
      </c>
      <c r="G1286" t="s">
        <v>30</v>
      </c>
      <c r="H1286">
        <v>4</v>
      </c>
      <c r="I1286">
        <v>300</v>
      </c>
      <c r="J1286">
        <v>105</v>
      </c>
      <c r="K1286">
        <v>1200</v>
      </c>
      <c r="L1286">
        <v>1095</v>
      </c>
      <c r="M1286">
        <v>0.91249999999999998</v>
      </c>
      <c r="N1286" t="s">
        <v>21</v>
      </c>
    </row>
    <row r="1287" spans="1:14">
      <c r="A1287">
        <v>804</v>
      </c>
      <c r="B1287" s="4">
        <v>45271</v>
      </c>
      <c r="C1287" s="5">
        <v>0.71666666666666667</v>
      </c>
      <c r="D1287" t="s">
        <v>149</v>
      </c>
      <c r="E1287" t="s">
        <v>16</v>
      </c>
      <c r="F1287">
        <v>42</v>
      </c>
      <c r="G1287" t="s">
        <v>30</v>
      </c>
      <c r="H1287">
        <v>1</v>
      </c>
      <c r="I1287">
        <v>30</v>
      </c>
      <c r="J1287">
        <v>10.8</v>
      </c>
      <c r="K1287">
        <v>30</v>
      </c>
      <c r="L1287">
        <v>19.2</v>
      </c>
      <c r="M1287">
        <v>0.64</v>
      </c>
      <c r="N1287" t="s">
        <v>18</v>
      </c>
    </row>
    <row r="1288" spans="1:14">
      <c r="A1288">
        <v>1050</v>
      </c>
      <c r="B1288" s="4">
        <v>44905</v>
      </c>
      <c r="C1288" s="5">
        <v>0.84375</v>
      </c>
      <c r="D1288" t="s">
        <v>70</v>
      </c>
      <c r="E1288" t="s">
        <v>23</v>
      </c>
      <c r="F1288">
        <v>27</v>
      </c>
      <c r="G1288" t="s">
        <v>20</v>
      </c>
      <c r="H1288">
        <v>3</v>
      </c>
      <c r="I1288">
        <v>25</v>
      </c>
      <c r="J1288">
        <v>11.25</v>
      </c>
      <c r="K1288">
        <v>75</v>
      </c>
      <c r="L1288">
        <v>63.75</v>
      </c>
      <c r="M1288">
        <v>0.85</v>
      </c>
      <c r="N1288" t="s">
        <v>39</v>
      </c>
    </row>
    <row r="1289" spans="1:14">
      <c r="A1289">
        <v>1479</v>
      </c>
      <c r="B1289" s="4">
        <v>44712</v>
      </c>
      <c r="C1289" s="5">
        <v>0.93333333333333335</v>
      </c>
      <c r="D1289" t="s">
        <v>171</v>
      </c>
      <c r="E1289" t="s">
        <v>16</v>
      </c>
      <c r="F1289">
        <v>52</v>
      </c>
      <c r="G1289" t="s">
        <v>30</v>
      </c>
      <c r="H1289">
        <v>4</v>
      </c>
      <c r="I1289">
        <v>300</v>
      </c>
      <c r="J1289">
        <v>162</v>
      </c>
      <c r="K1289">
        <v>1200</v>
      </c>
      <c r="L1289">
        <v>1038</v>
      </c>
      <c r="M1289">
        <v>0.86499999999999999</v>
      </c>
      <c r="N1289" t="s">
        <v>21</v>
      </c>
    </row>
    <row r="1290" spans="1:14">
      <c r="A1290">
        <v>1804</v>
      </c>
      <c r="B1290" s="4">
        <v>44936</v>
      </c>
      <c r="C1290" s="5">
        <v>0.94861111111111107</v>
      </c>
      <c r="D1290" t="s">
        <v>145</v>
      </c>
      <c r="E1290" t="s">
        <v>16</v>
      </c>
      <c r="F1290">
        <v>42</v>
      </c>
      <c r="G1290" t="s">
        <v>30</v>
      </c>
      <c r="H1290">
        <v>1</v>
      </c>
      <c r="I1290">
        <v>30</v>
      </c>
      <c r="J1290">
        <v>14.7</v>
      </c>
      <c r="K1290">
        <v>30</v>
      </c>
      <c r="L1290">
        <v>15.3</v>
      </c>
      <c r="M1290">
        <v>0.51</v>
      </c>
      <c r="N1290" t="s">
        <v>18</v>
      </c>
    </row>
    <row r="1291" spans="1:14">
      <c r="A1291">
        <v>92</v>
      </c>
      <c r="B1291" s="4">
        <v>44641</v>
      </c>
      <c r="C1291" s="5">
        <v>0.82013888888888886</v>
      </c>
      <c r="D1291" t="s">
        <v>121</v>
      </c>
      <c r="E1291" t="s">
        <v>23</v>
      </c>
      <c r="F1291">
        <v>51</v>
      </c>
      <c r="G1291" t="s">
        <v>30</v>
      </c>
      <c r="H1291">
        <v>4</v>
      </c>
      <c r="I1291">
        <v>30</v>
      </c>
      <c r="J1291">
        <v>8.6999999999999993</v>
      </c>
      <c r="K1291">
        <v>120</v>
      </c>
      <c r="L1291">
        <v>111.3</v>
      </c>
      <c r="M1291">
        <v>0.92749999999999999</v>
      </c>
      <c r="N1291" t="s">
        <v>21</v>
      </c>
    </row>
    <row r="1292" spans="1:14">
      <c r="A1292">
        <v>282</v>
      </c>
      <c r="B1292" s="4">
        <v>45204</v>
      </c>
      <c r="C1292" s="5">
        <v>0.73541666666666672</v>
      </c>
      <c r="D1292" t="s">
        <v>121</v>
      </c>
      <c r="E1292" t="s">
        <v>23</v>
      </c>
      <c r="F1292">
        <v>64</v>
      </c>
      <c r="G1292" t="s">
        <v>30</v>
      </c>
      <c r="H1292">
        <v>4</v>
      </c>
      <c r="I1292">
        <v>50</v>
      </c>
      <c r="J1292">
        <v>56</v>
      </c>
      <c r="K1292">
        <v>200</v>
      </c>
      <c r="L1292">
        <v>144</v>
      </c>
      <c r="M1292">
        <v>0.72</v>
      </c>
      <c r="N1292" t="s">
        <v>28</v>
      </c>
    </row>
    <row r="1293" spans="1:14">
      <c r="A1293">
        <v>718</v>
      </c>
      <c r="B1293" s="4">
        <v>45232</v>
      </c>
      <c r="C1293" s="5">
        <v>0.85069444444444442</v>
      </c>
      <c r="D1293" t="s">
        <v>179</v>
      </c>
      <c r="E1293" t="s">
        <v>23</v>
      </c>
      <c r="F1293">
        <v>59</v>
      </c>
      <c r="G1293" t="s">
        <v>20</v>
      </c>
      <c r="H1293">
        <v>3</v>
      </c>
      <c r="I1293">
        <v>25</v>
      </c>
      <c r="J1293">
        <v>25</v>
      </c>
      <c r="K1293">
        <v>75</v>
      </c>
      <c r="L1293">
        <v>50</v>
      </c>
      <c r="M1293">
        <v>0.66666666666666663</v>
      </c>
      <c r="N1293" t="s">
        <v>28</v>
      </c>
    </row>
    <row r="1294" spans="1:14">
      <c r="A1294">
        <v>1092</v>
      </c>
      <c r="B1294" s="4">
        <v>44684</v>
      </c>
      <c r="C1294" s="5">
        <v>0.84375</v>
      </c>
      <c r="D1294" t="s">
        <v>35</v>
      </c>
      <c r="E1294" t="s">
        <v>23</v>
      </c>
      <c r="F1294">
        <v>51</v>
      </c>
      <c r="G1294" t="s">
        <v>30</v>
      </c>
      <c r="H1294">
        <v>4</v>
      </c>
      <c r="I1294">
        <v>30</v>
      </c>
      <c r="J1294">
        <v>31.5</v>
      </c>
      <c r="K1294">
        <v>120</v>
      </c>
      <c r="L1294">
        <v>88.5</v>
      </c>
      <c r="M1294">
        <v>0.73750000000000004</v>
      </c>
      <c r="N1294" t="s">
        <v>21</v>
      </c>
    </row>
    <row r="1295" spans="1:14">
      <c r="A1295">
        <v>1282</v>
      </c>
      <c r="B1295" s="4">
        <v>44977</v>
      </c>
      <c r="C1295" s="5">
        <v>0.83680555555555558</v>
      </c>
      <c r="D1295" t="s">
        <v>66</v>
      </c>
      <c r="E1295" t="s">
        <v>23</v>
      </c>
      <c r="F1295">
        <v>64</v>
      </c>
      <c r="G1295" t="s">
        <v>30</v>
      </c>
      <c r="H1295">
        <v>4</v>
      </c>
      <c r="I1295">
        <v>50</v>
      </c>
      <c r="J1295">
        <v>48.5</v>
      </c>
      <c r="K1295">
        <v>200</v>
      </c>
      <c r="L1295">
        <v>151.5</v>
      </c>
      <c r="M1295">
        <v>0.75749999999999995</v>
      </c>
      <c r="N1295" t="s">
        <v>28</v>
      </c>
    </row>
    <row r="1296" spans="1:14">
      <c r="A1296">
        <v>1718</v>
      </c>
      <c r="B1296" s="4">
        <v>45224</v>
      </c>
      <c r="C1296" s="5">
        <v>0.79374999999999996</v>
      </c>
      <c r="D1296" t="s">
        <v>87</v>
      </c>
      <c r="E1296" t="s">
        <v>23</v>
      </c>
      <c r="F1296">
        <v>59</v>
      </c>
      <c r="G1296" t="s">
        <v>20</v>
      </c>
      <c r="H1296">
        <v>3</v>
      </c>
      <c r="I1296">
        <v>25</v>
      </c>
      <c r="J1296">
        <v>25.5</v>
      </c>
      <c r="K1296">
        <v>75</v>
      </c>
      <c r="L1296">
        <v>49.5</v>
      </c>
      <c r="M1296">
        <v>0.66</v>
      </c>
      <c r="N1296" t="s">
        <v>28</v>
      </c>
    </row>
    <row r="1297" spans="1:14">
      <c r="A1297">
        <v>617</v>
      </c>
      <c r="B1297" s="4">
        <v>44779</v>
      </c>
      <c r="C1297" s="5">
        <v>0.8</v>
      </c>
      <c r="D1297" t="s">
        <v>152</v>
      </c>
      <c r="E1297" t="s">
        <v>16</v>
      </c>
      <c r="F1297">
        <v>34</v>
      </c>
      <c r="G1297" t="s">
        <v>30</v>
      </c>
      <c r="H1297">
        <v>1</v>
      </c>
      <c r="I1297">
        <v>30</v>
      </c>
      <c r="J1297">
        <v>28.5</v>
      </c>
      <c r="K1297">
        <v>30</v>
      </c>
      <c r="L1297">
        <v>1.5</v>
      </c>
      <c r="M1297">
        <v>0.05</v>
      </c>
      <c r="N1297" t="s">
        <v>39</v>
      </c>
    </row>
    <row r="1298" spans="1:14">
      <c r="A1298">
        <v>624</v>
      </c>
      <c r="B1298" s="4">
        <v>44597</v>
      </c>
      <c r="C1298" s="5">
        <v>0.79722222222222228</v>
      </c>
      <c r="D1298" t="s">
        <v>25</v>
      </c>
      <c r="E1298" t="s">
        <v>23</v>
      </c>
      <c r="F1298">
        <v>34</v>
      </c>
      <c r="G1298" t="s">
        <v>20</v>
      </c>
      <c r="H1298">
        <v>3</v>
      </c>
      <c r="I1298">
        <v>300</v>
      </c>
      <c r="J1298">
        <v>342</v>
      </c>
      <c r="K1298">
        <v>900</v>
      </c>
      <c r="L1298">
        <v>558</v>
      </c>
      <c r="M1298">
        <v>0.62</v>
      </c>
      <c r="N1298" t="s">
        <v>39</v>
      </c>
    </row>
    <row r="1299" spans="1:14">
      <c r="A1299">
        <v>825</v>
      </c>
      <c r="B1299" s="4">
        <v>44569</v>
      </c>
      <c r="C1299" s="5">
        <v>0.7270833333333333</v>
      </c>
      <c r="D1299" t="s">
        <v>97</v>
      </c>
      <c r="E1299" t="s">
        <v>23</v>
      </c>
      <c r="F1299">
        <v>46</v>
      </c>
      <c r="G1299" t="s">
        <v>20</v>
      </c>
      <c r="H1299">
        <v>1</v>
      </c>
      <c r="I1299">
        <v>25</v>
      </c>
      <c r="J1299">
        <v>27.25</v>
      </c>
      <c r="K1299">
        <v>25</v>
      </c>
      <c r="L1299">
        <v>-2.25</v>
      </c>
      <c r="M1299">
        <v>-0.09</v>
      </c>
      <c r="N1299" t="s">
        <v>21</v>
      </c>
    </row>
    <row r="1300" spans="1:14">
      <c r="A1300">
        <v>1617</v>
      </c>
      <c r="B1300" s="4">
        <v>44682</v>
      </c>
      <c r="C1300" s="5">
        <v>0.71458333333333335</v>
      </c>
      <c r="D1300" t="s">
        <v>55</v>
      </c>
      <c r="E1300" t="s">
        <v>16</v>
      </c>
      <c r="F1300">
        <v>34</v>
      </c>
      <c r="G1300" t="s">
        <v>30</v>
      </c>
      <c r="H1300">
        <v>1</v>
      </c>
      <c r="I1300">
        <v>30</v>
      </c>
      <c r="J1300">
        <v>35.1</v>
      </c>
      <c r="K1300">
        <v>30</v>
      </c>
      <c r="L1300">
        <v>-5.1000000000000014</v>
      </c>
      <c r="M1300">
        <v>-0.17000000000000004</v>
      </c>
      <c r="N1300" t="s">
        <v>39</v>
      </c>
    </row>
    <row r="1301" spans="1:14">
      <c r="A1301">
        <v>1624</v>
      </c>
      <c r="B1301" s="4">
        <v>44883</v>
      </c>
      <c r="C1301" s="5">
        <v>0.8666666666666667</v>
      </c>
      <c r="D1301" t="s">
        <v>126</v>
      </c>
      <c r="E1301" t="s">
        <v>23</v>
      </c>
      <c r="F1301">
        <v>34</v>
      </c>
      <c r="G1301" t="s">
        <v>20</v>
      </c>
      <c r="H1301">
        <v>3</v>
      </c>
      <c r="I1301">
        <v>300</v>
      </c>
      <c r="J1301">
        <v>363</v>
      </c>
      <c r="K1301">
        <v>900</v>
      </c>
      <c r="L1301">
        <v>537</v>
      </c>
      <c r="M1301">
        <v>0.59666666666666668</v>
      </c>
      <c r="N1301" t="s">
        <v>39</v>
      </c>
    </row>
    <row r="1302" spans="1:14">
      <c r="A1302">
        <v>1825</v>
      </c>
      <c r="B1302" s="4">
        <v>45168</v>
      </c>
      <c r="C1302" s="5">
        <v>0.77361111111111114</v>
      </c>
      <c r="D1302" t="s">
        <v>127</v>
      </c>
      <c r="E1302" t="s">
        <v>23</v>
      </c>
      <c r="F1302">
        <v>46</v>
      </c>
      <c r="G1302" t="s">
        <v>20</v>
      </c>
      <c r="H1302">
        <v>1</v>
      </c>
      <c r="I1302">
        <v>25</v>
      </c>
      <c r="J1302">
        <v>27</v>
      </c>
      <c r="K1302">
        <v>25</v>
      </c>
      <c r="L1302">
        <v>-2</v>
      </c>
      <c r="M1302">
        <v>-0.08</v>
      </c>
      <c r="N1302" t="s">
        <v>21</v>
      </c>
    </row>
    <row r="1303" spans="1:14">
      <c r="A1303">
        <v>568</v>
      </c>
      <c r="B1303" s="4">
        <v>45149</v>
      </c>
      <c r="C1303" s="5">
        <v>0.8354166666666667</v>
      </c>
      <c r="D1303" t="s">
        <v>146</v>
      </c>
      <c r="E1303" t="s">
        <v>23</v>
      </c>
      <c r="F1303">
        <v>51</v>
      </c>
      <c r="G1303" t="s">
        <v>30</v>
      </c>
      <c r="H1303">
        <v>1</v>
      </c>
      <c r="I1303">
        <v>300</v>
      </c>
      <c r="J1303">
        <v>372</v>
      </c>
      <c r="K1303">
        <v>300</v>
      </c>
      <c r="L1303">
        <v>-72</v>
      </c>
      <c r="M1303">
        <v>-0.24</v>
      </c>
      <c r="N1303" t="s">
        <v>21</v>
      </c>
    </row>
    <row r="1304" spans="1:14">
      <c r="A1304">
        <v>671</v>
      </c>
      <c r="B1304" s="4">
        <v>45192</v>
      </c>
      <c r="C1304" s="5">
        <v>0.82708333333333328</v>
      </c>
      <c r="D1304" t="s">
        <v>124</v>
      </c>
      <c r="E1304" t="s">
        <v>16</v>
      </c>
      <c r="F1304">
        <v>62</v>
      </c>
      <c r="G1304" t="s">
        <v>30</v>
      </c>
      <c r="H1304">
        <v>3</v>
      </c>
      <c r="I1304">
        <v>50</v>
      </c>
      <c r="J1304">
        <v>61.5</v>
      </c>
      <c r="K1304">
        <v>150</v>
      </c>
      <c r="L1304">
        <v>88.5</v>
      </c>
      <c r="M1304">
        <v>0.59</v>
      </c>
      <c r="N1304" t="s">
        <v>28</v>
      </c>
    </row>
    <row r="1305" spans="1:14">
      <c r="A1305">
        <v>756</v>
      </c>
      <c r="B1305" s="4">
        <v>45124</v>
      </c>
      <c r="C1305" s="5">
        <v>0.85624999999999996</v>
      </c>
      <c r="D1305" t="s">
        <v>159</v>
      </c>
      <c r="E1305" t="s">
        <v>23</v>
      </c>
      <c r="F1305">
        <v>62</v>
      </c>
      <c r="G1305" t="s">
        <v>30</v>
      </c>
      <c r="H1305">
        <v>4</v>
      </c>
      <c r="I1305">
        <v>300</v>
      </c>
      <c r="J1305">
        <v>333</v>
      </c>
      <c r="K1305">
        <v>1200</v>
      </c>
      <c r="L1305">
        <v>867</v>
      </c>
      <c r="M1305">
        <v>0.72250000000000003</v>
      </c>
      <c r="N1305" t="s">
        <v>28</v>
      </c>
    </row>
    <row r="1306" spans="1:14">
      <c r="A1306">
        <v>815</v>
      </c>
      <c r="B1306" s="4">
        <v>45021</v>
      </c>
      <c r="C1306" s="5">
        <v>0.88541666666666663</v>
      </c>
      <c r="D1306" t="s">
        <v>104</v>
      </c>
      <c r="E1306" t="s">
        <v>23</v>
      </c>
      <c r="F1306">
        <v>51</v>
      </c>
      <c r="G1306" t="s">
        <v>17</v>
      </c>
      <c r="H1306">
        <v>3</v>
      </c>
      <c r="I1306">
        <v>25</v>
      </c>
      <c r="J1306">
        <v>23.75</v>
      </c>
      <c r="K1306">
        <v>75</v>
      </c>
      <c r="L1306">
        <v>51.25</v>
      </c>
      <c r="M1306">
        <v>0.68333333333333335</v>
      </c>
      <c r="N1306" t="s">
        <v>21</v>
      </c>
    </row>
    <row r="1307" spans="1:14">
      <c r="A1307">
        <v>1568</v>
      </c>
      <c r="B1307" s="4">
        <v>44843</v>
      </c>
      <c r="C1307" s="5">
        <v>0.94027777777777777</v>
      </c>
      <c r="D1307" t="s">
        <v>97</v>
      </c>
      <c r="E1307" t="s">
        <v>23</v>
      </c>
      <c r="F1307">
        <v>51</v>
      </c>
      <c r="G1307" t="s">
        <v>30</v>
      </c>
      <c r="H1307">
        <v>1</v>
      </c>
      <c r="I1307">
        <v>300</v>
      </c>
      <c r="J1307">
        <v>336</v>
      </c>
      <c r="K1307">
        <v>300</v>
      </c>
      <c r="L1307">
        <v>-36</v>
      </c>
      <c r="M1307">
        <v>-0.12</v>
      </c>
      <c r="N1307" t="s">
        <v>21</v>
      </c>
    </row>
    <row r="1308" spans="1:14">
      <c r="A1308">
        <v>1671</v>
      </c>
      <c r="B1308" s="4">
        <v>44985</v>
      </c>
      <c r="C1308" s="5">
        <v>0.87152777777777779</v>
      </c>
      <c r="D1308" t="s">
        <v>84</v>
      </c>
      <c r="E1308" t="s">
        <v>16</v>
      </c>
      <c r="F1308">
        <v>62</v>
      </c>
      <c r="G1308" t="s">
        <v>30</v>
      </c>
      <c r="H1308">
        <v>3</v>
      </c>
      <c r="I1308">
        <v>50</v>
      </c>
      <c r="J1308">
        <v>62.5</v>
      </c>
      <c r="K1308">
        <v>150</v>
      </c>
      <c r="L1308">
        <v>87.5</v>
      </c>
      <c r="M1308">
        <v>0.58333333333333337</v>
      </c>
      <c r="N1308" t="s">
        <v>28</v>
      </c>
    </row>
    <row r="1309" spans="1:14">
      <c r="A1309">
        <v>1756</v>
      </c>
      <c r="B1309" s="4">
        <v>44693</v>
      </c>
      <c r="C1309" s="5">
        <v>0.92777777777777781</v>
      </c>
      <c r="D1309" t="s">
        <v>122</v>
      </c>
      <c r="E1309" t="s">
        <v>23</v>
      </c>
      <c r="F1309">
        <v>62</v>
      </c>
      <c r="G1309" t="s">
        <v>30</v>
      </c>
      <c r="H1309">
        <v>4</v>
      </c>
      <c r="I1309">
        <v>300</v>
      </c>
      <c r="J1309">
        <v>297</v>
      </c>
      <c r="K1309">
        <v>1200</v>
      </c>
      <c r="L1309">
        <v>903</v>
      </c>
      <c r="M1309">
        <v>0.75249999999999995</v>
      </c>
      <c r="N1309" t="s">
        <v>28</v>
      </c>
    </row>
    <row r="1310" spans="1:14">
      <c r="A1310">
        <v>1815</v>
      </c>
      <c r="B1310" s="4">
        <v>45070</v>
      </c>
      <c r="C1310" s="5">
        <v>0.92986111111111114</v>
      </c>
      <c r="D1310" t="s">
        <v>33</v>
      </c>
      <c r="E1310" t="s">
        <v>23</v>
      </c>
      <c r="F1310">
        <v>51</v>
      </c>
      <c r="G1310" t="s">
        <v>17</v>
      </c>
      <c r="H1310">
        <v>3</v>
      </c>
      <c r="I1310">
        <v>25</v>
      </c>
      <c r="J1310">
        <v>30.5</v>
      </c>
      <c r="K1310">
        <v>75</v>
      </c>
      <c r="L1310">
        <v>44.5</v>
      </c>
      <c r="M1310">
        <v>0.59333333333333338</v>
      </c>
      <c r="N1310" t="s">
        <v>21</v>
      </c>
    </row>
    <row r="1311" spans="1:14">
      <c r="A1311">
        <v>146</v>
      </c>
      <c r="B1311" s="4">
        <v>44875</v>
      </c>
      <c r="C1311" s="5">
        <v>0.91736111111111107</v>
      </c>
      <c r="D1311" t="s">
        <v>145</v>
      </c>
      <c r="E1311" t="s">
        <v>16</v>
      </c>
      <c r="F1311">
        <v>38</v>
      </c>
      <c r="G1311" t="s">
        <v>17</v>
      </c>
      <c r="H1311">
        <v>4</v>
      </c>
      <c r="I1311">
        <v>50</v>
      </c>
      <c r="J1311">
        <v>49</v>
      </c>
      <c r="K1311">
        <v>200</v>
      </c>
      <c r="L1311">
        <v>151</v>
      </c>
      <c r="M1311">
        <v>0.755</v>
      </c>
      <c r="N1311" t="s">
        <v>18</v>
      </c>
    </row>
    <row r="1312" spans="1:14">
      <c r="A1312">
        <v>263</v>
      </c>
      <c r="B1312" s="4">
        <v>44685</v>
      </c>
      <c r="C1312" s="5">
        <v>0.90833333333333333</v>
      </c>
      <c r="D1312" t="s">
        <v>164</v>
      </c>
      <c r="E1312" t="s">
        <v>16</v>
      </c>
      <c r="F1312">
        <v>23</v>
      </c>
      <c r="G1312" t="s">
        <v>20</v>
      </c>
      <c r="H1312">
        <v>2</v>
      </c>
      <c r="I1312">
        <v>30</v>
      </c>
      <c r="J1312">
        <v>34.799999999999997</v>
      </c>
      <c r="K1312">
        <v>60</v>
      </c>
      <c r="L1312">
        <v>25.200000000000003</v>
      </c>
      <c r="M1312">
        <v>0.42000000000000004</v>
      </c>
      <c r="N1312" t="s">
        <v>31</v>
      </c>
    </row>
    <row r="1313" spans="1:14">
      <c r="A1313">
        <v>704</v>
      </c>
      <c r="B1313" s="4">
        <v>45180</v>
      </c>
      <c r="C1313" s="5">
        <v>0.94444444444444442</v>
      </c>
      <c r="D1313" t="s">
        <v>154</v>
      </c>
      <c r="E1313" t="s">
        <v>23</v>
      </c>
      <c r="F1313">
        <v>62</v>
      </c>
      <c r="G1313" t="s">
        <v>17</v>
      </c>
      <c r="H1313">
        <v>3</v>
      </c>
      <c r="I1313">
        <v>30</v>
      </c>
      <c r="J1313">
        <v>34.799999999999997</v>
      </c>
      <c r="K1313">
        <v>90</v>
      </c>
      <c r="L1313">
        <v>55.2</v>
      </c>
      <c r="M1313">
        <v>0.6133333333333334</v>
      </c>
      <c r="N1313" t="s">
        <v>28</v>
      </c>
    </row>
    <row r="1314" spans="1:14">
      <c r="A1314">
        <v>1146</v>
      </c>
      <c r="B1314" s="4">
        <v>45208</v>
      </c>
      <c r="C1314" s="5">
        <v>0.88263888888888886</v>
      </c>
      <c r="D1314" t="s">
        <v>19</v>
      </c>
      <c r="E1314" t="s">
        <v>16</v>
      </c>
      <c r="F1314">
        <v>38</v>
      </c>
      <c r="G1314" t="s">
        <v>17</v>
      </c>
      <c r="H1314">
        <v>4</v>
      </c>
      <c r="I1314">
        <v>50</v>
      </c>
      <c r="J1314">
        <v>60</v>
      </c>
      <c r="K1314">
        <v>200</v>
      </c>
      <c r="L1314">
        <v>140</v>
      </c>
      <c r="M1314">
        <v>0.7</v>
      </c>
      <c r="N1314" t="s">
        <v>18</v>
      </c>
    </row>
    <row r="1315" spans="1:14">
      <c r="A1315">
        <v>1263</v>
      </c>
      <c r="B1315" s="4">
        <v>44811</v>
      </c>
      <c r="C1315" s="5">
        <v>0.86736111111111114</v>
      </c>
      <c r="D1315" t="s">
        <v>84</v>
      </c>
      <c r="E1315" t="s">
        <v>16</v>
      </c>
      <c r="F1315">
        <v>23</v>
      </c>
      <c r="G1315" t="s">
        <v>20</v>
      </c>
      <c r="H1315">
        <v>2</v>
      </c>
      <c r="I1315">
        <v>30</v>
      </c>
      <c r="J1315">
        <v>35.4</v>
      </c>
      <c r="K1315">
        <v>60</v>
      </c>
      <c r="L1315">
        <v>24.6</v>
      </c>
      <c r="M1315">
        <v>0.41000000000000003</v>
      </c>
      <c r="N1315" t="s">
        <v>31</v>
      </c>
    </row>
    <row r="1316" spans="1:14">
      <c r="A1316">
        <v>1704</v>
      </c>
      <c r="B1316" s="4">
        <v>44820</v>
      </c>
      <c r="C1316" s="5">
        <v>0.83819444444444446</v>
      </c>
      <c r="D1316" t="s">
        <v>133</v>
      </c>
      <c r="E1316" t="s">
        <v>23</v>
      </c>
      <c r="F1316">
        <v>62</v>
      </c>
      <c r="G1316" t="s">
        <v>17</v>
      </c>
      <c r="H1316">
        <v>3</v>
      </c>
      <c r="I1316">
        <v>30</v>
      </c>
      <c r="J1316">
        <v>30.3</v>
      </c>
      <c r="K1316">
        <v>90</v>
      </c>
      <c r="L1316">
        <v>59.7</v>
      </c>
      <c r="M1316">
        <v>0.66333333333333333</v>
      </c>
      <c r="N1316" t="s">
        <v>28</v>
      </c>
    </row>
    <row r="1317" spans="1:14">
      <c r="A1317">
        <v>476</v>
      </c>
      <c r="B1317" s="4">
        <v>45272</v>
      </c>
      <c r="C1317" s="5">
        <v>0.77152777777777781</v>
      </c>
      <c r="D1317" t="s">
        <v>161</v>
      </c>
      <c r="E1317" t="s">
        <v>23</v>
      </c>
      <c r="F1317">
        <v>27</v>
      </c>
      <c r="G1317" t="s">
        <v>17</v>
      </c>
      <c r="H1317">
        <v>4</v>
      </c>
      <c r="I1317">
        <v>500</v>
      </c>
      <c r="J1317">
        <v>570</v>
      </c>
      <c r="K1317">
        <v>2000</v>
      </c>
      <c r="L1317">
        <v>1430</v>
      </c>
      <c r="M1317">
        <v>0.71499999999999997</v>
      </c>
      <c r="N1317" t="s">
        <v>39</v>
      </c>
    </row>
    <row r="1318" spans="1:14">
      <c r="A1318">
        <v>733</v>
      </c>
      <c r="B1318" s="4">
        <v>44859</v>
      </c>
      <c r="C1318" s="5">
        <v>0.87986111111111109</v>
      </c>
      <c r="D1318" t="s">
        <v>102</v>
      </c>
      <c r="E1318" t="s">
        <v>16</v>
      </c>
      <c r="F1318">
        <v>34</v>
      </c>
      <c r="G1318" t="s">
        <v>20</v>
      </c>
      <c r="H1318">
        <v>1</v>
      </c>
      <c r="I1318">
        <v>30</v>
      </c>
      <c r="J1318">
        <v>28.5</v>
      </c>
      <c r="K1318">
        <v>30</v>
      </c>
      <c r="L1318">
        <v>1.5</v>
      </c>
      <c r="M1318">
        <v>0.05</v>
      </c>
      <c r="N1318" t="s">
        <v>39</v>
      </c>
    </row>
    <row r="1319" spans="1:14">
      <c r="A1319">
        <v>924</v>
      </c>
      <c r="B1319" s="4">
        <v>44821</v>
      </c>
      <c r="C1319" s="5">
        <v>0.9291666666666667</v>
      </c>
      <c r="D1319" t="s">
        <v>132</v>
      </c>
      <c r="E1319" t="s">
        <v>16</v>
      </c>
      <c r="F1319">
        <v>55</v>
      </c>
      <c r="G1319" t="s">
        <v>20</v>
      </c>
      <c r="H1319">
        <v>2</v>
      </c>
      <c r="I1319">
        <v>50</v>
      </c>
      <c r="J1319">
        <v>55</v>
      </c>
      <c r="K1319">
        <v>100</v>
      </c>
      <c r="L1319">
        <v>45</v>
      </c>
      <c r="M1319">
        <v>0.45</v>
      </c>
      <c r="N1319" t="s">
        <v>21</v>
      </c>
    </row>
    <row r="1320" spans="1:14">
      <c r="A1320">
        <v>984</v>
      </c>
      <c r="B1320" s="4">
        <v>45250</v>
      </c>
      <c r="C1320" s="5">
        <v>0.81180555555555556</v>
      </c>
      <c r="D1320" t="s">
        <v>174</v>
      </c>
      <c r="E1320" t="s">
        <v>16</v>
      </c>
      <c r="F1320">
        <v>56</v>
      </c>
      <c r="G1320" t="s">
        <v>17</v>
      </c>
      <c r="H1320">
        <v>1</v>
      </c>
      <c r="I1320">
        <v>500</v>
      </c>
      <c r="J1320">
        <v>480</v>
      </c>
      <c r="K1320">
        <v>500</v>
      </c>
      <c r="L1320">
        <v>20</v>
      </c>
      <c r="M1320">
        <v>0.04</v>
      </c>
      <c r="N1320" t="s">
        <v>28</v>
      </c>
    </row>
    <row r="1321" spans="1:14">
      <c r="A1321">
        <v>1476</v>
      </c>
      <c r="B1321" s="4">
        <v>44876</v>
      </c>
      <c r="C1321" s="5">
        <v>0.93541666666666667</v>
      </c>
      <c r="D1321" t="s">
        <v>51</v>
      </c>
      <c r="E1321" t="s">
        <v>23</v>
      </c>
      <c r="F1321">
        <v>27</v>
      </c>
      <c r="G1321" t="s">
        <v>17</v>
      </c>
      <c r="H1321">
        <v>4</v>
      </c>
      <c r="I1321">
        <v>500</v>
      </c>
      <c r="J1321">
        <v>555</v>
      </c>
      <c r="K1321">
        <v>2000</v>
      </c>
      <c r="L1321">
        <v>1445</v>
      </c>
      <c r="M1321">
        <v>0.72250000000000003</v>
      </c>
      <c r="N1321" t="s">
        <v>39</v>
      </c>
    </row>
    <row r="1322" spans="1:14">
      <c r="A1322">
        <v>1733</v>
      </c>
      <c r="B1322" s="4">
        <v>45172</v>
      </c>
      <c r="C1322" s="5">
        <v>0.86944444444444446</v>
      </c>
      <c r="D1322" t="s">
        <v>108</v>
      </c>
      <c r="E1322" t="s">
        <v>16</v>
      </c>
      <c r="F1322">
        <v>34</v>
      </c>
      <c r="G1322" t="s">
        <v>20</v>
      </c>
      <c r="H1322">
        <v>1</v>
      </c>
      <c r="I1322">
        <v>30</v>
      </c>
      <c r="J1322">
        <v>36.6</v>
      </c>
      <c r="K1322">
        <v>30</v>
      </c>
      <c r="L1322">
        <v>-6.6000000000000014</v>
      </c>
      <c r="M1322">
        <v>-0.22000000000000006</v>
      </c>
      <c r="N1322" t="s">
        <v>39</v>
      </c>
    </row>
    <row r="1323" spans="1:14">
      <c r="A1323">
        <v>1924</v>
      </c>
      <c r="B1323" s="4">
        <v>44893</v>
      </c>
      <c r="C1323" s="5">
        <v>0.93402777777777779</v>
      </c>
      <c r="D1323" t="s">
        <v>148</v>
      </c>
      <c r="E1323" t="s">
        <v>16</v>
      </c>
      <c r="F1323">
        <v>55</v>
      </c>
      <c r="G1323" t="s">
        <v>20</v>
      </c>
      <c r="H1323">
        <v>2</v>
      </c>
      <c r="I1323">
        <v>50</v>
      </c>
      <c r="J1323">
        <v>54.5</v>
      </c>
      <c r="K1323">
        <v>100</v>
      </c>
      <c r="L1323">
        <v>45.5</v>
      </c>
      <c r="M1323">
        <v>0.45500000000000002</v>
      </c>
      <c r="N1323" t="s">
        <v>21</v>
      </c>
    </row>
    <row r="1324" spans="1:14">
      <c r="A1324">
        <v>1984</v>
      </c>
      <c r="B1324" s="4">
        <v>45178</v>
      </c>
      <c r="C1324" s="5">
        <v>0.84027777777777779</v>
      </c>
      <c r="D1324" t="s">
        <v>175</v>
      </c>
      <c r="E1324" t="s">
        <v>16</v>
      </c>
      <c r="F1324">
        <v>56</v>
      </c>
      <c r="G1324" t="s">
        <v>17</v>
      </c>
      <c r="H1324">
        <v>1</v>
      </c>
      <c r="I1324">
        <v>500</v>
      </c>
      <c r="J1324">
        <v>530</v>
      </c>
      <c r="K1324">
        <v>500</v>
      </c>
      <c r="L1324">
        <v>-30</v>
      </c>
      <c r="M1324">
        <v>-0.06</v>
      </c>
      <c r="N1324" t="s">
        <v>28</v>
      </c>
    </row>
    <row r="1325" spans="1:14">
      <c r="A1325">
        <v>251</v>
      </c>
      <c r="B1325" s="4">
        <v>44819</v>
      </c>
      <c r="C1325" s="5">
        <v>0.875</v>
      </c>
      <c r="D1325" t="s">
        <v>154</v>
      </c>
      <c r="E1325" t="s">
        <v>23</v>
      </c>
      <c r="F1325">
        <v>57</v>
      </c>
      <c r="G1325" t="s">
        <v>20</v>
      </c>
      <c r="H1325">
        <v>4</v>
      </c>
      <c r="I1325">
        <v>50</v>
      </c>
      <c r="J1325">
        <v>62.5</v>
      </c>
      <c r="K1325">
        <v>200</v>
      </c>
      <c r="L1325">
        <v>137.5</v>
      </c>
      <c r="M1325">
        <v>0.6875</v>
      </c>
      <c r="N1325" t="s">
        <v>28</v>
      </c>
    </row>
    <row r="1326" spans="1:14">
      <c r="A1326">
        <v>253</v>
      </c>
      <c r="B1326" s="4">
        <v>44834</v>
      </c>
      <c r="C1326" s="5">
        <v>0.8930555555555556</v>
      </c>
      <c r="D1326" t="s">
        <v>32</v>
      </c>
      <c r="E1326" t="s">
        <v>23</v>
      </c>
      <c r="F1326">
        <v>53</v>
      </c>
      <c r="G1326" t="s">
        <v>17</v>
      </c>
      <c r="H1326">
        <v>4</v>
      </c>
      <c r="I1326">
        <v>500</v>
      </c>
      <c r="J1326">
        <v>525</v>
      </c>
      <c r="K1326">
        <v>2000</v>
      </c>
      <c r="L1326">
        <v>1475</v>
      </c>
      <c r="M1326">
        <v>0.73750000000000004</v>
      </c>
      <c r="N1326" t="s">
        <v>21</v>
      </c>
    </row>
    <row r="1327" spans="1:14">
      <c r="A1327">
        <v>574</v>
      </c>
      <c r="B1327" s="4">
        <v>45186</v>
      </c>
      <c r="C1327" s="5">
        <v>0.84166666666666667</v>
      </c>
      <c r="D1327" t="s">
        <v>70</v>
      </c>
      <c r="E1327" t="s">
        <v>23</v>
      </c>
      <c r="F1327">
        <v>63</v>
      </c>
      <c r="G1327" t="s">
        <v>30</v>
      </c>
      <c r="H1327">
        <v>2</v>
      </c>
      <c r="I1327">
        <v>25</v>
      </c>
      <c r="J1327">
        <v>24.75</v>
      </c>
      <c r="K1327">
        <v>50</v>
      </c>
      <c r="L1327">
        <v>25.25</v>
      </c>
      <c r="M1327">
        <v>0.505</v>
      </c>
      <c r="N1327" t="s">
        <v>28</v>
      </c>
    </row>
    <row r="1328" spans="1:14">
      <c r="A1328">
        <v>751</v>
      </c>
      <c r="B1328" s="4">
        <v>45238</v>
      </c>
      <c r="C1328" s="5">
        <v>0.83194444444444449</v>
      </c>
      <c r="D1328" t="s">
        <v>63</v>
      </c>
      <c r="E1328" t="s">
        <v>23</v>
      </c>
      <c r="F1328">
        <v>42</v>
      </c>
      <c r="G1328" t="s">
        <v>17</v>
      </c>
      <c r="H1328">
        <v>2</v>
      </c>
      <c r="I1328">
        <v>25</v>
      </c>
      <c r="J1328">
        <v>24.75</v>
      </c>
      <c r="K1328">
        <v>50</v>
      </c>
      <c r="L1328">
        <v>25.25</v>
      </c>
      <c r="M1328">
        <v>0.505</v>
      </c>
      <c r="N1328" t="s">
        <v>18</v>
      </c>
    </row>
    <row r="1329" spans="1:14">
      <c r="A1329">
        <v>871</v>
      </c>
      <c r="B1329" s="4">
        <v>45232</v>
      </c>
      <c r="C1329" s="5">
        <v>0.95833333333333337</v>
      </c>
      <c r="D1329" t="s">
        <v>64</v>
      </c>
      <c r="E1329" t="s">
        <v>16</v>
      </c>
      <c r="F1329">
        <v>62</v>
      </c>
      <c r="G1329" t="s">
        <v>20</v>
      </c>
      <c r="H1329">
        <v>2</v>
      </c>
      <c r="I1329">
        <v>30</v>
      </c>
      <c r="J1329">
        <v>33.9</v>
      </c>
      <c r="K1329">
        <v>60</v>
      </c>
      <c r="L1329">
        <v>26.1</v>
      </c>
      <c r="M1329">
        <v>0.435</v>
      </c>
      <c r="N1329" t="s">
        <v>28</v>
      </c>
    </row>
    <row r="1330" spans="1:14">
      <c r="A1330">
        <v>1251</v>
      </c>
      <c r="B1330" s="4">
        <v>44815</v>
      </c>
      <c r="C1330" s="5">
        <v>0.88055555555555554</v>
      </c>
      <c r="D1330" t="s">
        <v>38</v>
      </c>
      <c r="E1330" t="s">
        <v>23</v>
      </c>
      <c r="F1330">
        <v>57</v>
      </c>
      <c r="G1330" t="s">
        <v>20</v>
      </c>
      <c r="H1330">
        <v>4</v>
      </c>
      <c r="I1330">
        <v>50</v>
      </c>
      <c r="J1330">
        <v>57.5</v>
      </c>
      <c r="K1330">
        <v>200</v>
      </c>
      <c r="L1330">
        <v>142.5</v>
      </c>
      <c r="M1330">
        <v>0.71250000000000002</v>
      </c>
      <c r="N1330" t="s">
        <v>28</v>
      </c>
    </row>
    <row r="1331" spans="1:14">
      <c r="A1331">
        <v>1253</v>
      </c>
      <c r="B1331" s="4">
        <v>45263</v>
      </c>
      <c r="C1331" s="5">
        <v>0.83194444444444449</v>
      </c>
      <c r="D1331" t="s">
        <v>171</v>
      </c>
      <c r="E1331" t="s">
        <v>23</v>
      </c>
      <c r="F1331">
        <v>53</v>
      </c>
      <c r="G1331" t="s">
        <v>17</v>
      </c>
      <c r="H1331">
        <v>4</v>
      </c>
      <c r="I1331">
        <v>500</v>
      </c>
      <c r="J1331">
        <v>605</v>
      </c>
      <c r="K1331">
        <v>2000</v>
      </c>
      <c r="L1331">
        <v>1395</v>
      </c>
      <c r="M1331">
        <v>0.69750000000000001</v>
      </c>
      <c r="N1331" t="s">
        <v>21</v>
      </c>
    </row>
    <row r="1332" spans="1:14">
      <c r="A1332">
        <v>1574</v>
      </c>
      <c r="B1332" s="4">
        <v>44860</v>
      </c>
      <c r="C1332" s="5">
        <v>0.91041666666666665</v>
      </c>
      <c r="D1332" t="s">
        <v>41</v>
      </c>
      <c r="E1332" t="s">
        <v>23</v>
      </c>
      <c r="F1332">
        <v>63</v>
      </c>
      <c r="G1332" t="s">
        <v>30</v>
      </c>
      <c r="H1332">
        <v>2</v>
      </c>
      <c r="I1332">
        <v>25</v>
      </c>
      <c r="J1332">
        <v>24.75</v>
      </c>
      <c r="K1332">
        <v>50</v>
      </c>
      <c r="L1332">
        <v>25.25</v>
      </c>
      <c r="M1332">
        <v>0.505</v>
      </c>
      <c r="N1332" t="s">
        <v>28</v>
      </c>
    </row>
    <row r="1333" spans="1:14">
      <c r="A1333">
        <v>1751</v>
      </c>
      <c r="B1333" s="4">
        <v>45287</v>
      </c>
      <c r="C1333" s="5">
        <v>0.92291666666666672</v>
      </c>
      <c r="D1333" t="s">
        <v>149</v>
      </c>
      <c r="E1333" t="s">
        <v>23</v>
      </c>
      <c r="F1333">
        <v>42</v>
      </c>
      <c r="G1333" t="s">
        <v>17</v>
      </c>
      <c r="H1333">
        <v>2</v>
      </c>
      <c r="I1333">
        <v>25</v>
      </c>
      <c r="J1333">
        <v>30.25</v>
      </c>
      <c r="K1333">
        <v>50</v>
      </c>
      <c r="L1333">
        <v>19.75</v>
      </c>
      <c r="M1333">
        <v>0.39500000000000002</v>
      </c>
      <c r="N1333" t="s">
        <v>18</v>
      </c>
    </row>
    <row r="1334" spans="1:14">
      <c r="A1334">
        <v>1871</v>
      </c>
      <c r="B1334" s="4">
        <v>44830</v>
      </c>
      <c r="C1334" s="5">
        <v>0.77708333333333335</v>
      </c>
      <c r="D1334" t="s">
        <v>77</v>
      </c>
      <c r="E1334" t="s">
        <v>16</v>
      </c>
      <c r="F1334">
        <v>62</v>
      </c>
      <c r="G1334" t="s">
        <v>20</v>
      </c>
      <c r="H1334">
        <v>2</v>
      </c>
      <c r="I1334">
        <v>30</v>
      </c>
      <c r="J1334">
        <v>30.6</v>
      </c>
      <c r="K1334">
        <v>60</v>
      </c>
      <c r="L1334">
        <v>29.4</v>
      </c>
      <c r="M1334">
        <v>0.49</v>
      </c>
      <c r="N1334" t="s">
        <v>28</v>
      </c>
    </row>
    <row r="1335" spans="1:14">
      <c r="A1335">
        <v>200</v>
      </c>
      <c r="B1335" s="4">
        <v>44843</v>
      </c>
      <c r="C1335" s="5">
        <v>0.93680555555555556</v>
      </c>
      <c r="D1335" t="s">
        <v>51</v>
      </c>
      <c r="E1335" t="s">
        <v>16</v>
      </c>
      <c r="F1335">
        <v>27</v>
      </c>
      <c r="G1335" t="s">
        <v>20</v>
      </c>
      <c r="H1335">
        <v>3</v>
      </c>
      <c r="I1335">
        <v>50</v>
      </c>
      <c r="J1335">
        <v>60</v>
      </c>
      <c r="K1335">
        <v>150</v>
      </c>
      <c r="L1335">
        <v>90</v>
      </c>
      <c r="M1335">
        <v>0.6</v>
      </c>
      <c r="N1335" t="s">
        <v>39</v>
      </c>
    </row>
    <row r="1336" spans="1:14">
      <c r="A1336">
        <v>594</v>
      </c>
      <c r="B1336" s="4">
        <v>45176</v>
      </c>
      <c r="C1336" s="5">
        <v>0.90902777777777777</v>
      </c>
      <c r="D1336" t="s">
        <v>62</v>
      </c>
      <c r="E1336" t="s">
        <v>23</v>
      </c>
      <c r="F1336">
        <v>19</v>
      </c>
      <c r="G1336" t="s">
        <v>30</v>
      </c>
      <c r="H1336">
        <v>2</v>
      </c>
      <c r="I1336">
        <v>300</v>
      </c>
      <c r="J1336">
        <v>291</v>
      </c>
      <c r="K1336">
        <v>600</v>
      </c>
      <c r="L1336">
        <v>309</v>
      </c>
      <c r="M1336">
        <v>0.51500000000000001</v>
      </c>
      <c r="N1336" t="s">
        <v>31</v>
      </c>
    </row>
    <row r="1337" spans="1:14">
      <c r="A1337">
        <v>637</v>
      </c>
      <c r="B1337" s="4">
        <v>44897</v>
      </c>
      <c r="C1337" s="5">
        <v>0.78749999999999998</v>
      </c>
      <c r="D1337" t="s">
        <v>129</v>
      </c>
      <c r="E1337" t="s">
        <v>16</v>
      </c>
      <c r="F1337">
        <v>43</v>
      </c>
      <c r="G1337" t="s">
        <v>17</v>
      </c>
      <c r="H1337">
        <v>2</v>
      </c>
      <c r="I1337">
        <v>300</v>
      </c>
      <c r="J1337">
        <v>321</v>
      </c>
      <c r="K1337">
        <v>600</v>
      </c>
      <c r="L1337">
        <v>279</v>
      </c>
      <c r="M1337">
        <v>0.46500000000000002</v>
      </c>
      <c r="N1337" t="s">
        <v>18</v>
      </c>
    </row>
    <row r="1338" spans="1:14">
      <c r="A1338">
        <v>855</v>
      </c>
      <c r="B1338" s="4">
        <v>44886</v>
      </c>
      <c r="C1338" s="5">
        <v>0.82152777777777775</v>
      </c>
      <c r="D1338" t="s">
        <v>120</v>
      </c>
      <c r="E1338" t="s">
        <v>16</v>
      </c>
      <c r="F1338">
        <v>54</v>
      </c>
      <c r="G1338" t="s">
        <v>20</v>
      </c>
      <c r="H1338">
        <v>1</v>
      </c>
      <c r="I1338">
        <v>25</v>
      </c>
      <c r="J1338">
        <v>25.75</v>
      </c>
      <c r="K1338">
        <v>25</v>
      </c>
      <c r="L1338">
        <v>-0.75</v>
      </c>
      <c r="M1338">
        <v>-0.03</v>
      </c>
      <c r="N1338" t="s">
        <v>21</v>
      </c>
    </row>
    <row r="1339" spans="1:14">
      <c r="A1339">
        <v>1200</v>
      </c>
      <c r="B1339" s="4">
        <v>45217</v>
      </c>
      <c r="C1339" s="5">
        <v>0.7944444444444444</v>
      </c>
      <c r="D1339" t="s">
        <v>87</v>
      </c>
      <c r="E1339" t="s">
        <v>16</v>
      </c>
      <c r="F1339">
        <v>27</v>
      </c>
      <c r="G1339" t="s">
        <v>20</v>
      </c>
      <c r="H1339">
        <v>3</v>
      </c>
      <c r="I1339">
        <v>50</v>
      </c>
      <c r="J1339">
        <v>54.5</v>
      </c>
      <c r="K1339">
        <v>150</v>
      </c>
      <c r="L1339">
        <v>95.5</v>
      </c>
      <c r="M1339">
        <v>0.63666666666666671</v>
      </c>
      <c r="N1339" t="s">
        <v>39</v>
      </c>
    </row>
    <row r="1340" spans="1:14">
      <c r="A1340">
        <v>1594</v>
      </c>
      <c r="B1340" s="4">
        <v>45200</v>
      </c>
      <c r="C1340" s="5">
        <v>0.79305555555555551</v>
      </c>
      <c r="D1340" t="s">
        <v>99</v>
      </c>
      <c r="E1340" t="s">
        <v>23</v>
      </c>
      <c r="F1340">
        <v>19</v>
      </c>
      <c r="G1340" t="s">
        <v>30</v>
      </c>
      <c r="H1340">
        <v>2</v>
      </c>
      <c r="I1340">
        <v>300</v>
      </c>
      <c r="J1340">
        <v>345</v>
      </c>
      <c r="K1340">
        <v>600</v>
      </c>
      <c r="L1340">
        <v>255</v>
      </c>
      <c r="M1340">
        <v>0.42499999999999999</v>
      </c>
      <c r="N1340" t="s">
        <v>31</v>
      </c>
    </row>
    <row r="1341" spans="1:14">
      <c r="A1341">
        <v>1637</v>
      </c>
      <c r="B1341" s="4">
        <v>44859</v>
      </c>
      <c r="C1341" s="5">
        <v>0.86805555555555558</v>
      </c>
      <c r="D1341" t="s">
        <v>111</v>
      </c>
      <c r="E1341" t="s">
        <v>16</v>
      </c>
      <c r="F1341">
        <v>43</v>
      </c>
      <c r="G1341" t="s">
        <v>17</v>
      </c>
      <c r="H1341">
        <v>2</v>
      </c>
      <c r="I1341">
        <v>300</v>
      </c>
      <c r="J1341">
        <v>297</v>
      </c>
      <c r="K1341">
        <v>600</v>
      </c>
      <c r="L1341">
        <v>303</v>
      </c>
      <c r="M1341">
        <v>0.505</v>
      </c>
      <c r="N1341" t="s">
        <v>18</v>
      </c>
    </row>
    <row r="1342" spans="1:14">
      <c r="A1342">
        <v>1855</v>
      </c>
      <c r="B1342" s="4">
        <v>45287</v>
      </c>
      <c r="C1342" s="5">
        <v>0.88541666666666663</v>
      </c>
      <c r="D1342" t="s">
        <v>76</v>
      </c>
      <c r="E1342" t="s">
        <v>16</v>
      </c>
      <c r="F1342">
        <v>54</v>
      </c>
      <c r="G1342" t="s">
        <v>20</v>
      </c>
      <c r="H1342">
        <v>1</v>
      </c>
      <c r="I1342">
        <v>25</v>
      </c>
      <c r="J1342">
        <v>31.25</v>
      </c>
      <c r="K1342">
        <v>25</v>
      </c>
      <c r="L1342">
        <v>-6.25</v>
      </c>
      <c r="M1342">
        <v>-0.25</v>
      </c>
      <c r="N1342" t="s">
        <v>21</v>
      </c>
    </row>
    <row r="1343" spans="1:14">
      <c r="A1343">
        <v>325</v>
      </c>
      <c r="B1343" s="4">
        <v>45185</v>
      </c>
      <c r="C1343" s="5">
        <v>0.91805555555555551</v>
      </c>
      <c r="D1343" t="s">
        <v>33</v>
      </c>
      <c r="E1343" t="s">
        <v>23</v>
      </c>
      <c r="F1343">
        <v>52</v>
      </c>
      <c r="G1343" t="s">
        <v>30</v>
      </c>
      <c r="H1343">
        <v>2</v>
      </c>
      <c r="I1343">
        <v>25</v>
      </c>
      <c r="J1343">
        <v>31.25</v>
      </c>
      <c r="K1343">
        <v>50</v>
      </c>
      <c r="L1343">
        <v>18.75</v>
      </c>
      <c r="M1343">
        <v>0.375</v>
      </c>
      <c r="N1343" t="s">
        <v>21</v>
      </c>
    </row>
    <row r="1344" spans="1:14">
      <c r="A1344">
        <v>682</v>
      </c>
      <c r="B1344" s="4">
        <v>45222</v>
      </c>
      <c r="C1344" s="5">
        <v>0.86875000000000002</v>
      </c>
      <c r="D1344" t="s">
        <v>137</v>
      </c>
      <c r="E1344" t="s">
        <v>16</v>
      </c>
      <c r="F1344">
        <v>46</v>
      </c>
      <c r="G1344" t="s">
        <v>20</v>
      </c>
      <c r="H1344">
        <v>4</v>
      </c>
      <c r="I1344">
        <v>300</v>
      </c>
      <c r="J1344">
        <v>354</v>
      </c>
      <c r="K1344">
        <v>1200</v>
      </c>
      <c r="L1344">
        <v>846</v>
      </c>
      <c r="M1344">
        <v>0.70499999999999996</v>
      </c>
      <c r="N1344" t="s">
        <v>21</v>
      </c>
    </row>
    <row r="1345" spans="1:14">
      <c r="A1345">
        <v>931</v>
      </c>
      <c r="B1345" s="4">
        <v>45206</v>
      </c>
      <c r="C1345" s="5">
        <v>0.89861111111111114</v>
      </c>
      <c r="D1345" t="s">
        <v>25</v>
      </c>
      <c r="E1345" t="s">
        <v>16</v>
      </c>
      <c r="F1345">
        <v>30</v>
      </c>
      <c r="G1345" t="s">
        <v>20</v>
      </c>
      <c r="H1345">
        <v>4</v>
      </c>
      <c r="I1345">
        <v>30</v>
      </c>
      <c r="J1345">
        <v>29.1</v>
      </c>
      <c r="K1345">
        <v>120</v>
      </c>
      <c r="L1345">
        <v>90.9</v>
      </c>
      <c r="M1345">
        <v>0.75750000000000006</v>
      </c>
      <c r="N1345" t="s">
        <v>39</v>
      </c>
    </row>
    <row r="1346" spans="1:14">
      <c r="A1346">
        <v>1325</v>
      </c>
      <c r="B1346" s="4">
        <v>44845</v>
      </c>
      <c r="C1346" s="5">
        <v>0.82430555555555551</v>
      </c>
      <c r="D1346" t="s">
        <v>98</v>
      </c>
      <c r="E1346" t="s">
        <v>23</v>
      </c>
      <c r="F1346">
        <v>52</v>
      </c>
      <c r="G1346" t="s">
        <v>30</v>
      </c>
      <c r="H1346">
        <v>2</v>
      </c>
      <c r="I1346">
        <v>25</v>
      </c>
      <c r="J1346">
        <v>26.75</v>
      </c>
      <c r="K1346">
        <v>50</v>
      </c>
      <c r="L1346">
        <v>23.25</v>
      </c>
      <c r="M1346">
        <v>0.46500000000000002</v>
      </c>
      <c r="N1346" t="s">
        <v>21</v>
      </c>
    </row>
    <row r="1347" spans="1:14">
      <c r="A1347">
        <v>1682</v>
      </c>
      <c r="B1347" s="4">
        <v>44925</v>
      </c>
      <c r="C1347" s="5">
        <v>0.8125</v>
      </c>
      <c r="D1347" t="s">
        <v>67</v>
      </c>
      <c r="E1347" t="s">
        <v>16</v>
      </c>
      <c r="F1347">
        <v>46</v>
      </c>
      <c r="G1347" t="s">
        <v>20</v>
      </c>
      <c r="H1347">
        <v>4</v>
      </c>
      <c r="I1347">
        <v>300</v>
      </c>
      <c r="J1347">
        <v>315</v>
      </c>
      <c r="K1347">
        <v>1200</v>
      </c>
      <c r="L1347">
        <v>885</v>
      </c>
      <c r="M1347">
        <v>0.73750000000000004</v>
      </c>
      <c r="N1347" t="s">
        <v>21</v>
      </c>
    </row>
    <row r="1348" spans="1:14">
      <c r="A1348">
        <v>1931</v>
      </c>
      <c r="B1348" s="4">
        <v>44896</v>
      </c>
      <c r="C1348" s="5">
        <v>0.80208333333333337</v>
      </c>
      <c r="D1348" t="s">
        <v>89</v>
      </c>
      <c r="E1348" t="s">
        <v>16</v>
      </c>
      <c r="F1348">
        <v>30</v>
      </c>
      <c r="G1348" t="s">
        <v>20</v>
      </c>
      <c r="H1348">
        <v>4</v>
      </c>
      <c r="I1348">
        <v>30</v>
      </c>
      <c r="J1348">
        <v>34.200000000000003</v>
      </c>
      <c r="K1348">
        <v>120</v>
      </c>
      <c r="L1348">
        <v>85.8</v>
      </c>
      <c r="M1348">
        <v>0.71499999999999997</v>
      </c>
      <c r="N1348" t="s">
        <v>39</v>
      </c>
    </row>
    <row r="1349" spans="1:14">
      <c r="A1349">
        <v>925</v>
      </c>
      <c r="B1349" s="4">
        <v>44915</v>
      </c>
      <c r="C1349" s="5">
        <v>0.71666666666666667</v>
      </c>
      <c r="D1349" t="s">
        <v>29</v>
      </c>
      <c r="E1349" t="s">
        <v>16</v>
      </c>
      <c r="F1349">
        <v>25</v>
      </c>
      <c r="G1349" t="s">
        <v>30</v>
      </c>
      <c r="H1349">
        <v>1</v>
      </c>
      <c r="I1349">
        <v>300</v>
      </c>
      <c r="J1349">
        <v>315</v>
      </c>
      <c r="K1349">
        <v>300</v>
      </c>
      <c r="L1349">
        <v>-15</v>
      </c>
      <c r="M1349">
        <v>-0.05</v>
      </c>
      <c r="N1349" t="s">
        <v>31</v>
      </c>
    </row>
    <row r="1350" spans="1:14">
      <c r="A1350">
        <v>1925</v>
      </c>
      <c r="B1350" s="4">
        <v>45281</v>
      </c>
      <c r="C1350" s="5">
        <v>0.71180555555555558</v>
      </c>
      <c r="D1350" t="s">
        <v>107</v>
      </c>
      <c r="E1350" t="s">
        <v>16</v>
      </c>
      <c r="F1350">
        <v>25</v>
      </c>
      <c r="G1350" t="s">
        <v>30</v>
      </c>
      <c r="H1350">
        <v>1</v>
      </c>
      <c r="I1350">
        <v>300</v>
      </c>
      <c r="J1350">
        <v>366</v>
      </c>
      <c r="K1350">
        <v>300</v>
      </c>
      <c r="L1350">
        <v>-66</v>
      </c>
      <c r="M1350">
        <v>-0.22</v>
      </c>
      <c r="N1350" t="s">
        <v>31</v>
      </c>
    </row>
    <row r="1351" spans="1:14">
      <c r="A1351">
        <v>297</v>
      </c>
      <c r="B1351" s="4">
        <v>44816</v>
      </c>
      <c r="C1351" s="5">
        <v>0.88124999999999998</v>
      </c>
      <c r="D1351" t="s">
        <v>144</v>
      </c>
      <c r="E1351" t="s">
        <v>23</v>
      </c>
      <c r="F1351">
        <v>40</v>
      </c>
      <c r="G1351" t="s">
        <v>30</v>
      </c>
      <c r="H1351">
        <v>2</v>
      </c>
      <c r="I1351">
        <v>500</v>
      </c>
      <c r="J1351">
        <v>595</v>
      </c>
      <c r="K1351">
        <v>1000</v>
      </c>
      <c r="L1351">
        <v>405</v>
      </c>
      <c r="M1351">
        <v>0.40500000000000003</v>
      </c>
      <c r="N1351" t="s">
        <v>18</v>
      </c>
    </row>
    <row r="1352" spans="1:14">
      <c r="A1352">
        <v>1297</v>
      </c>
      <c r="B1352" s="4">
        <v>45219</v>
      </c>
      <c r="C1352" s="5">
        <v>0.93888888888888888</v>
      </c>
      <c r="D1352" t="s">
        <v>129</v>
      </c>
      <c r="E1352" t="s">
        <v>23</v>
      </c>
      <c r="F1352">
        <v>40</v>
      </c>
      <c r="G1352" t="s">
        <v>30</v>
      </c>
      <c r="H1352">
        <v>2</v>
      </c>
      <c r="I1352">
        <v>500</v>
      </c>
      <c r="J1352">
        <v>535</v>
      </c>
      <c r="K1352">
        <v>1000</v>
      </c>
      <c r="L1352">
        <v>465</v>
      </c>
      <c r="M1352">
        <v>0.46500000000000002</v>
      </c>
      <c r="N1352" t="s">
        <v>18</v>
      </c>
    </row>
    <row r="1353" spans="1:14">
      <c r="A1353">
        <v>814</v>
      </c>
      <c r="B1353" s="4">
        <v>44835</v>
      </c>
      <c r="C1353" s="5">
        <v>0.85624999999999996</v>
      </c>
      <c r="D1353" t="s">
        <v>157</v>
      </c>
      <c r="E1353" t="s">
        <v>23</v>
      </c>
      <c r="F1353">
        <v>59</v>
      </c>
      <c r="G1353" t="s">
        <v>17</v>
      </c>
      <c r="H1353">
        <v>1</v>
      </c>
      <c r="I1353">
        <v>500</v>
      </c>
      <c r="J1353">
        <v>540</v>
      </c>
      <c r="K1353">
        <v>500</v>
      </c>
      <c r="L1353">
        <v>-40</v>
      </c>
      <c r="M1353">
        <v>-0.08</v>
      </c>
      <c r="N1353" t="s">
        <v>28</v>
      </c>
    </row>
    <row r="1354" spans="1:14">
      <c r="A1354">
        <v>894</v>
      </c>
      <c r="B1354" s="4">
        <v>44826</v>
      </c>
      <c r="C1354" s="5">
        <v>0.95347222222222228</v>
      </c>
      <c r="D1354" t="s">
        <v>117</v>
      </c>
      <c r="E1354" t="s">
        <v>16</v>
      </c>
      <c r="F1354">
        <v>52</v>
      </c>
      <c r="G1354" t="s">
        <v>30</v>
      </c>
      <c r="H1354">
        <v>1</v>
      </c>
      <c r="I1354">
        <v>30</v>
      </c>
      <c r="J1354">
        <v>30.6</v>
      </c>
      <c r="K1354">
        <v>30</v>
      </c>
      <c r="L1354">
        <v>-0.60000000000000142</v>
      </c>
      <c r="M1354">
        <v>-2.0000000000000049E-2</v>
      </c>
      <c r="N1354" t="s">
        <v>21</v>
      </c>
    </row>
    <row r="1355" spans="1:14">
      <c r="A1355">
        <v>1814</v>
      </c>
      <c r="B1355" s="4">
        <v>44811</v>
      </c>
      <c r="C1355" s="5">
        <v>0.74513888888888891</v>
      </c>
      <c r="D1355" t="s">
        <v>131</v>
      </c>
      <c r="E1355" t="s">
        <v>23</v>
      </c>
      <c r="F1355">
        <v>59</v>
      </c>
      <c r="G1355" t="s">
        <v>17</v>
      </c>
      <c r="H1355">
        <v>1</v>
      </c>
      <c r="I1355">
        <v>500</v>
      </c>
      <c r="J1355">
        <v>620</v>
      </c>
      <c r="K1355">
        <v>500</v>
      </c>
      <c r="L1355">
        <v>-120</v>
      </c>
      <c r="M1355">
        <v>-0.24</v>
      </c>
      <c r="N1355" t="s">
        <v>28</v>
      </c>
    </row>
    <row r="1356" spans="1:14">
      <c r="A1356">
        <v>1894</v>
      </c>
      <c r="B1356" s="4">
        <v>45289</v>
      </c>
      <c r="C1356" s="5">
        <v>0.75763888888888886</v>
      </c>
      <c r="D1356" t="s">
        <v>172</v>
      </c>
      <c r="E1356" t="s">
        <v>16</v>
      </c>
      <c r="F1356">
        <v>52</v>
      </c>
      <c r="G1356" t="s">
        <v>30</v>
      </c>
      <c r="H1356">
        <v>1</v>
      </c>
      <c r="I1356">
        <v>30</v>
      </c>
      <c r="J1356">
        <v>30</v>
      </c>
      <c r="K1356">
        <v>30</v>
      </c>
      <c r="L1356">
        <v>0</v>
      </c>
      <c r="M1356">
        <v>0</v>
      </c>
      <c r="N1356" t="s">
        <v>21</v>
      </c>
    </row>
    <row r="1357" spans="1:14">
      <c r="A1357">
        <v>194</v>
      </c>
      <c r="B1357" s="4">
        <v>45210</v>
      </c>
      <c r="C1357" s="5">
        <v>0.81041666666666667</v>
      </c>
      <c r="D1357" t="s">
        <v>57</v>
      </c>
      <c r="E1357" t="s">
        <v>16</v>
      </c>
      <c r="F1357">
        <v>55</v>
      </c>
      <c r="G1357" t="s">
        <v>17</v>
      </c>
      <c r="H1357">
        <v>4</v>
      </c>
      <c r="I1357">
        <v>50</v>
      </c>
      <c r="J1357">
        <v>51.5</v>
      </c>
      <c r="K1357">
        <v>200</v>
      </c>
      <c r="L1357">
        <v>148.5</v>
      </c>
      <c r="M1357">
        <v>0.74250000000000005</v>
      </c>
      <c r="N1357" t="s">
        <v>21</v>
      </c>
    </row>
    <row r="1358" spans="1:14">
      <c r="A1358">
        <v>245</v>
      </c>
      <c r="B1358" s="4">
        <v>45261</v>
      </c>
      <c r="C1358" s="5">
        <v>0.90347222222222223</v>
      </c>
      <c r="D1358" t="s">
        <v>82</v>
      </c>
      <c r="E1358" t="s">
        <v>16</v>
      </c>
      <c r="F1358">
        <v>47</v>
      </c>
      <c r="G1358" t="s">
        <v>17</v>
      </c>
      <c r="H1358">
        <v>3</v>
      </c>
      <c r="I1358">
        <v>30</v>
      </c>
      <c r="J1358">
        <v>36</v>
      </c>
      <c r="K1358">
        <v>90</v>
      </c>
      <c r="L1358">
        <v>54</v>
      </c>
      <c r="M1358">
        <v>0.6</v>
      </c>
      <c r="N1358" t="s">
        <v>21</v>
      </c>
    </row>
    <row r="1359" spans="1:14">
      <c r="A1359">
        <v>296</v>
      </c>
      <c r="B1359" s="4">
        <v>44926</v>
      </c>
      <c r="C1359" s="5">
        <v>0.94722222222222219</v>
      </c>
      <c r="D1359" t="s">
        <v>178</v>
      </c>
      <c r="E1359" t="s">
        <v>23</v>
      </c>
      <c r="F1359">
        <v>22</v>
      </c>
      <c r="G1359" t="s">
        <v>17</v>
      </c>
      <c r="H1359">
        <v>4</v>
      </c>
      <c r="I1359">
        <v>300</v>
      </c>
      <c r="J1359">
        <v>369</v>
      </c>
      <c r="K1359">
        <v>1200</v>
      </c>
      <c r="L1359">
        <v>831</v>
      </c>
      <c r="M1359">
        <v>0.6925</v>
      </c>
      <c r="N1359" t="s">
        <v>31</v>
      </c>
    </row>
    <row r="1360" spans="1:14">
      <c r="A1360">
        <v>644</v>
      </c>
      <c r="B1360" s="4">
        <v>44847</v>
      </c>
      <c r="C1360" s="5">
        <v>0.90902777777777777</v>
      </c>
      <c r="D1360" t="s">
        <v>148</v>
      </c>
      <c r="E1360" t="s">
        <v>16</v>
      </c>
      <c r="F1360">
        <v>23</v>
      </c>
      <c r="G1360" t="s">
        <v>20</v>
      </c>
      <c r="H1360">
        <v>3</v>
      </c>
      <c r="I1360">
        <v>25</v>
      </c>
      <c r="J1360">
        <v>29</v>
      </c>
      <c r="K1360">
        <v>75</v>
      </c>
      <c r="L1360">
        <v>46</v>
      </c>
      <c r="M1360">
        <v>0.61333333333333329</v>
      </c>
      <c r="N1360" t="s">
        <v>31</v>
      </c>
    </row>
    <row r="1361" spans="1:14">
      <c r="A1361">
        <v>696</v>
      </c>
      <c r="B1361" s="4">
        <v>45208</v>
      </c>
      <c r="C1361" s="5">
        <v>0.75347222222222221</v>
      </c>
      <c r="D1361" t="s">
        <v>70</v>
      </c>
      <c r="E1361" t="s">
        <v>23</v>
      </c>
      <c r="F1361">
        <v>50</v>
      </c>
      <c r="G1361" t="s">
        <v>17</v>
      </c>
      <c r="H1361">
        <v>4</v>
      </c>
      <c r="I1361">
        <v>50</v>
      </c>
      <c r="J1361">
        <v>48.5</v>
      </c>
      <c r="K1361">
        <v>200</v>
      </c>
      <c r="L1361">
        <v>151.5</v>
      </c>
      <c r="M1361">
        <v>0.75749999999999995</v>
      </c>
      <c r="N1361" t="s">
        <v>21</v>
      </c>
    </row>
    <row r="1362" spans="1:14">
      <c r="A1362">
        <v>1194</v>
      </c>
      <c r="B1362" s="4">
        <v>45208</v>
      </c>
      <c r="C1362" s="5">
        <v>0.92083333333333328</v>
      </c>
      <c r="D1362" t="s">
        <v>51</v>
      </c>
      <c r="E1362" t="s">
        <v>16</v>
      </c>
      <c r="F1362">
        <v>55</v>
      </c>
      <c r="G1362" t="s">
        <v>17</v>
      </c>
      <c r="H1362">
        <v>4</v>
      </c>
      <c r="I1362">
        <v>50</v>
      </c>
      <c r="J1362">
        <v>61.5</v>
      </c>
      <c r="K1362">
        <v>200</v>
      </c>
      <c r="L1362">
        <v>138.5</v>
      </c>
      <c r="M1362">
        <v>0.6925</v>
      </c>
      <c r="N1362" t="s">
        <v>21</v>
      </c>
    </row>
    <row r="1363" spans="1:14">
      <c r="A1363">
        <v>1245</v>
      </c>
      <c r="B1363" s="4">
        <v>44859</v>
      </c>
      <c r="C1363" s="5">
        <v>0.86597222222222225</v>
      </c>
      <c r="D1363" t="s">
        <v>90</v>
      </c>
      <c r="E1363" t="s">
        <v>16</v>
      </c>
      <c r="F1363">
        <v>47</v>
      </c>
      <c r="G1363" t="s">
        <v>17</v>
      </c>
      <c r="H1363">
        <v>3</v>
      </c>
      <c r="I1363">
        <v>30</v>
      </c>
      <c r="J1363">
        <v>36</v>
      </c>
      <c r="K1363">
        <v>90</v>
      </c>
      <c r="L1363">
        <v>54</v>
      </c>
      <c r="M1363">
        <v>0.6</v>
      </c>
      <c r="N1363" t="s">
        <v>21</v>
      </c>
    </row>
    <row r="1364" spans="1:14">
      <c r="A1364">
        <v>1296</v>
      </c>
      <c r="B1364" s="4">
        <v>44891</v>
      </c>
      <c r="C1364" s="5">
        <v>0.86250000000000004</v>
      </c>
      <c r="D1364" t="s">
        <v>143</v>
      </c>
      <c r="E1364" t="s">
        <v>23</v>
      </c>
      <c r="F1364">
        <v>22</v>
      </c>
      <c r="G1364" t="s">
        <v>17</v>
      </c>
      <c r="H1364">
        <v>4</v>
      </c>
      <c r="I1364">
        <v>300</v>
      </c>
      <c r="J1364">
        <v>342</v>
      </c>
      <c r="K1364">
        <v>1200</v>
      </c>
      <c r="L1364">
        <v>858</v>
      </c>
      <c r="M1364">
        <v>0.71499999999999997</v>
      </c>
      <c r="N1364" t="s">
        <v>31</v>
      </c>
    </row>
    <row r="1365" spans="1:14">
      <c r="A1365">
        <v>1644</v>
      </c>
      <c r="B1365" s="4">
        <v>44815</v>
      </c>
      <c r="C1365" s="5">
        <v>0.81388888888888888</v>
      </c>
      <c r="D1365" t="s">
        <v>153</v>
      </c>
      <c r="E1365" t="s">
        <v>16</v>
      </c>
      <c r="F1365">
        <v>23</v>
      </c>
      <c r="G1365" t="s">
        <v>20</v>
      </c>
      <c r="H1365">
        <v>3</v>
      </c>
      <c r="I1365">
        <v>25</v>
      </c>
      <c r="J1365">
        <v>28.75</v>
      </c>
      <c r="K1365">
        <v>75</v>
      </c>
      <c r="L1365">
        <v>46.25</v>
      </c>
      <c r="M1365">
        <v>0.6166666666666667</v>
      </c>
      <c r="N1365" t="s">
        <v>31</v>
      </c>
    </row>
    <row r="1366" spans="1:14">
      <c r="A1366">
        <v>1696</v>
      </c>
      <c r="B1366" s="4">
        <v>44886</v>
      </c>
      <c r="C1366" s="5">
        <v>0.74930555555555556</v>
      </c>
      <c r="D1366" t="s">
        <v>70</v>
      </c>
      <c r="E1366" t="s">
        <v>23</v>
      </c>
      <c r="F1366">
        <v>50</v>
      </c>
      <c r="G1366" t="s">
        <v>17</v>
      </c>
      <c r="H1366">
        <v>4</v>
      </c>
      <c r="I1366">
        <v>50</v>
      </c>
      <c r="J1366">
        <v>55</v>
      </c>
      <c r="K1366">
        <v>200</v>
      </c>
      <c r="L1366">
        <v>145</v>
      </c>
      <c r="M1366">
        <v>0.72499999999999998</v>
      </c>
      <c r="N1366" t="s">
        <v>21</v>
      </c>
    </row>
    <row r="1367" spans="1:14">
      <c r="A1367">
        <v>312</v>
      </c>
      <c r="B1367" s="4">
        <v>44865</v>
      </c>
      <c r="C1367" s="5">
        <v>0.75555555555555554</v>
      </c>
      <c r="D1367" t="s">
        <v>98</v>
      </c>
      <c r="E1367" t="s">
        <v>16</v>
      </c>
      <c r="F1367">
        <v>41</v>
      </c>
      <c r="G1367" t="s">
        <v>17</v>
      </c>
      <c r="H1367">
        <v>4</v>
      </c>
      <c r="I1367">
        <v>30</v>
      </c>
      <c r="J1367">
        <v>28.5</v>
      </c>
      <c r="K1367">
        <v>120</v>
      </c>
      <c r="L1367">
        <v>91.5</v>
      </c>
      <c r="M1367">
        <v>0.76249999999999996</v>
      </c>
      <c r="N1367" t="s">
        <v>18</v>
      </c>
    </row>
    <row r="1368" spans="1:14">
      <c r="A1368">
        <v>692</v>
      </c>
      <c r="B1368" s="4">
        <v>44834</v>
      </c>
      <c r="C1368" s="5">
        <v>0.82499999999999996</v>
      </c>
      <c r="D1368" t="s">
        <v>166</v>
      </c>
      <c r="E1368" t="s">
        <v>23</v>
      </c>
      <c r="F1368">
        <v>64</v>
      </c>
      <c r="G1368" t="s">
        <v>17</v>
      </c>
      <c r="H1368">
        <v>2</v>
      </c>
      <c r="I1368">
        <v>50</v>
      </c>
      <c r="J1368">
        <v>49.5</v>
      </c>
      <c r="K1368">
        <v>100</v>
      </c>
      <c r="L1368">
        <v>50.5</v>
      </c>
      <c r="M1368">
        <v>0.505</v>
      </c>
      <c r="N1368" t="s">
        <v>28</v>
      </c>
    </row>
    <row r="1369" spans="1:14">
      <c r="A1369">
        <v>835</v>
      </c>
      <c r="B1369" s="4">
        <v>44834</v>
      </c>
      <c r="C1369" s="5">
        <v>0.95833333333333337</v>
      </c>
      <c r="D1369" t="s">
        <v>26</v>
      </c>
      <c r="E1369" t="s">
        <v>16</v>
      </c>
      <c r="F1369">
        <v>37</v>
      </c>
      <c r="G1369" t="s">
        <v>17</v>
      </c>
      <c r="H1369">
        <v>4</v>
      </c>
      <c r="I1369">
        <v>50</v>
      </c>
      <c r="J1369">
        <v>60</v>
      </c>
      <c r="K1369">
        <v>200</v>
      </c>
      <c r="L1369">
        <v>140</v>
      </c>
      <c r="M1369">
        <v>0.7</v>
      </c>
      <c r="N1369" t="s">
        <v>18</v>
      </c>
    </row>
    <row r="1370" spans="1:14">
      <c r="A1370">
        <v>1312</v>
      </c>
      <c r="B1370" s="4">
        <v>44898</v>
      </c>
      <c r="C1370" s="5">
        <v>0.72777777777777775</v>
      </c>
      <c r="D1370" t="s">
        <v>178</v>
      </c>
      <c r="E1370" t="s">
        <v>16</v>
      </c>
      <c r="F1370">
        <v>41</v>
      </c>
      <c r="G1370" t="s">
        <v>17</v>
      </c>
      <c r="H1370">
        <v>4</v>
      </c>
      <c r="I1370">
        <v>30</v>
      </c>
      <c r="J1370">
        <v>29.1</v>
      </c>
      <c r="K1370">
        <v>120</v>
      </c>
      <c r="L1370">
        <v>90.9</v>
      </c>
      <c r="M1370">
        <v>0.75750000000000006</v>
      </c>
      <c r="N1370" t="s">
        <v>18</v>
      </c>
    </row>
    <row r="1371" spans="1:14">
      <c r="A1371">
        <v>1692</v>
      </c>
      <c r="B1371" s="4">
        <v>45210</v>
      </c>
      <c r="C1371" s="5">
        <v>0.82638888888888884</v>
      </c>
      <c r="D1371" t="s">
        <v>165</v>
      </c>
      <c r="E1371" t="s">
        <v>23</v>
      </c>
      <c r="F1371">
        <v>64</v>
      </c>
      <c r="G1371" t="s">
        <v>17</v>
      </c>
      <c r="H1371">
        <v>2</v>
      </c>
      <c r="I1371">
        <v>50</v>
      </c>
      <c r="J1371">
        <v>59.5</v>
      </c>
      <c r="K1371">
        <v>100</v>
      </c>
      <c r="L1371">
        <v>40.5</v>
      </c>
      <c r="M1371">
        <v>0.40500000000000003</v>
      </c>
      <c r="N1371" t="s">
        <v>28</v>
      </c>
    </row>
    <row r="1372" spans="1:14">
      <c r="A1372">
        <v>1835</v>
      </c>
      <c r="B1372" s="4">
        <v>44822</v>
      </c>
      <c r="C1372" s="5">
        <v>0.87361111111111112</v>
      </c>
      <c r="D1372" t="s">
        <v>45</v>
      </c>
      <c r="E1372" t="s">
        <v>16</v>
      </c>
      <c r="F1372">
        <v>37</v>
      </c>
      <c r="G1372" t="s">
        <v>17</v>
      </c>
      <c r="H1372">
        <v>4</v>
      </c>
      <c r="I1372">
        <v>50</v>
      </c>
      <c r="J1372">
        <v>49.5</v>
      </c>
      <c r="K1372">
        <v>200</v>
      </c>
      <c r="L1372">
        <v>150.5</v>
      </c>
      <c r="M1372">
        <v>0.75249999999999995</v>
      </c>
      <c r="N1372" t="s">
        <v>18</v>
      </c>
    </row>
    <row r="1373" spans="1:14">
      <c r="A1373">
        <v>183</v>
      </c>
      <c r="B1373" s="4">
        <v>44805</v>
      </c>
      <c r="C1373" s="5">
        <v>0.80694444444444446</v>
      </c>
      <c r="D1373" t="s">
        <v>101</v>
      </c>
      <c r="E1373" t="s">
        <v>23</v>
      </c>
      <c r="F1373">
        <v>43</v>
      </c>
      <c r="G1373" t="s">
        <v>20</v>
      </c>
      <c r="H1373">
        <v>3</v>
      </c>
      <c r="I1373">
        <v>300</v>
      </c>
      <c r="J1373">
        <v>375</v>
      </c>
      <c r="K1373">
        <v>900</v>
      </c>
      <c r="L1373">
        <v>525</v>
      </c>
      <c r="M1373">
        <v>0.58333333333333337</v>
      </c>
      <c r="N1373" t="s">
        <v>18</v>
      </c>
    </row>
    <row r="1374" spans="1:14">
      <c r="A1374">
        <v>413</v>
      </c>
      <c r="B1374" s="4">
        <v>45258</v>
      </c>
      <c r="C1374" s="5">
        <v>0.91111111111111109</v>
      </c>
      <c r="D1374" t="s">
        <v>137</v>
      </c>
      <c r="E1374" t="s">
        <v>23</v>
      </c>
      <c r="F1374">
        <v>44</v>
      </c>
      <c r="G1374" t="s">
        <v>20</v>
      </c>
      <c r="H1374">
        <v>3</v>
      </c>
      <c r="I1374">
        <v>25</v>
      </c>
      <c r="J1374">
        <v>25.5</v>
      </c>
      <c r="K1374">
        <v>75</v>
      </c>
      <c r="L1374">
        <v>49.5</v>
      </c>
      <c r="M1374">
        <v>0.66</v>
      </c>
      <c r="N1374" t="s">
        <v>18</v>
      </c>
    </row>
    <row r="1375" spans="1:14">
      <c r="A1375">
        <v>799</v>
      </c>
      <c r="B1375" s="4">
        <v>45200</v>
      </c>
      <c r="C1375" s="5">
        <v>0.82222222222222219</v>
      </c>
      <c r="D1375" t="s">
        <v>93</v>
      </c>
      <c r="E1375" t="s">
        <v>16</v>
      </c>
      <c r="F1375">
        <v>56</v>
      </c>
      <c r="G1375" t="s">
        <v>30</v>
      </c>
      <c r="H1375">
        <v>2</v>
      </c>
      <c r="I1375">
        <v>50</v>
      </c>
      <c r="J1375">
        <v>60</v>
      </c>
      <c r="K1375">
        <v>100</v>
      </c>
      <c r="L1375">
        <v>40</v>
      </c>
      <c r="M1375">
        <v>0.4</v>
      </c>
      <c r="N1375" t="s">
        <v>28</v>
      </c>
    </row>
    <row r="1376" spans="1:14">
      <c r="A1376">
        <v>851</v>
      </c>
      <c r="B1376" s="4">
        <v>45260</v>
      </c>
      <c r="C1376" s="5">
        <v>0.72430555555555554</v>
      </c>
      <c r="D1376" t="s">
        <v>152</v>
      </c>
      <c r="E1376" t="s">
        <v>16</v>
      </c>
      <c r="F1376">
        <v>32</v>
      </c>
      <c r="G1376" t="s">
        <v>30</v>
      </c>
      <c r="H1376">
        <v>2</v>
      </c>
      <c r="I1376">
        <v>25</v>
      </c>
      <c r="J1376">
        <v>27.75</v>
      </c>
      <c r="K1376">
        <v>50</v>
      </c>
      <c r="L1376">
        <v>22.25</v>
      </c>
      <c r="M1376">
        <v>0.44500000000000001</v>
      </c>
      <c r="N1376" t="s">
        <v>39</v>
      </c>
    </row>
    <row r="1377" spans="1:14">
      <c r="A1377">
        <v>1183</v>
      </c>
      <c r="B1377" s="4">
        <v>44923</v>
      </c>
      <c r="C1377" s="5">
        <v>0.71527777777777779</v>
      </c>
      <c r="D1377" t="s">
        <v>29</v>
      </c>
      <c r="E1377" t="s">
        <v>23</v>
      </c>
      <c r="F1377">
        <v>43</v>
      </c>
      <c r="G1377" t="s">
        <v>20</v>
      </c>
      <c r="H1377">
        <v>3</v>
      </c>
      <c r="I1377">
        <v>300</v>
      </c>
      <c r="J1377">
        <v>342</v>
      </c>
      <c r="K1377">
        <v>900</v>
      </c>
      <c r="L1377">
        <v>558</v>
      </c>
      <c r="M1377">
        <v>0.62</v>
      </c>
      <c r="N1377" t="s">
        <v>18</v>
      </c>
    </row>
    <row r="1378" spans="1:14">
      <c r="A1378">
        <v>1413</v>
      </c>
      <c r="B1378" s="4">
        <v>45242</v>
      </c>
      <c r="C1378" s="5">
        <v>0.81458333333333333</v>
      </c>
      <c r="D1378" t="s">
        <v>100</v>
      </c>
      <c r="E1378" t="s">
        <v>23</v>
      </c>
      <c r="F1378">
        <v>44</v>
      </c>
      <c r="G1378" t="s">
        <v>20</v>
      </c>
      <c r="H1378">
        <v>3</v>
      </c>
      <c r="I1378">
        <v>25</v>
      </c>
      <c r="J1378">
        <v>30.75</v>
      </c>
      <c r="K1378">
        <v>75</v>
      </c>
      <c r="L1378">
        <v>44.25</v>
      </c>
      <c r="M1378">
        <v>0.59</v>
      </c>
      <c r="N1378" t="s">
        <v>18</v>
      </c>
    </row>
    <row r="1379" spans="1:14">
      <c r="A1379">
        <v>1799</v>
      </c>
      <c r="B1379" s="4">
        <v>45200</v>
      </c>
      <c r="C1379" s="5">
        <v>0.79791666666666672</v>
      </c>
      <c r="D1379" t="s">
        <v>94</v>
      </c>
      <c r="E1379" t="s">
        <v>16</v>
      </c>
      <c r="F1379">
        <v>56</v>
      </c>
      <c r="G1379" t="s">
        <v>30</v>
      </c>
      <c r="H1379">
        <v>2</v>
      </c>
      <c r="I1379">
        <v>50</v>
      </c>
      <c r="J1379">
        <v>51</v>
      </c>
      <c r="K1379">
        <v>100</v>
      </c>
      <c r="L1379">
        <v>49</v>
      </c>
      <c r="M1379">
        <v>0.49</v>
      </c>
      <c r="N1379" t="s">
        <v>28</v>
      </c>
    </row>
    <row r="1380" spans="1:14">
      <c r="A1380">
        <v>1851</v>
      </c>
      <c r="B1380" s="4">
        <v>44814</v>
      </c>
      <c r="C1380" s="5">
        <v>0.9</v>
      </c>
      <c r="D1380" t="s">
        <v>116</v>
      </c>
      <c r="E1380" t="s">
        <v>16</v>
      </c>
      <c r="F1380">
        <v>32</v>
      </c>
      <c r="G1380" t="s">
        <v>30</v>
      </c>
      <c r="H1380">
        <v>2</v>
      </c>
      <c r="I1380">
        <v>25</v>
      </c>
      <c r="J1380">
        <v>25</v>
      </c>
      <c r="K1380">
        <v>50</v>
      </c>
      <c r="L1380">
        <v>25</v>
      </c>
      <c r="M1380">
        <v>0.5</v>
      </c>
      <c r="N1380" t="s">
        <v>39</v>
      </c>
    </row>
    <row r="1381" spans="1:14">
      <c r="A1381">
        <v>858</v>
      </c>
      <c r="B1381" s="4">
        <v>45177</v>
      </c>
      <c r="C1381" s="5">
        <v>0.78333333333333333</v>
      </c>
      <c r="D1381" t="s">
        <v>24</v>
      </c>
      <c r="E1381" t="s">
        <v>16</v>
      </c>
      <c r="F1381">
        <v>23</v>
      </c>
      <c r="G1381" t="s">
        <v>30</v>
      </c>
      <c r="H1381">
        <v>2</v>
      </c>
      <c r="I1381">
        <v>50</v>
      </c>
      <c r="J1381">
        <v>50.5</v>
      </c>
      <c r="K1381">
        <v>100</v>
      </c>
      <c r="L1381">
        <v>49.5</v>
      </c>
      <c r="M1381">
        <v>0.495</v>
      </c>
      <c r="N1381" t="s">
        <v>31</v>
      </c>
    </row>
    <row r="1382" spans="1:14">
      <c r="A1382">
        <v>919</v>
      </c>
      <c r="B1382" s="4">
        <v>45227</v>
      </c>
      <c r="C1382" s="5">
        <v>0.88402777777777775</v>
      </c>
      <c r="D1382" t="s">
        <v>43</v>
      </c>
      <c r="E1382" t="s">
        <v>23</v>
      </c>
      <c r="F1382">
        <v>22</v>
      </c>
      <c r="G1382" t="s">
        <v>20</v>
      </c>
      <c r="H1382">
        <v>2</v>
      </c>
      <c r="I1382">
        <v>25</v>
      </c>
      <c r="J1382">
        <v>27.75</v>
      </c>
      <c r="K1382">
        <v>50</v>
      </c>
      <c r="L1382">
        <v>22.25</v>
      </c>
      <c r="M1382">
        <v>0.44500000000000001</v>
      </c>
      <c r="N1382" t="s">
        <v>31</v>
      </c>
    </row>
    <row r="1383" spans="1:14">
      <c r="A1383">
        <v>935</v>
      </c>
      <c r="B1383" s="4">
        <v>44814</v>
      </c>
      <c r="C1383" s="5">
        <v>0.88611111111111107</v>
      </c>
      <c r="D1383" t="s">
        <v>124</v>
      </c>
      <c r="E1383" t="s">
        <v>23</v>
      </c>
      <c r="F1383">
        <v>34</v>
      </c>
      <c r="G1383" t="s">
        <v>20</v>
      </c>
      <c r="H1383">
        <v>1</v>
      </c>
      <c r="I1383">
        <v>50</v>
      </c>
      <c r="J1383">
        <v>55.5</v>
      </c>
      <c r="K1383">
        <v>50</v>
      </c>
      <c r="L1383">
        <v>-5.5</v>
      </c>
      <c r="M1383">
        <v>-0.11</v>
      </c>
      <c r="N1383" t="s">
        <v>39</v>
      </c>
    </row>
    <row r="1384" spans="1:14">
      <c r="A1384">
        <v>1858</v>
      </c>
      <c r="B1384" s="4">
        <v>45183</v>
      </c>
      <c r="C1384" s="5">
        <v>0.86597222222222225</v>
      </c>
      <c r="D1384" t="s">
        <v>26</v>
      </c>
      <c r="E1384" t="s">
        <v>16</v>
      </c>
      <c r="F1384">
        <v>23</v>
      </c>
      <c r="G1384" t="s">
        <v>30</v>
      </c>
      <c r="H1384">
        <v>2</v>
      </c>
      <c r="I1384">
        <v>50</v>
      </c>
      <c r="J1384">
        <v>52</v>
      </c>
      <c r="K1384">
        <v>100</v>
      </c>
      <c r="L1384">
        <v>48</v>
      </c>
      <c r="M1384">
        <v>0.48</v>
      </c>
      <c r="N1384" t="s">
        <v>31</v>
      </c>
    </row>
    <row r="1385" spans="1:14">
      <c r="A1385">
        <v>1919</v>
      </c>
      <c r="B1385" s="4">
        <v>44859</v>
      </c>
      <c r="C1385" s="5">
        <v>0.74583333333333335</v>
      </c>
      <c r="D1385" t="s">
        <v>92</v>
      </c>
      <c r="E1385" t="s">
        <v>23</v>
      </c>
      <c r="F1385">
        <v>22</v>
      </c>
      <c r="G1385" t="s">
        <v>20</v>
      </c>
      <c r="H1385">
        <v>2</v>
      </c>
      <c r="I1385">
        <v>25</v>
      </c>
      <c r="J1385">
        <v>26.5</v>
      </c>
      <c r="K1385">
        <v>50</v>
      </c>
      <c r="L1385">
        <v>23.5</v>
      </c>
      <c r="M1385">
        <v>0.47</v>
      </c>
      <c r="N1385" t="s">
        <v>31</v>
      </c>
    </row>
    <row r="1386" spans="1:14">
      <c r="A1386">
        <v>1935</v>
      </c>
      <c r="B1386" s="4">
        <v>44911</v>
      </c>
      <c r="C1386" s="5">
        <v>0.94444444444444442</v>
      </c>
      <c r="D1386" t="s">
        <v>157</v>
      </c>
      <c r="E1386" t="s">
        <v>23</v>
      </c>
      <c r="F1386">
        <v>34</v>
      </c>
      <c r="G1386" t="s">
        <v>20</v>
      </c>
      <c r="H1386">
        <v>1</v>
      </c>
      <c r="I1386">
        <v>50</v>
      </c>
      <c r="J1386">
        <v>47.5</v>
      </c>
      <c r="K1386">
        <v>50</v>
      </c>
      <c r="L1386">
        <v>2.5</v>
      </c>
      <c r="M1386">
        <v>0.05</v>
      </c>
      <c r="N1386" t="s">
        <v>39</v>
      </c>
    </row>
    <row r="1387" spans="1:14">
      <c r="A1387">
        <v>132</v>
      </c>
      <c r="B1387" s="4">
        <v>45252</v>
      </c>
      <c r="C1387" s="5">
        <v>0.8569444444444444</v>
      </c>
      <c r="D1387" t="s">
        <v>93</v>
      </c>
      <c r="E1387" t="s">
        <v>16</v>
      </c>
      <c r="F1387">
        <v>42</v>
      </c>
      <c r="G1387" t="s">
        <v>30</v>
      </c>
      <c r="H1387">
        <v>4</v>
      </c>
      <c r="I1387">
        <v>50</v>
      </c>
      <c r="J1387">
        <v>62</v>
      </c>
      <c r="K1387">
        <v>200</v>
      </c>
      <c r="L1387">
        <v>138</v>
      </c>
      <c r="M1387">
        <v>0.69</v>
      </c>
      <c r="N1387" t="s">
        <v>18</v>
      </c>
    </row>
    <row r="1388" spans="1:14">
      <c r="A1388">
        <v>1132</v>
      </c>
      <c r="B1388" s="4">
        <v>45237</v>
      </c>
      <c r="C1388" s="5">
        <v>0.7270833333333333</v>
      </c>
      <c r="D1388" t="s">
        <v>160</v>
      </c>
      <c r="E1388" t="s">
        <v>16</v>
      </c>
      <c r="F1388">
        <v>42</v>
      </c>
      <c r="G1388" t="s">
        <v>30</v>
      </c>
      <c r="H1388">
        <v>4</v>
      </c>
      <c r="I1388">
        <v>50</v>
      </c>
      <c r="J1388">
        <v>59</v>
      </c>
      <c r="K1388">
        <v>200</v>
      </c>
      <c r="L1388">
        <v>141</v>
      </c>
      <c r="M1388">
        <v>0.70499999999999996</v>
      </c>
      <c r="N1388" t="s">
        <v>18</v>
      </c>
    </row>
    <row r="1389" spans="1:14">
      <c r="A1389">
        <v>604</v>
      </c>
      <c r="B1389" s="4">
        <v>44820</v>
      </c>
      <c r="C1389" s="5">
        <v>0.81527777777777777</v>
      </c>
      <c r="D1389" t="s">
        <v>104</v>
      </c>
      <c r="E1389" t="s">
        <v>23</v>
      </c>
      <c r="F1389">
        <v>29</v>
      </c>
      <c r="G1389" t="s">
        <v>30</v>
      </c>
      <c r="H1389">
        <v>4</v>
      </c>
      <c r="I1389">
        <v>50</v>
      </c>
      <c r="J1389">
        <v>50.5</v>
      </c>
      <c r="K1389">
        <v>200</v>
      </c>
      <c r="L1389">
        <v>149.5</v>
      </c>
      <c r="M1389">
        <v>0.74750000000000005</v>
      </c>
      <c r="N1389" t="s">
        <v>39</v>
      </c>
    </row>
    <row r="1390" spans="1:14">
      <c r="A1390">
        <v>832</v>
      </c>
      <c r="B1390" s="4">
        <v>44878</v>
      </c>
      <c r="C1390" s="5">
        <v>0.72569444444444442</v>
      </c>
      <c r="D1390" t="s">
        <v>109</v>
      </c>
      <c r="E1390" t="s">
        <v>16</v>
      </c>
      <c r="F1390">
        <v>47</v>
      </c>
      <c r="G1390" t="s">
        <v>20</v>
      </c>
      <c r="H1390">
        <v>4</v>
      </c>
      <c r="I1390">
        <v>500</v>
      </c>
      <c r="J1390">
        <v>600</v>
      </c>
      <c r="K1390">
        <v>2000</v>
      </c>
      <c r="L1390">
        <v>1400</v>
      </c>
      <c r="M1390">
        <v>0.7</v>
      </c>
      <c r="N1390" t="s">
        <v>21</v>
      </c>
    </row>
    <row r="1391" spans="1:14">
      <c r="A1391">
        <v>1604</v>
      </c>
      <c r="B1391" s="4">
        <v>44924</v>
      </c>
      <c r="C1391" s="5">
        <v>0.77986111111111112</v>
      </c>
      <c r="D1391" t="s">
        <v>124</v>
      </c>
      <c r="E1391" t="s">
        <v>23</v>
      </c>
      <c r="F1391">
        <v>29</v>
      </c>
      <c r="G1391" t="s">
        <v>30</v>
      </c>
      <c r="H1391">
        <v>4</v>
      </c>
      <c r="I1391">
        <v>50</v>
      </c>
      <c r="J1391">
        <v>56</v>
      </c>
      <c r="K1391">
        <v>200</v>
      </c>
      <c r="L1391">
        <v>144</v>
      </c>
      <c r="M1391">
        <v>0.72</v>
      </c>
      <c r="N1391" t="s">
        <v>39</v>
      </c>
    </row>
    <row r="1392" spans="1:14">
      <c r="A1392">
        <v>1832</v>
      </c>
      <c r="B1392" s="4">
        <v>45240</v>
      </c>
      <c r="C1392" s="5">
        <v>0.88680555555555551</v>
      </c>
      <c r="D1392" t="s">
        <v>64</v>
      </c>
      <c r="E1392" t="s">
        <v>16</v>
      </c>
      <c r="F1392">
        <v>47</v>
      </c>
      <c r="G1392" t="s">
        <v>20</v>
      </c>
      <c r="H1392">
        <v>4</v>
      </c>
      <c r="I1392">
        <v>500</v>
      </c>
      <c r="J1392">
        <v>480</v>
      </c>
      <c r="K1392">
        <v>2000</v>
      </c>
      <c r="L1392">
        <v>1520</v>
      </c>
      <c r="M1392">
        <v>0.76</v>
      </c>
      <c r="N1392" t="s">
        <v>21</v>
      </c>
    </row>
    <row r="1393" spans="1:14">
      <c r="A1393">
        <v>113</v>
      </c>
      <c r="B1393" s="4">
        <v>44842</v>
      </c>
      <c r="C1393" s="5">
        <v>0.80138888888888893</v>
      </c>
      <c r="D1393" t="s">
        <v>62</v>
      </c>
      <c r="E1393" t="s">
        <v>23</v>
      </c>
      <c r="F1393">
        <v>41</v>
      </c>
      <c r="G1393" t="s">
        <v>30</v>
      </c>
      <c r="H1393">
        <v>2</v>
      </c>
      <c r="I1393">
        <v>25</v>
      </c>
      <c r="J1393">
        <v>26.25</v>
      </c>
      <c r="K1393">
        <v>50</v>
      </c>
      <c r="L1393">
        <v>23.75</v>
      </c>
      <c r="M1393">
        <v>0.47499999999999998</v>
      </c>
      <c r="N1393" t="s">
        <v>18</v>
      </c>
    </row>
    <row r="1394" spans="1:14">
      <c r="A1394">
        <v>1113</v>
      </c>
      <c r="B1394" s="4">
        <v>45268</v>
      </c>
      <c r="C1394" s="5">
        <v>0.7368055555555556</v>
      </c>
      <c r="D1394" t="s">
        <v>154</v>
      </c>
      <c r="E1394" t="s">
        <v>23</v>
      </c>
      <c r="F1394">
        <v>41</v>
      </c>
      <c r="G1394" t="s">
        <v>30</v>
      </c>
      <c r="H1394">
        <v>2</v>
      </c>
      <c r="I1394">
        <v>25</v>
      </c>
      <c r="J1394">
        <v>27.75</v>
      </c>
      <c r="K1394">
        <v>50</v>
      </c>
      <c r="L1394">
        <v>22.25</v>
      </c>
      <c r="M1394">
        <v>0.44500000000000001</v>
      </c>
      <c r="N1394" t="s">
        <v>18</v>
      </c>
    </row>
    <row r="1395" spans="1:14">
      <c r="A1395">
        <v>165</v>
      </c>
      <c r="B1395" s="4">
        <v>44828</v>
      </c>
      <c r="C1395" s="5">
        <v>0.79236111111111107</v>
      </c>
      <c r="D1395" t="s">
        <v>82</v>
      </c>
      <c r="E1395" t="s">
        <v>23</v>
      </c>
      <c r="F1395">
        <v>60</v>
      </c>
      <c r="G1395" t="s">
        <v>17</v>
      </c>
      <c r="H1395">
        <v>4</v>
      </c>
      <c r="I1395">
        <v>300</v>
      </c>
      <c r="J1395">
        <v>318</v>
      </c>
      <c r="K1395">
        <v>1200</v>
      </c>
      <c r="L1395">
        <v>882</v>
      </c>
      <c r="M1395">
        <v>0.73499999999999999</v>
      </c>
      <c r="N1395" t="s">
        <v>28</v>
      </c>
    </row>
    <row r="1396" spans="1:14">
      <c r="A1396">
        <v>1165</v>
      </c>
      <c r="B1396" s="4">
        <v>45261</v>
      </c>
      <c r="C1396" s="5">
        <v>0.71111111111111114</v>
      </c>
      <c r="D1396" t="s">
        <v>91</v>
      </c>
      <c r="E1396" t="s">
        <v>23</v>
      </c>
      <c r="F1396">
        <v>60</v>
      </c>
      <c r="G1396" t="s">
        <v>17</v>
      </c>
      <c r="H1396">
        <v>4</v>
      </c>
      <c r="I1396">
        <v>300</v>
      </c>
      <c r="J1396">
        <v>291</v>
      </c>
      <c r="K1396">
        <v>1200</v>
      </c>
      <c r="L1396">
        <v>909</v>
      </c>
      <c r="M1396">
        <v>0.75749999999999995</v>
      </c>
      <c r="N1396" t="s">
        <v>28</v>
      </c>
    </row>
    <row r="1397" spans="1:14">
      <c r="A1397">
        <v>326</v>
      </c>
      <c r="B1397" s="4">
        <v>45253</v>
      </c>
      <c r="C1397" s="5">
        <v>0.82708333333333328</v>
      </c>
      <c r="D1397" t="s">
        <v>171</v>
      </c>
      <c r="E1397" t="s">
        <v>23</v>
      </c>
      <c r="F1397">
        <v>18</v>
      </c>
      <c r="G1397" t="s">
        <v>17</v>
      </c>
      <c r="H1397">
        <v>3</v>
      </c>
      <c r="I1397">
        <v>25</v>
      </c>
      <c r="J1397">
        <v>24.25</v>
      </c>
      <c r="K1397">
        <v>75</v>
      </c>
      <c r="L1397">
        <v>50.75</v>
      </c>
      <c r="M1397">
        <v>0.67666666666666664</v>
      </c>
      <c r="N1397" t="s">
        <v>31</v>
      </c>
    </row>
    <row r="1398" spans="1:14">
      <c r="A1398">
        <v>1326</v>
      </c>
      <c r="B1398" s="4">
        <v>45170</v>
      </c>
      <c r="C1398" s="5">
        <v>0.94097222222222221</v>
      </c>
      <c r="D1398" t="s">
        <v>32</v>
      </c>
      <c r="E1398" t="s">
        <v>23</v>
      </c>
      <c r="F1398">
        <v>18</v>
      </c>
      <c r="G1398" t="s">
        <v>17</v>
      </c>
      <c r="H1398">
        <v>3</v>
      </c>
      <c r="I1398">
        <v>25</v>
      </c>
      <c r="J1398">
        <v>28.75</v>
      </c>
      <c r="K1398">
        <v>75</v>
      </c>
      <c r="L1398">
        <v>46.25</v>
      </c>
      <c r="M1398">
        <v>0.6166666666666667</v>
      </c>
      <c r="N1398" t="s">
        <v>31</v>
      </c>
    </row>
    <row r="1399" spans="1:14">
      <c r="A1399">
        <v>19</v>
      </c>
      <c r="B1399" s="4">
        <v>45256</v>
      </c>
      <c r="C1399" s="5">
        <v>0.81874999999999998</v>
      </c>
      <c r="D1399" t="s">
        <v>152</v>
      </c>
      <c r="E1399" t="s">
        <v>23</v>
      </c>
      <c r="F1399">
        <v>62</v>
      </c>
      <c r="G1399" t="s">
        <v>17</v>
      </c>
      <c r="H1399">
        <v>2</v>
      </c>
      <c r="I1399">
        <v>25</v>
      </c>
      <c r="J1399">
        <v>28.5</v>
      </c>
      <c r="K1399">
        <v>50</v>
      </c>
      <c r="L1399">
        <v>21.5</v>
      </c>
      <c r="M1399">
        <v>0.43</v>
      </c>
      <c r="N1399" t="s">
        <v>28</v>
      </c>
    </row>
    <row r="1400" spans="1:14">
      <c r="A1400">
        <v>412</v>
      </c>
      <c r="B1400" s="4">
        <v>44808</v>
      </c>
      <c r="C1400" s="5">
        <v>0.81666666666666665</v>
      </c>
      <c r="D1400" t="s">
        <v>152</v>
      </c>
      <c r="E1400" t="s">
        <v>23</v>
      </c>
      <c r="F1400">
        <v>19</v>
      </c>
      <c r="G1400" t="s">
        <v>30</v>
      </c>
      <c r="H1400">
        <v>4</v>
      </c>
      <c r="I1400">
        <v>500</v>
      </c>
      <c r="J1400">
        <v>570</v>
      </c>
      <c r="K1400">
        <v>2000</v>
      </c>
      <c r="L1400">
        <v>1430</v>
      </c>
      <c r="M1400">
        <v>0.71499999999999997</v>
      </c>
      <c r="N1400" t="s">
        <v>31</v>
      </c>
    </row>
    <row r="1401" spans="1:14">
      <c r="A1401">
        <v>632</v>
      </c>
      <c r="B1401" s="4">
        <v>45224</v>
      </c>
      <c r="C1401" s="5">
        <v>0.84236111111111112</v>
      </c>
      <c r="D1401" t="s">
        <v>92</v>
      </c>
      <c r="E1401" t="s">
        <v>23</v>
      </c>
      <c r="F1401">
        <v>26</v>
      </c>
      <c r="G1401" t="s">
        <v>30</v>
      </c>
      <c r="H1401">
        <v>4</v>
      </c>
      <c r="I1401">
        <v>25</v>
      </c>
      <c r="J1401">
        <v>24.75</v>
      </c>
      <c r="K1401">
        <v>100</v>
      </c>
      <c r="L1401">
        <v>75.25</v>
      </c>
      <c r="M1401">
        <v>0.75249999999999995</v>
      </c>
      <c r="N1401" t="s">
        <v>39</v>
      </c>
    </row>
    <row r="1402" spans="1:14">
      <c r="A1402">
        <v>1019</v>
      </c>
      <c r="B1402" s="4">
        <v>45274</v>
      </c>
      <c r="C1402" s="5">
        <v>0.89027777777777772</v>
      </c>
      <c r="D1402" t="s">
        <v>119</v>
      </c>
      <c r="E1402" t="s">
        <v>23</v>
      </c>
      <c r="F1402">
        <v>62</v>
      </c>
      <c r="G1402" t="s">
        <v>17</v>
      </c>
      <c r="H1402">
        <v>2</v>
      </c>
      <c r="I1402">
        <v>25</v>
      </c>
      <c r="J1402">
        <v>25.75</v>
      </c>
      <c r="K1402">
        <v>50</v>
      </c>
      <c r="L1402">
        <v>24.25</v>
      </c>
      <c r="M1402">
        <v>0.48499999999999999</v>
      </c>
      <c r="N1402" t="s">
        <v>28</v>
      </c>
    </row>
    <row r="1403" spans="1:14">
      <c r="A1403">
        <v>1412</v>
      </c>
      <c r="B1403" s="4">
        <v>44847</v>
      </c>
      <c r="C1403" s="5">
        <v>0.83263888888888893</v>
      </c>
      <c r="D1403" t="s">
        <v>82</v>
      </c>
      <c r="E1403" t="s">
        <v>23</v>
      </c>
      <c r="F1403">
        <v>19</v>
      </c>
      <c r="G1403" t="s">
        <v>30</v>
      </c>
      <c r="H1403">
        <v>4</v>
      </c>
      <c r="I1403">
        <v>500</v>
      </c>
      <c r="J1403">
        <v>615</v>
      </c>
      <c r="K1403">
        <v>2000</v>
      </c>
      <c r="L1403">
        <v>1385</v>
      </c>
      <c r="M1403">
        <v>0.6925</v>
      </c>
      <c r="N1403" t="s">
        <v>31</v>
      </c>
    </row>
    <row r="1404" spans="1:14">
      <c r="A1404">
        <v>1632</v>
      </c>
      <c r="B1404" s="4">
        <v>44853</v>
      </c>
      <c r="C1404" s="5">
        <v>0.76111111111111107</v>
      </c>
      <c r="D1404" t="s">
        <v>91</v>
      </c>
      <c r="E1404" t="s">
        <v>23</v>
      </c>
      <c r="F1404">
        <v>26</v>
      </c>
      <c r="G1404" t="s">
        <v>30</v>
      </c>
      <c r="H1404">
        <v>4</v>
      </c>
      <c r="I1404">
        <v>25</v>
      </c>
      <c r="J1404">
        <v>24.75</v>
      </c>
      <c r="K1404">
        <v>100</v>
      </c>
      <c r="L1404">
        <v>75.25</v>
      </c>
      <c r="M1404">
        <v>0.75249999999999995</v>
      </c>
      <c r="N1404" t="s">
        <v>39</v>
      </c>
    </row>
    <row r="1405" spans="1:14">
      <c r="A1405">
        <v>167</v>
      </c>
      <c r="B1405" s="4">
        <v>45190</v>
      </c>
      <c r="C1405" s="5">
        <v>0.87361111111111112</v>
      </c>
      <c r="D1405" t="s">
        <v>178</v>
      </c>
      <c r="E1405" t="s">
        <v>23</v>
      </c>
      <c r="F1405">
        <v>43</v>
      </c>
      <c r="G1405" t="s">
        <v>17</v>
      </c>
      <c r="H1405">
        <v>3</v>
      </c>
      <c r="I1405">
        <v>50</v>
      </c>
      <c r="J1405">
        <v>49</v>
      </c>
      <c r="K1405">
        <v>150</v>
      </c>
      <c r="L1405">
        <v>101</v>
      </c>
      <c r="M1405">
        <v>0.67333333333333334</v>
      </c>
      <c r="N1405" t="s">
        <v>18</v>
      </c>
    </row>
    <row r="1406" spans="1:14">
      <c r="A1406">
        <v>172</v>
      </c>
      <c r="B1406" s="4">
        <v>44855</v>
      </c>
      <c r="C1406" s="5">
        <v>0.75624999999999998</v>
      </c>
      <c r="D1406" t="s">
        <v>19</v>
      </c>
      <c r="E1406" t="s">
        <v>16</v>
      </c>
      <c r="F1406">
        <v>32</v>
      </c>
      <c r="G1406" t="s">
        <v>20</v>
      </c>
      <c r="H1406">
        <v>2</v>
      </c>
      <c r="I1406">
        <v>25</v>
      </c>
      <c r="J1406">
        <v>28</v>
      </c>
      <c r="K1406">
        <v>50</v>
      </c>
      <c r="L1406">
        <v>22</v>
      </c>
      <c r="M1406">
        <v>0.44</v>
      </c>
      <c r="N1406" t="s">
        <v>39</v>
      </c>
    </row>
    <row r="1407" spans="1:14">
      <c r="A1407">
        <v>375</v>
      </c>
      <c r="B1407" s="4">
        <v>45191</v>
      </c>
      <c r="C1407" s="5">
        <v>0.73055555555555551</v>
      </c>
      <c r="D1407" t="s">
        <v>54</v>
      </c>
      <c r="E1407" t="s">
        <v>16</v>
      </c>
      <c r="F1407">
        <v>32</v>
      </c>
      <c r="G1407" t="s">
        <v>17</v>
      </c>
      <c r="H1407">
        <v>1</v>
      </c>
      <c r="I1407">
        <v>50</v>
      </c>
      <c r="J1407">
        <v>52</v>
      </c>
      <c r="K1407">
        <v>50</v>
      </c>
      <c r="L1407">
        <v>-2</v>
      </c>
      <c r="M1407">
        <v>-0.04</v>
      </c>
      <c r="N1407" t="s">
        <v>39</v>
      </c>
    </row>
    <row r="1408" spans="1:14">
      <c r="A1408">
        <v>538</v>
      </c>
      <c r="B1408" s="4">
        <v>45282</v>
      </c>
      <c r="C1408" s="5">
        <v>0.76388888888888884</v>
      </c>
      <c r="D1408" t="s">
        <v>37</v>
      </c>
      <c r="E1408" t="s">
        <v>16</v>
      </c>
      <c r="F1408">
        <v>18</v>
      </c>
      <c r="G1408" t="s">
        <v>17</v>
      </c>
      <c r="H1408">
        <v>3</v>
      </c>
      <c r="I1408">
        <v>50</v>
      </c>
      <c r="J1408">
        <v>56.5</v>
      </c>
      <c r="K1408">
        <v>150</v>
      </c>
      <c r="L1408">
        <v>93.5</v>
      </c>
      <c r="M1408">
        <v>0.62333333333333329</v>
      </c>
      <c r="N1408" t="s">
        <v>31</v>
      </c>
    </row>
    <row r="1409" spans="1:14">
      <c r="A1409">
        <v>794</v>
      </c>
      <c r="B1409" s="4">
        <v>44867</v>
      </c>
      <c r="C1409" s="5">
        <v>0.90763888888888888</v>
      </c>
      <c r="D1409" t="s">
        <v>61</v>
      </c>
      <c r="E1409" t="s">
        <v>23</v>
      </c>
      <c r="F1409">
        <v>60</v>
      </c>
      <c r="G1409" t="s">
        <v>20</v>
      </c>
      <c r="H1409">
        <v>1</v>
      </c>
      <c r="I1409">
        <v>300</v>
      </c>
      <c r="J1409">
        <v>315</v>
      </c>
      <c r="K1409">
        <v>300</v>
      </c>
      <c r="L1409">
        <v>-15</v>
      </c>
      <c r="M1409">
        <v>-0.05</v>
      </c>
      <c r="N1409" t="s">
        <v>28</v>
      </c>
    </row>
    <row r="1410" spans="1:14">
      <c r="A1410">
        <v>1167</v>
      </c>
      <c r="B1410" s="4">
        <v>45198</v>
      </c>
      <c r="C1410" s="5">
        <v>0.88958333333333328</v>
      </c>
      <c r="D1410" t="s">
        <v>150</v>
      </c>
      <c r="E1410" t="s">
        <v>23</v>
      </c>
      <c r="F1410">
        <v>43</v>
      </c>
      <c r="G1410" t="s">
        <v>17</v>
      </c>
      <c r="H1410">
        <v>3</v>
      </c>
      <c r="I1410">
        <v>50</v>
      </c>
      <c r="J1410">
        <v>54</v>
      </c>
      <c r="K1410">
        <v>150</v>
      </c>
      <c r="L1410">
        <v>96</v>
      </c>
      <c r="M1410">
        <v>0.64</v>
      </c>
      <c r="N1410" t="s">
        <v>18</v>
      </c>
    </row>
    <row r="1411" spans="1:14">
      <c r="A1411">
        <v>1172</v>
      </c>
      <c r="B1411" s="4">
        <v>44853</v>
      </c>
      <c r="C1411" s="5">
        <v>0.8833333333333333</v>
      </c>
      <c r="D1411" t="s">
        <v>41</v>
      </c>
      <c r="E1411" t="s">
        <v>16</v>
      </c>
      <c r="F1411">
        <v>32</v>
      </c>
      <c r="G1411" t="s">
        <v>20</v>
      </c>
      <c r="H1411">
        <v>2</v>
      </c>
      <c r="I1411">
        <v>25</v>
      </c>
      <c r="J1411">
        <v>28.5</v>
      </c>
      <c r="K1411">
        <v>50</v>
      </c>
      <c r="L1411">
        <v>21.5</v>
      </c>
      <c r="M1411">
        <v>0.43</v>
      </c>
      <c r="N1411" t="s">
        <v>39</v>
      </c>
    </row>
    <row r="1412" spans="1:14">
      <c r="A1412">
        <v>1375</v>
      </c>
      <c r="B1412" s="4">
        <v>44835</v>
      </c>
      <c r="C1412" s="5">
        <v>0.74305555555555558</v>
      </c>
      <c r="D1412" t="s">
        <v>180</v>
      </c>
      <c r="E1412" t="s">
        <v>16</v>
      </c>
      <c r="F1412">
        <v>32</v>
      </c>
      <c r="G1412" t="s">
        <v>17</v>
      </c>
      <c r="H1412">
        <v>1</v>
      </c>
      <c r="I1412">
        <v>50</v>
      </c>
      <c r="J1412">
        <v>59</v>
      </c>
      <c r="K1412">
        <v>50</v>
      </c>
      <c r="L1412">
        <v>-9</v>
      </c>
      <c r="M1412">
        <v>-0.18</v>
      </c>
      <c r="N1412" t="s">
        <v>39</v>
      </c>
    </row>
    <row r="1413" spans="1:14">
      <c r="A1413">
        <v>1538</v>
      </c>
      <c r="B1413" s="4">
        <v>44816</v>
      </c>
      <c r="C1413" s="5">
        <v>0.87291666666666667</v>
      </c>
      <c r="D1413" t="s">
        <v>129</v>
      </c>
      <c r="E1413" t="s">
        <v>16</v>
      </c>
      <c r="F1413">
        <v>18</v>
      </c>
      <c r="G1413" t="s">
        <v>17</v>
      </c>
      <c r="H1413">
        <v>3</v>
      </c>
      <c r="I1413">
        <v>50</v>
      </c>
      <c r="J1413">
        <v>53.5</v>
      </c>
      <c r="K1413">
        <v>150</v>
      </c>
      <c r="L1413">
        <v>96.5</v>
      </c>
      <c r="M1413">
        <v>0.64333333333333331</v>
      </c>
      <c r="N1413" t="s">
        <v>31</v>
      </c>
    </row>
    <row r="1414" spans="1:14">
      <c r="A1414">
        <v>1794</v>
      </c>
      <c r="B1414" s="4">
        <v>44917</v>
      </c>
      <c r="C1414" s="5">
        <v>0.81944444444444442</v>
      </c>
      <c r="D1414" t="s">
        <v>112</v>
      </c>
      <c r="E1414" t="s">
        <v>23</v>
      </c>
      <c r="F1414">
        <v>60</v>
      </c>
      <c r="G1414" t="s">
        <v>20</v>
      </c>
      <c r="H1414">
        <v>1</v>
      </c>
      <c r="I1414">
        <v>300</v>
      </c>
      <c r="J1414">
        <v>351</v>
      </c>
      <c r="K1414">
        <v>300</v>
      </c>
      <c r="L1414">
        <v>-51</v>
      </c>
      <c r="M1414">
        <v>-0.17</v>
      </c>
      <c r="N1414" t="s">
        <v>28</v>
      </c>
    </row>
    <row r="1415" spans="1:14">
      <c r="A1415">
        <v>131</v>
      </c>
      <c r="B1415" s="4">
        <v>45198</v>
      </c>
      <c r="C1415" s="5">
        <v>0.93888888888888888</v>
      </c>
      <c r="D1415" t="s">
        <v>76</v>
      </c>
      <c r="E1415" t="s">
        <v>23</v>
      </c>
      <c r="F1415">
        <v>21</v>
      </c>
      <c r="G1415" t="s">
        <v>20</v>
      </c>
      <c r="H1415">
        <v>2</v>
      </c>
      <c r="I1415">
        <v>300</v>
      </c>
      <c r="J1415">
        <v>375</v>
      </c>
      <c r="K1415">
        <v>600</v>
      </c>
      <c r="L1415">
        <v>225</v>
      </c>
      <c r="M1415">
        <v>0.375</v>
      </c>
      <c r="N1415" t="s">
        <v>31</v>
      </c>
    </row>
    <row r="1416" spans="1:14">
      <c r="A1416">
        <v>330</v>
      </c>
      <c r="B1416" s="4">
        <v>44845</v>
      </c>
      <c r="C1416" s="5">
        <v>0.84583333333333333</v>
      </c>
      <c r="D1416" t="s">
        <v>57</v>
      </c>
      <c r="E1416" t="s">
        <v>23</v>
      </c>
      <c r="F1416">
        <v>25</v>
      </c>
      <c r="G1416" t="s">
        <v>20</v>
      </c>
      <c r="H1416">
        <v>4</v>
      </c>
      <c r="I1416">
        <v>50</v>
      </c>
      <c r="J1416">
        <v>55</v>
      </c>
      <c r="K1416">
        <v>200</v>
      </c>
      <c r="L1416">
        <v>145</v>
      </c>
      <c r="M1416">
        <v>0.72499999999999998</v>
      </c>
      <c r="N1416" t="s">
        <v>31</v>
      </c>
    </row>
    <row r="1417" spans="1:14">
      <c r="A1417">
        <v>494</v>
      </c>
      <c r="B1417" s="4">
        <v>45194</v>
      </c>
      <c r="C1417" s="5">
        <v>0.84583333333333333</v>
      </c>
      <c r="D1417" t="s">
        <v>168</v>
      </c>
      <c r="E1417" t="s">
        <v>23</v>
      </c>
      <c r="F1417">
        <v>42</v>
      </c>
      <c r="G1417" t="s">
        <v>20</v>
      </c>
      <c r="H1417">
        <v>4</v>
      </c>
      <c r="I1417">
        <v>50</v>
      </c>
      <c r="J1417">
        <v>58</v>
      </c>
      <c r="K1417">
        <v>200</v>
      </c>
      <c r="L1417">
        <v>142</v>
      </c>
      <c r="M1417">
        <v>0.71</v>
      </c>
      <c r="N1417" t="s">
        <v>18</v>
      </c>
    </row>
    <row r="1418" spans="1:14">
      <c r="A1418">
        <v>1131</v>
      </c>
      <c r="B1418" s="4">
        <v>44926</v>
      </c>
      <c r="C1418" s="5">
        <v>0.80277777777777781</v>
      </c>
      <c r="D1418" t="s">
        <v>51</v>
      </c>
      <c r="E1418" t="s">
        <v>23</v>
      </c>
      <c r="F1418">
        <v>21</v>
      </c>
      <c r="G1418" t="s">
        <v>20</v>
      </c>
      <c r="H1418">
        <v>2</v>
      </c>
      <c r="I1418">
        <v>300</v>
      </c>
      <c r="J1418">
        <v>336</v>
      </c>
      <c r="K1418">
        <v>600</v>
      </c>
      <c r="L1418">
        <v>264</v>
      </c>
      <c r="M1418">
        <v>0.44</v>
      </c>
      <c r="N1418" t="s">
        <v>31</v>
      </c>
    </row>
    <row r="1419" spans="1:14">
      <c r="A1419">
        <v>1330</v>
      </c>
      <c r="B1419" s="4">
        <v>45254</v>
      </c>
      <c r="C1419" s="5">
        <v>0.74236111111111114</v>
      </c>
      <c r="D1419" t="s">
        <v>87</v>
      </c>
      <c r="E1419" t="s">
        <v>23</v>
      </c>
      <c r="F1419">
        <v>25</v>
      </c>
      <c r="G1419" t="s">
        <v>20</v>
      </c>
      <c r="H1419">
        <v>4</v>
      </c>
      <c r="I1419">
        <v>50</v>
      </c>
      <c r="J1419">
        <v>48</v>
      </c>
      <c r="K1419">
        <v>200</v>
      </c>
      <c r="L1419">
        <v>152</v>
      </c>
      <c r="M1419">
        <v>0.76</v>
      </c>
      <c r="N1419" t="s">
        <v>31</v>
      </c>
    </row>
    <row r="1420" spans="1:14">
      <c r="A1420">
        <v>1494</v>
      </c>
      <c r="B1420" s="4">
        <v>44857</v>
      </c>
      <c r="C1420" s="5">
        <v>0.81180555555555556</v>
      </c>
      <c r="D1420" t="s">
        <v>145</v>
      </c>
      <c r="E1420" t="s">
        <v>23</v>
      </c>
      <c r="F1420">
        <v>42</v>
      </c>
      <c r="G1420" t="s">
        <v>20</v>
      </c>
      <c r="H1420">
        <v>4</v>
      </c>
      <c r="I1420">
        <v>50</v>
      </c>
      <c r="J1420">
        <v>62.5</v>
      </c>
      <c r="K1420">
        <v>200</v>
      </c>
      <c r="L1420">
        <v>137.5</v>
      </c>
      <c r="M1420">
        <v>0.6875</v>
      </c>
      <c r="N1420" t="s">
        <v>18</v>
      </c>
    </row>
    <row r="1421" spans="1:14">
      <c r="A1421">
        <v>513</v>
      </c>
      <c r="B1421" s="4">
        <v>44855</v>
      </c>
      <c r="C1421" s="5">
        <v>0.77152777777777781</v>
      </c>
      <c r="D1421" t="s">
        <v>24</v>
      </c>
      <c r="E1421" t="s">
        <v>16</v>
      </c>
      <c r="F1421">
        <v>24</v>
      </c>
      <c r="G1421" t="s">
        <v>30</v>
      </c>
      <c r="H1421">
        <v>4</v>
      </c>
      <c r="I1421">
        <v>25</v>
      </c>
      <c r="J1421">
        <v>24.5</v>
      </c>
      <c r="K1421">
        <v>100</v>
      </c>
      <c r="L1421">
        <v>75.5</v>
      </c>
      <c r="M1421">
        <v>0.755</v>
      </c>
      <c r="N1421" t="s">
        <v>31</v>
      </c>
    </row>
    <row r="1422" spans="1:14">
      <c r="A1422">
        <v>573</v>
      </c>
      <c r="B1422" s="4">
        <v>45188</v>
      </c>
      <c r="C1422" s="5">
        <v>0.95763888888888893</v>
      </c>
      <c r="D1422" t="s">
        <v>92</v>
      </c>
      <c r="E1422" t="s">
        <v>16</v>
      </c>
      <c r="F1422">
        <v>49</v>
      </c>
      <c r="G1422" t="s">
        <v>20</v>
      </c>
      <c r="H1422">
        <v>2</v>
      </c>
      <c r="I1422">
        <v>30</v>
      </c>
      <c r="J1422">
        <v>36.299999999999997</v>
      </c>
      <c r="K1422">
        <v>60</v>
      </c>
      <c r="L1422">
        <v>23.700000000000003</v>
      </c>
      <c r="M1422">
        <v>0.39500000000000007</v>
      </c>
      <c r="N1422" t="s">
        <v>21</v>
      </c>
    </row>
    <row r="1423" spans="1:14">
      <c r="A1423">
        <v>1513</v>
      </c>
      <c r="B1423" s="4">
        <v>44835</v>
      </c>
      <c r="C1423" s="5">
        <v>0.90763888888888888</v>
      </c>
      <c r="D1423" t="s">
        <v>169</v>
      </c>
      <c r="E1423" t="s">
        <v>16</v>
      </c>
      <c r="F1423">
        <v>24</v>
      </c>
      <c r="G1423" t="s">
        <v>30</v>
      </c>
      <c r="H1423">
        <v>4</v>
      </c>
      <c r="I1423">
        <v>25</v>
      </c>
      <c r="J1423">
        <v>31</v>
      </c>
      <c r="K1423">
        <v>100</v>
      </c>
      <c r="L1423">
        <v>69</v>
      </c>
      <c r="M1423">
        <v>0.69</v>
      </c>
      <c r="N1423" t="s">
        <v>31</v>
      </c>
    </row>
    <row r="1424" spans="1:14">
      <c r="A1424">
        <v>1573</v>
      </c>
      <c r="B1424" s="4">
        <v>44847</v>
      </c>
      <c r="C1424" s="5">
        <v>0.90625</v>
      </c>
      <c r="D1424" t="s">
        <v>147</v>
      </c>
      <c r="E1424" t="s">
        <v>16</v>
      </c>
      <c r="F1424">
        <v>49</v>
      </c>
      <c r="G1424" t="s">
        <v>20</v>
      </c>
      <c r="H1424">
        <v>2</v>
      </c>
      <c r="I1424">
        <v>30</v>
      </c>
      <c r="J1424">
        <v>31.2</v>
      </c>
      <c r="K1424">
        <v>60</v>
      </c>
      <c r="L1424">
        <v>28.8</v>
      </c>
      <c r="M1424">
        <v>0.48000000000000004</v>
      </c>
      <c r="N1424" t="s">
        <v>21</v>
      </c>
    </row>
    <row r="1425" spans="1:14">
      <c r="A1425">
        <v>241</v>
      </c>
      <c r="B1425" s="4">
        <v>45279</v>
      </c>
      <c r="C1425" s="5">
        <v>0.84791666666666665</v>
      </c>
      <c r="D1425" t="s">
        <v>171</v>
      </c>
      <c r="E1425" t="s">
        <v>23</v>
      </c>
      <c r="F1425">
        <v>23</v>
      </c>
      <c r="G1425" t="s">
        <v>30</v>
      </c>
      <c r="H1425">
        <v>3</v>
      </c>
      <c r="I1425">
        <v>25</v>
      </c>
      <c r="J1425">
        <v>26.75</v>
      </c>
      <c r="K1425">
        <v>75</v>
      </c>
      <c r="L1425">
        <v>48.25</v>
      </c>
      <c r="M1425">
        <v>0.64333333333333331</v>
      </c>
      <c r="N1425" t="s">
        <v>31</v>
      </c>
    </row>
    <row r="1426" spans="1:14">
      <c r="A1426">
        <v>579</v>
      </c>
      <c r="B1426" s="4">
        <v>45205</v>
      </c>
      <c r="C1426" s="5">
        <v>0.73819444444444449</v>
      </c>
      <c r="D1426" t="s">
        <v>77</v>
      </c>
      <c r="E1426" t="s">
        <v>23</v>
      </c>
      <c r="F1426">
        <v>38</v>
      </c>
      <c r="G1426" t="s">
        <v>30</v>
      </c>
      <c r="H1426">
        <v>1</v>
      </c>
      <c r="I1426">
        <v>30</v>
      </c>
      <c r="J1426">
        <v>36.6</v>
      </c>
      <c r="K1426">
        <v>30</v>
      </c>
      <c r="L1426">
        <v>-6.6000000000000014</v>
      </c>
      <c r="M1426">
        <v>-0.22000000000000006</v>
      </c>
      <c r="N1426" t="s">
        <v>18</v>
      </c>
    </row>
    <row r="1427" spans="1:14">
      <c r="A1427">
        <v>1241</v>
      </c>
      <c r="B1427" s="4">
        <v>45179</v>
      </c>
      <c r="C1427" s="5">
        <v>0.72777777777777775</v>
      </c>
      <c r="D1427" t="s">
        <v>112</v>
      </c>
      <c r="E1427" t="s">
        <v>23</v>
      </c>
      <c r="F1427">
        <v>23</v>
      </c>
      <c r="G1427" t="s">
        <v>30</v>
      </c>
      <c r="H1427">
        <v>3</v>
      </c>
      <c r="I1427">
        <v>25</v>
      </c>
      <c r="J1427">
        <v>24.5</v>
      </c>
      <c r="K1427">
        <v>75</v>
      </c>
      <c r="L1427">
        <v>50.5</v>
      </c>
      <c r="M1427">
        <v>0.67333333333333334</v>
      </c>
      <c r="N1427" t="s">
        <v>31</v>
      </c>
    </row>
    <row r="1428" spans="1:14">
      <c r="A1428">
        <v>1579</v>
      </c>
      <c r="B1428" s="4">
        <v>45197</v>
      </c>
      <c r="C1428" s="5">
        <v>0.73472222222222228</v>
      </c>
      <c r="D1428" t="s">
        <v>122</v>
      </c>
      <c r="E1428" t="s">
        <v>23</v>
      </c>
      <c r="F1428">
        <v>38</v>
      </c>
      <c r="G1428" t="s">
        <v>30</v>
      </c>
      <c r="H1428">
        <v>1</v>
      </c>
      <c r="I1428">
        <v>30</v>
      </c>
      <c r="J1428">
        <v>28.8</v>
      </c>
      <c r="K1428">
        <v>30</v>
      </c>
      <c r="L1428">
        <v>1.1999999999999993</v>
      </c>
      <c r="M1428">
        <v>3.9999999999999973E-2</v>
      </c>
      <c r="N1428" t="s">
        <v>18</v>
      </c>
    </row>
    <row r="1429" spans="1:14">
      <c r="A1429">
        <v>218</v>
      </c>
      <c r="B1429" s="4">
        <v>44889</v>
      </c>
      <c r="C1429" s="5">
        <v>0.86041666666666672</v>
      </c>
      <c r="D1429" t="s">
        <v>27</v>
      </c>
      <c r="E1429" t="s">
        <v>16</v>
      </c>
      <c r="F1429">
        <v>64</v>
      </c>
      <c r="G1429" t="s">
        <v>20</v>
      </c>
      <c r="H1429">
        <v>3</v>
      </c>
      <c r="I1429">
        <v>30</v>
      </c>
      <c r="J1429">
        <v>33.9</v>
      </c>
      <c r="K1429">
        <v>90</v>
      </c>
      <c r="L1429">
        <v>56.1</v>
      </c>
      <c r="M1429">
        <v>0.62333333333333329</v>
      </c>
      <c r="N1429" t="s">
        <v>28</v>
      </c>
    </row>
    <row r="1430" spans="1:14">
      <c r="A1430">
        <v>846</v>
      </c>
      <c r="B1430" s="4">
        <v>45282</v>
      </c>
      <c r="C1430" s="5">
        <v>0.78194444444444444</v>
      </c>
      <c r="D1430" t="s">
        <v>120</v>
      </c>
      <c r="E1430" t="s">
        <v>16</v>
      </c>
      <c r="F1430">
        <v>42</v>
      </c>
      <c r="G1430" t="s">
        <v>20</v>
      </c>
      <c r="H1430">
        <v>1</v>
      </c>
      <c r="I1430">
        <v>50</v>
      </c>
      <c r="J1430">
        <v>59.5</v>
      </c>
      <c r="K1430">
        <v>50</v>
      </c>
      <c r="L1430">
        <v>-9.5</v>
      </c>
      <c r="M1430">
        <v>-0.19</v>
      </c>
      <c r="N1430" t="s">
        <v>18</v>
      </c>
    </row>
    <row r="1431" spans="1:14">
      <c r="A1431">
        <v>1218</v>
      </c>
      <c r="B1431" s="4">
        <v>45224</v>
      </c>
      <c r="C1431" s="5">
        <v>0.9243055555555556</v>
      </c>
      <c r="D1431" t="s">
        <v>152</v>
      </c>
      <c r="E1431" t="s">
        <v>16</v>
      </c>
      <c r="F1431">
        <v>64</v>
      </c>
      <c r="G1431" t="s">
        <v>20</v>
      </c>
      <c r="H1431">
        <v>3</v>
      </c>
      <c r="I1431">
        <v>30</v>
      </c>
      <c r="J1431">
        <v>34.200000000000003</v>
      </c>
      <c r="K1431">
        <v>90</v>
      </c>
      <c r="L1431">
        <v>55.8</v>
      </c>
      <c r="M1431">
        <v>0.62</v>
      </c>
      <c r="N1431" t="s">
        <v>28</v>
      </c>
    </row>
    <row r="1432" spans="1:14">
      <c r="A1432">
        <v>1846</v>
      </c>
      <c r="B1432" s="4">
        <v>45246</v>
      </c>
      <c r="C1432" s="5">
        <v>0.74375000000000002</v>
      </c>
      <c r="D1432" t="s">
        <v>174</v>
      </c>
      <c r="E1432" t="s">
        <v>16</v>
      </c>
      <c r="F1432">
        <v>42</v>
      </c>
      <c r="G1432" t="s">
        <v>20</v>
      </c>
      <c r="H1432">
        <v>1</v>
      </c>
      <c r="I1432">
        <v>50</v>
      </c>
      <c r="J1432">
        <v>49.5</v>
      </c>
      <c r="K1432">
        <v>50</v>
      </c>
      <c r="L1432">
        <v>0.5</v>
      </c>
      <c r="M1432">
        <v>0.01</v>
      </c>
      <c r="N1432" t="s">
        <v>18</v>
      </c>
    </row>
    <row r="1433" spans="1:14">
      <c r="A1433">
        <v>616</v>
      </c>
      <c r="B1433" s="4">
        <v>44926</v>
      </c>
      <c r="C1433" s="5">
        <v>0.8041666666666667</v>
      </c>
      <c r="D1433" t="s">
        <v>106</v>
      </c>
      <c r="E1433" t="s">
        <v>16</v>
      </c>
      <c r="F1433">
        <v>41</v>
      </c>
      <c r="G1433" t="s">
        <v>17</v>
      </c>
      <c r="H1433">
        <v>2</v>
      </c>
      <c r="I1433">
        <v>50</v>
      </c>
      <c r="J1433">
        <v>49.5</v>
      </c>
      <c r="K1433">
        <v>100</v>
      </c>
      <c r="L1433">
        <v>50.5</v>
      </c>
      <c r="M1433">
        <v>0.505</v>
      </c>
      <c r="N1433" t="s">
        <v>18</v>
      </c>
    </row>
    <row r="1434" spans="1:14">
      <c r="A1434">
        <v>1616</v>
      </c>
      <c r="B1434" s="4">
        <v>44826</v>
      </c>
      <c r="C1434" s="5">
        <v>0.77847222222222223</v>
      </c>
      <c r="D1434" t="s">
        <v>126</v>
      </c>
      <c r="E1434" t="s">
        <v>16</v>
      </c>
      <c r="F1434">
        <v>41</v>
      </c>
      <c r="G1434" t="s">
        <v>17</v>
      </c>
      <c r="H1434">
        <v>2</v>
      </c>
      <c r="I1434">
        <v>50</v>
      </c>
      <c r="J1434">
        <v>59</v>
      </c>
      <c r="K1434">
        <v>100</v>
      </c>
      <c r="L1434">
        <v>41</v>
      </c>
      <c r="M1434">
        <v>0.41</v>
      </c>
      <c r="N1434" t="s">
        <v>18</v>
      </c>
    </row>
    <row r="1435" spans="1:14">
      <c r="A1435">
        <v>523</v>
      </c>
      <c r="B1435" s="4">
        <v>45243</v>
      </c>
      <c r="C1435" s="5">
        <v>0.8041666666666667</v>
      </c>
      <c r="D1435" t="s">
        <v>166</v>
      </c>
      <c r="E1435" t="s">
        <v>23</v>
      </c>
      <c r="F1435">
        <v>62</v>
      </c>
      <c r="G1435" t="s">
        <v>30</v>
      </c>
      <c r="H1435">
        <v>1</v>
      </c>
      <c r="I1435">
        <v>300</v>
      </c>
      <c r="J1435">
        <v>375</v>
      </c>
      <c r="K1435">
        <v>300</v>
      </c>
      <c r="L1435">
        <v>-75</v>
      </c>
      <c r="M1435">
        <v>-0.25</v>
      </c>
      <c r="N1435" t="s">
        <v>28</v>
      </c>
    </row>
    <row r="1436" spans="1:14">
      <c r="A1436">
        <v>643</v>
      </c>
      <c r="B1436" s="4">
        <v>44839</v>
      </c>
      <c r="C1436" s="5">
        <v>0.93472222222222223</v>
      </c>
      <c r="D1436" t="s">
        <v>138</v>
      </c>
      <c r="E1436" t="s">
        <v>23</v>
      </c>
      <c r="F1436">
        <v>28</v>
      </c>
      <c r="G1436" t="s">
        <v>30</v>
      </c>
      <c r="H1436">
        <v>3</v>
      </c>
      <c r="I1436">
        <v>30</v>
      </c>
      <c r="J1436">
        <v>28.8</v>
      </c>
      <c r="K1436">
        <v>90</v>
      </c>
      <c r="L1436">
        <v>61.2</v>
      </c>
      <c r="M1436">
        <v>0.68</v>
      </c>
      <c r="N1436" t="s">
        <v>39</v>
      </c>
    </row>
    <row r="1437" spans="1:14">
      <c r="A1437">
        <v>1523</v>
      </c>
      <c r="B1437" s="4">
        <v>45291</v>
      </c>
      <c r="C1437" s="5">
        <v>0.86111111111111116</v>
      </c>
      <c r="D1437" t="s">
        <v>41</v>
      </c>
      <c r="E1437" t="s">
        <v>23</v>
      </c>
      <c r="F1437">
        <v>62</v>
      </c>
      <c r="G1437" t="s">
        <v>30</v>
      </c>
      <c r="H1437">
        <v>1</v>
      </c>
      <c r="I1437">
        <v>300</v>
      </c>
      <c r="J1437">
        <v>330</v>
      </c>
      <c r="K1437">
        <v>300</v>
      </c>
      <c r="L1437">
        <v>-30</v>
      </c>
      <c r="M1437">
        <v>-0.1</v>
      </c>
      <c r="N1437" t="s">
        <v>28</v>
      </c>
    </row>
    <row r="1438" spans="1:14">
      <c r="A1438">
        <v>1643</v>
      </c>
      <c r="B1438" s="4">
        <v>45216</v>
      </c>
      <c r="C1438" s="5">
        <v>0.90763888888888888</v>
      </c>
      <c r="D1438" t="s">
        <v>44</v>
      </c>
      <c r="E1438" t="s">
        <v>23</v>
      </c>
      <c r="F1438">
        <v>28</v>
      </c>
      <c r="G1438" t="s">
        <v>30</v>
      </c>
      <c r="H1438">
        <v>3</v>
      </c>
      <c r="I1438">
        <v>30</v>
      </c>
      <c r="J1438">
        <v>33.299999999999997</v>
      </c>
      <c r="K1438">
        <v>90</v>
      </c>
      <c r="L1438">
        <v>56.7</v>
      </c>
      <c r="M1438">
        <v>0.63</v>
      </c>
      <c r="N1438" t="s">
        <v>39</v>
      </c>
    </row>
    <row r="1439" spans="1:14">
      <c r="A1439">
        <v>351</v>
      </c>
      <c r="B1439" s="4">
        <v>45241</v>
      </c>
      <c r="C1439" s="5">
        <v>0.92777777777777781</v>
      </c>
      <c r="D1439" t="s">
        <v>140</v>
      </c>
      <c r="E1439" t="s">
        <v>23</v>
      </c>
      <c r="F1439">
        <v>56</v>
      </c>
      <c r="G1439" t="s">
        <v>17</v>
      </c>
      <c r="H1439">
        <v>3</v>
      </c>
      <c r="I1439">
        <v>30</v>
      </c>
      <c r="J1439">
        <v>36.6</v>
      </c>
      <c r="K1439">
        <v>90</v>
      </c>
      <c r="L1439">
        <v>53.4</v>
      </c>
      <c r="M1439">
        <v>0.59333333333333327</v>
      </c>
      <c r="N1439" t="s">
        <v>28</v>
      </c>
    </row>
    <row r="1440" spans="1:14">
      <c r="A1440">
        <v>809</v>
      </c>
      <c r="B1440" s="4">
        <v>44909</v>
      </c>
      <c r="C1440" s="5">
        <v>0.95208333333333328</v>
      </c>
      <c r="D1440" t="s">
        <v>153</v>
      </c>
      <c r="E1440" t="s">
        <v>23</v>
      </c>
      <c r="F1440">
        <v>62</v>
      </c>
      <c r="G1440" t="s">
        <v>20</v>
      </c>
      <c r="H1440">
        <v>2</v>
      </c>
      <c r="I1440">
        <v>50</v>
      </c>
      <c r="J1440">
        <v>50</v>
      </c>
      <c r="K1440">
        <v>100</v>
      </c>
      <c r="L1440">
        <v>50</v>
      </c>
      <c r="M1440">
        <v>0.5</v>
      </c>
      <c r="N1440" t="s">
        <v>28</v>
      </c>
    </row>
    <row r="1441" spans="1:14">
      <c r="A1441">
        <v>954</v>
      </c>
      <c r="B1441" s="4">
        <v>45174</v>
      </c>
      <c r="C1441" s="5">
        <v>0.87708333333333333</v>
      </c>
      <c r="D1441" t="s">
        <v>116</v>
      </c>
      <c r="E1441" t="s">
        <v>23</v>
      </c>
      <c r="F1441">
        <v>50</v>
      </c>
      <c r="G1441" t="s">
        <v>30</v>
      </c>
      <c r="H1441">
        <v>3</v>
      </c>
      <c r="I1441">
        <v>300</v>
      </c>
      <c r="J1441">
        <v>321</v>
      </c>
      <c r="K1441">
        <v>900</v>
      </c>
      <c r="L1441">
        <v>579</v>
      </c>
      <c r="M1441">
        <v>0.64333333333333331</v>
      </c>
      <c r="N1441" t="s">
        <v>21</v>
      </c>
    </row>
    <row r="1442" spans="1:14">
      <c r="A1442">
        <v>1351</v>
      </c>
      <c r="B1442" s="4">
        <v>44836</v>
      </c>
      <c r="C1442" s="5">
        <v>0.87361111111111112</v>
      </c>
      <c r="D1442" t="s">
        <v>68</v>
      </c>
      <c r="E1442" t="s">
        <v>23</v>
      </c>
      <c r="F1442">
        <v>56</v>
      </c>
      <c r="G1442" t="s">
        <v>17</v>
      </c>
      <c r="H1442">
        <v>3</v>
      </c>
      <c r="I1442">
        <v>30</v>
      </c>
      <c r="J1442">
        <v>28.5</v>
      </c>
      <c r="K1442">
        <v>90</v>
      </c>
      <c r="L1442">
        <v>61.5</v>
      </c>
      <c r="M1442">
        <v>0.68333333333333335</v>
      </c>
      <c r="N1442" t="s">
        <v>28</v>
      </c>
    </row>
    <row r="1443" spans="1:14">
      <c r="A1443">
        <v>1809</v>
      </c>
      <c r="B1443" s="4">
        <v>45215</v>
      </c>
      <c r="C1443" s="5">
        <v>0.75624999999999998</v>
      </c>
      <c r="D1443" t="s">
        <v>97</v>
      </c>
      <c r="E1443" t="s">
        <v>23</v>
      </c>
      <c r="F1443">
        <v>62</v>
      </c>
      <c r="G1443" t="s">
        <v>20</v>
      </c>
      <c r="H1443">
        <v>2</v>
      </c>
      <c r="I1443">
        <v>50</v>
      </c>
      <c r="J1443">
        <v>61.5</v>
      </c>
      <c r="K1443">
        <v>100</v>
      </c>
      <c r="L1443">
        <v>38.5</v>
      </c>
      <c r="M1443">
        <v>0.38500000000000001</v>
      </c>
      <c r="N1443" t="s">
        <v>28</v>
      </c>
    </row>
    <row r="1444" spans="1:14">
      <c r="A1444">
        <v>1954</v>
      </c>
      <c r="B1444" s="4">
        <v>45228</v>
      </c>
      <c r="C1444" s="5">
        <v>0.72916666666666663</v>
      </c>
      <c r="D1444" t="s">
        <v>134</v>
      </c>
      <c r="E1444" t="s">
        <v>23</v>
      </c>
      <c r="F1444">
        <v>50</v>
      </c>
      <c r="G1444" t="s">
        <v>30</v>
      </c>
      <c r="H1444">
        <v>3</v>
      </c>
      <c r="I1444">
        <v>300</v>
      </c>
      <c r="J1444">
        <v>318</v>
      </c>
      <c r="K1444">
        <v>900</v>
      </c>
      <c r="L1444">
        <v>582</v>
      </c>
      <c r="M1444">
        <v>0.64666666666666661</v>
      </c>
      <c r="N1444" t="s">
        <v>21</v>
      </c>
    </row>
    <row r="1445" spans="1:14">
      <c r="A1445">
        <v>897</v>
      </c>
      <c r="B1445" s="4">
        <v>45181</v>
      </c>
      <c r="C1445" s="5">
        <v>0.74513888888888891</v>
      </c>
      <c r="D1445" t="s">
        <v>60</v>
      </c>
      <c r="E1445" t="s">
        <v>23</v>
      </c>
      <c r="F1445">
        <v>64</v>
      </c>
      <c r="G1445" t="s">
        <v>30</v>
      </c>
      <c r="H1445">
        <v>2</v>
      </c>
      <c r="I1445">
        <v>50</v>
      </c>
      <c r="J1445">
        <v>51.5</v>
      </c>
      <c r="K1445">
        <v>100</v>
      </c>
      <c r="L1445">
        <v>48.5</v>
      </c>
      <c r="M1445">
        <v>0.48499999999999999</v>
      </c>
      <c r="N1445" t="s">
        <v>28</v>
      </c>
    </row>
    <row r="1446" spans="1:14">
      <c r="A1446">
        <v>1897</v>
      </c>
      <c r="B1446" s="4">
        <v>45226</v>
      </c>
      <c r="C1446" s="5">
        <v>0.71666666666666667</v>
      </c>
      <c r="D1446" t="s">
        <v>38</v>
      </c>
      <c r="E1446" t="s">
        <v>23</v>
      </c>
      <c r="F1446">
        <v>64</v>
      </c>
      <c r="G1446" t="s">
        <v>30</v>
      </c>
      <c r="H1446">
        <v>2</v>
      </c>
      <c r="I1446">
        <v>50</v>
      </c>
      <c r="J1446">
        <v>62</v>
      </c>
      <c r="K1446">
        <v>100</v>
      </c>
      <c r="L1446">
        <v>38</v>
      </c>
      <c r="M1446">
        <v>0.38</v>
      </c>
      <c r="N1446" t="s">
        <v>28</v>
      </c>
    </row>
    <row r="1447" spans="1:14">
      <c r="A1447">
        <v>147</v>
      </c>
      <c r="B1447" s="4">
        <v>44877</v>
      </c>
      <c r="C1447" s="5">
        <v>0.85416666666666663</v>
      </c>
      <c r="D1447" t="s">
        <v>58</v>
      </c>
      <c r="E1447" t="s">
        <v>16</v>
      </c>
      <c r="F1447">
        <v>23</v>
      </c>
      <c r="G1447" t="s">
        <v>30</v>
      </c>
      <c r="H1447">
        <v>1</v>
      </c>
      <c r="I1447">
        <v>300</v>
      </c>
      <c r="J1447">
        <v>297</v>
      </c>
      <c r="K1447">
        <v>300</v>
      </c>
      <c r="L1447">
        <v>3</v>
      </c>
      <c r="M1447">
        <v>0.01</v>
      </c>
      <c r="N1447" t="s">
        <v>31</v>
      </c>
    </row>
    <row r="1448" spans="1:14">
      <c r="A1448">
        <v>204</v>
      </c>
      <c r="B1448" s="4">
        <v>44814</v>
      </c>
      <c r="C1448" s="5">
        <v>0.87777777777777777</v>
      </c>
      <c r="D1448" t="s">
        <v>58</v>
      </c>
      <c r="E1448" t="s">
        <v>16</v>
      </c>
      <c r="F1448">
        <v>39</v>
      </c>
      <c r="G1448" t="s">
        <v>20</v>
      </c>
      <c r="H1448">
        <v>1</v>
      </c>
      <c r="I1448">
        <v>25</v>
      </c>
      <c r="J1448">
        <v>31.25</v>
      </c>
      <c r="K1448">
        <v>25</v>
      </c>
      <c r="L1448">
        <v>-6.25</v>
      </c>
      <c r="M1448">
        <v>-0.25</v>
      </c>
      <c r="N1448" t="s">
        <v>18</v>
      </c>
    </row>
    <row r="1449" spans="1:14">
      <c r="A1449">
        <v>390</v>
      </c>
      <c r="B1449" s="4">
        <v>44841</v>
      </c>
      <c r="C1449" s="5">
        <v>0.87013888888888891</v>
      </c>
      <c r="D1449" t="s">
        <v>68</v>
      </c>
      <c r="E1449" t="s">
        <v>16</v>
      </c>
      <c r="F1449">
        <v>39</v>
      </c>
      <c r="G1449" t="s">
        <v>30</v>
      </c>
      <c r="H1449">
        <v>2</v>
      </c>
      <c r="I1449">
        <v>50</v>
      </c>
      <c r="J1449">
        <v>51</v>
      </c>
      <c r="K1449">
        <v>100</v>
      </c>
      <c r="L1449">
        <v>49</v>
      </c>
      <c r="M1449">
        <v>0.49</v>
      </c>
      <c r="N1449" t="s">
        <v>18</v>
      </c>
    </row>
    <row r="1450" spans="1:14">
      <c r="A1450">
        <v>1147</v>
      </c>
      <c r="B1450" s="4">
        <v>45255</v>
      </c>
      <c r="C1450" s="5">
        <v>0.92638888888888893</v>
      </c>
      <c r="D1450" t="s">
        <v>163</v>
      </c>
      <c r="E1450" t="s">
        <v>16</v>
      </c>
      <c r="F1450">
        <v>23</v>
      </c>
      <c r="G1450" t="s">
        <v>30</v>
      </c>
      <c r="H1450">
        <v>1</v>
      </c>
      <c r="I1450">
        <v>300</v>
      </c>
      <c r="J1450">
        <v>330</v>
      </c>
      <c r="K1450">
        <v>300</v>
      </c>
      <c r="L1450">
        <v>-30</v>
      </c>
      <c r="M1450">
        <v>-0.1</v>
      </c>
      <c r="N1450" t="s">
        <v>31</v>
      </c>
    </row>
    <row r="1451" spans="1:14">
      <c r="A1451">
        <v>1204</v>
      </c>
      <c r="B1451" s="4">
        <v>45270</v>
      </c>
      <c r="C1451" s="5">
        <v>0.80833333333333335</v>
      </c>
      <c r="D1451" t="s">
        <v>62</v>
      </c>
      <c r="E1451" t="s">
        <v>16</v>
      </c>
      <c r="F1451">
        <v>39</v>
      </c>
      <c r="G1451" t="s">
        <v>20</v>
      </c>
      <c r="H1451">
        <v>1</v>
      </c>
      <c r="I1451">
        <v>25</v>
      </c>
      <c r="J1451">
        <v>27.5</v>
      </c>
      <c r="K1451">
        <v>25</v>
      </c>
      <c r="L1451">
        <v>-2.5</v>
      </c>
      <c r="M1451">
        <v>-0.1</v>
      </c>
      <c r="N1451" t="s">
        <v>18</v>
      </c>
    </row>
    <row r="1452" spans="1:14">
      <c r="A1452">
        <v>1390</v>
      </c>
      <c r="B1452" s="4">
        <v>44858</v>
      </c>
      <c r="C1452" s="5">
        <v>0.94930555555555551</v>
      </c>
      <c r="D1452" t="s">
        <v>15</v>
      </c>
      <c r="E1452" t="s">
        <v>16</v>
      </c>
      <c r="F1452">
        <v>39</v>
      </c>
      <c r="G1452" t="s">
        <v>30</v>
      </c>
      <c r="H1452">
        <v>2</v>
      </c>
      <c r="I1452">
        <v>50</v>
      </c>
      <c r="J1452">
        <v>54</v>
      </c>
      <c r="K1452">
        <v>100</v>
      </c>
      <c r="L1452">
        <v>46</v>
      </c>
      <c r="M1452">
        <v>0.46</v>
      </c>
      <c r="N1452" t="s">
        <v>18</v>
      </c>
    </row>
    <row r="1453" spans="1:14">
      <c r="A1453">
        <v>179</v>
      </c>
      <c r="B1453" s="4">
        <v>45206</v>
      </c>
      <c r="C1453" s="5">
        <v>0.86250000000000004</v>
      </c>
      <c r="D1453" t="s">
        <v>126</v>
      </c>
      <c r="E1453" t="s">
        <v>16</v>
      </c>
      <c r="F1453">
        <v>31</v>
      </c>
      <c r="G1453" t="s">
        <v>30</v>
      </c>
      <c r="H1453">
        <v>1</v>
      </c>
      <c r="I1453">
        <v>300</v>
      </c>
      <c r="J1453">
        <v>375</v>
      </c>
      <c r="K1453">
        <v>300</v>
      </c>
      <c r="L1453">
        <v>-75</v>
      </c>
      <c r="M1453">
        <v>-0.25</v>
      </c>
      <c r="N1453" t="s">
        <v>39</v>
      </c>
    </row>
    <row r="1454" spans="1:14">
      <c r="A1454">
        <v>327</v>
      </c>
      <c r="B1454" s="4">
        <v>45182</v>
      </c>
      <c r="C1454" s="5">
        <v>0.77083333333333337</v>
      </c>
      <c r="D1454" t="s">
        <v>148</v>
      </c>
      <c r="E1454" t="s">
        <v>16</v>
      </c>
      <c r="F1454">
        <v>57</v>
      </c>
      <c r="G1454" t="s">
        <v>30</v>
      </c>
      <c r="H1454">
        <v>3</v>
      </c>
      <c r="I1454">
        <v>50</v>
      </c>
      <c r="J1454">
        <v>56</v>
      </c>
      <c r="K1454">
        <v>150</v>
      </c>
      <c r="L1454">
        <v>94</v>
      </c>
      <c r="M1454">
        <v>0.62666666666666671</v>
      </c>
      <c r="N1454" t="s">
        <v>28</v>
      </c>
    </row>
    <row r="1455" spans="1:14">
      <c r="A1455">
        <v>626</v>
      </c>
      <c r="B1455" s="4">
        <v>44864</v>
      </c>
      <c r="C1455" s="5">
        <v>0.87569444444444444</v>
      </c>
      <c r="D1455" t="s">
        <v>88</v>
      </c>
      <c r="E1455" t="s">
        <v>23</v>
      </c>
      <c r="F1455">
        <v>26</v>
      </c>
      <c r="G1455" t="s">
        <v>17</v>
      </c>
      <c r="H1455">
        <v>4</v>
      </c>
      <c r="I1455">
        <v>500</v>
      </c>
      <c r="J1455">
        <v>555</v>
      </c>
      <c r="K1455">
        <v>2000</v>
      </c>
      <c r="L1455">
        <v>1445</v>
      </c>
      <c r="M1455">
        <v>0.72250000000000003</v>
      </c>
      <c r="N1455" t="s">
        <v>39</v>
      </c>
    </row>
    <row r="1456" spans="1:14">
      <c r="A1456">
        <v>873</v>
      </c>
      <c r="B1456" s="4">
        <v>45266</v>
      </c>
      <c r="C1456" s="5">
        <v>0.84722222222222221</v>
      </c>
      <c r="D1456" t="s">
        <v>38</v>
      </c>
      <c r="E1456" t="s">
        <v>23</v>
      </c>
      <c r="F1456">
        <v>27</v>
      </c>
      <c r="G1456" t="s">
        <v>30</v>
      </c>
      <c r="H1456">
        <v>4</v>
      </c>
      <c r="I1456">
        <v>25</v>
      </c>
      <c r="J1456">
        <v>29</v>
      </c>
      <c r="K1456">
        <v>100</v>
      </c>
      <c r="L1456">
        <v>71</v>
      </c>
      <c r="M1456">
        <v>0.71</v>
      </c>
      <c r="N1456" t="s">
        <v>39</v>
      </c>
    </row>
    <row r="1457" spans="1:14">
      <c r="A1457">
        <v>1179</v>
      </c>
      <c r="B1457" s="4">
        <v>45272</v>
      </c>
      <c r="C1457" s="5">
        <v>0.72777777777777775</v>
      </c>
      <c r="D1457" t="s">
        <v>106</v>
      </c>
      <c r="E1457" t="s">
        <v>16</v>
      </c>
      <c r="F1457">
        <v>31</v>
      </c>
      <c r="G1457" t="s">
        <v>30</v>
      </c>
      <c r="H1457">
        <v>1</v>
      </c>
      <c r="I1457">
        <v>300</v>
      </c>
      <c r="J1457">
        <v>354</v>
      </c>
      <c r="K1457">
        <v>300</v>
      </c>
      <c r="L1457">
        <v>-54</v>
      </c>
      <c r="M1457">
        <v>-0.18</v>
      </c>
      <c r="N1457" t="s">
        <v>39</v>
      </c>
    </row>
    <row r="1458" spans="1:14">
      <c r="A1458">
        <v>1327</v>
      </c>
      <c r="B1458" s="4">
        <v>45283</v>
      </c>
      <c r="C1458" s="5">
        <v>0.88611111111111107</v>
      </c>
      <c r="D1458" t="s">
        <v>114</v>
      </c>
      <c r="E1458" t="s">
        <v>16</v>
      </c>
      <c r="F1458">
        <v>57</v>
      </c>
      <c r="G1458" t="s">
        <v>30</v>
      </c>
      <c r="H1458">
        <v>3</v>
      </c>
      <c r="I1458">
        <v>50</v>
      </c>
      <c r="J1458">
        <v>58</v>
      </c>
      <c r="K1458">
        <v>150</v>
      </c>
      <c r="L1458">
        <v>92</v>
      </c>
      <c r="M1458">
        <v>0.61333333333333329</v>
      </c>
      <c r="N1458" t="s">
        <v>28</v>
      </c>
    </row>
    <row r="1459" spans="1:14">
      <c r="A1459">
        <v>1626</v>
      </c>
      <c r="B1459" s="4">
        <v>44844</v>
      </c>
      <c r="C1459" s="5">
        <v>0.80069444444444449</v>
      </c>
      <c r="D1459" t="s">
        <v>169</v>
      </c>
      <c r="E1459" t="s">
        <v>23</v>
      </c>
      <c r="F1459">
        <v>26</v>
      </c>
      <c r="G1459" t="s">
        <v>17</v>
      </c>
      <c r="H1459">
        <v>4</v>
      </c>
      <c r="I1459">
        <v>500</v>
      </c>
      <c r="J1459">
        <v>495</v>
      </c>
      <c r="K1459">
        <v>2000</v>
      </c>
      <c r="L1459">
        <v>1505</v>
      </c>
      <c r="M1459">
        <v>0.75249999999999995</v>
      </c>
      <c r="N1459" t="s">
        <v>39</v>
      </c>
    </row>
    <row r="1460" spans="1:14">
      <c r="A1460">
        <v>1873</v>
      </c>
      <c r="B1460" s="4">
        <v>44889</v>
      </c>
      <c r="C1460" s="5">
        <v>0.8041666666666667</v>
      </c>
      <c r="D1460" t="s">
        <v>167</v>
      </c>
      <c r="E1460" t="s">
        <v>23</v>
      </c>
      <c r="F1460">
        <v>27</v>
      </c>
      <c r="G1460" t="s">
        <v>30</v>
      </c>
      <c r="H1460">
        <v>4</v>
      </c>
      <c r="I1460">
        <v>25</v>
      </c>
      <c r="J1460">
        <v>26.75</v>
      </c>
      <c r="K1460">
        <v>100</v>
      </c>
      <c r="L1460">
        <v>73.25</v>
      </c>
      <c r="M1460">
        <v>0.73250000000000004</v>
      </c>
      <c r="N1460" t="s">
        <v>39</v>
      </c>
    </row>
    <row r="1461" spans="1:14">
      <c r="A1461">
        <v>196</v>
      </c>
      <c r="B1461" s="4">
        <v>45289</v>
      </c>
      <c r="C1461" s="5">
        <v>0.80138888888888893</v>
      </c>
      <c r="D1461" t="s">
        <v>131</v>
      </c>
      <c r="E1461" t="s">
        <v>23</v>
      </c>
      <c r="F1461">
        <v>32</v>
      </c>
      <c r="G1461" t="s">
        <v>17</v>
      </c>
      <c r="H1461">
        <v>3</v>
      </c>
      <c r="I1461">
        <v>300</v>
      </c>
      <c r="J1461">
        <v>312</v>
      </c>
      <c r="K1461">
        <v>900</v>
      </c>
      <c r="L1461">
        <v>588</v>
      </c>
      <c r="M1461">
        <v>0.65333333333333332</v>
      </c>
      <c r="N1461" t="s">
        <v>39</v>
      </c>
    </row>
    <row r="1462" spans="1:14">
      <c r="A1462">
        <v>789</v>
      </c>
      <c r="B1462" s="4">
        <v>45266</v>
      </c>
      <c r="C1462" s="5">
        <v>0.92569444444444449</v>
      </c>
      <c r="D1462" t="s">
        <v>170</v>
      </c>
      <c r="E1462" t="s">
        <v>23</v>
      </c>
      <c r="F1462">
        <v>61</v>
      </c>
      <c r="G1462" t="s">
        <v>17</v>
      </c>
      <c r="H1462">
        <v>4</v>
      </c>
      <c r="I1462">
        <v>500</v>
      </c>
      <c r="J1462">
        <v>510</v>
      </c>
      <c r="K1462">
        <v>2000</v>
      </c>
      <c r="L1462">
        <v>1490</v>
      </c>
      <c r="M1462">
        <v>0.745</v>
      </c>
      <c r="N1462" t="s">
        <v>28</v>
      </c>
    </row>
    <row r="1463" spans="1:14">
      <c r="A1463">
        <v>1196</v>
      </c>
      <c r="B1463" s="4">
        <v>44926</v>
      </c>
      <c r="C1463" s="5">
        <v>0.88749999999999996</v>
      </c>
      <c r="D1463" t="s">
        <v>134</v>
      </c>
      <c r="E1463" t="s">
        <v>23</v>
      </c>
      <c r="F1463">
        <v>32</v>
      </c>
      <c r="G1463" t="s">
        <v>17</v>
      </c>
      <c r="H1463">
        <v>3</v>
      </c>
      <c r="I1463">
        <v>300</v>
      </c>
      <c r="J1463">
        <v>306</v>
      </c>
      <c r="K1463">
        <v>900</v>
      </c>
      <c r="L1463">
        <v>594</v>
      </c>
      <c r="M1463">
        <v>0.66</v>
      </c>
      <c r="N1463" t="s">
        <v>39</v>
      </c>
    </row>
    <row r="1464" spans="1:14">
      <c r="A1464">
        <v>1789</v>
      </c>
      <c r="B1464" s="4">
        <v>45240</v>
      </c>
      <c r="C1464" s="5">
        <v>0.70972222222222225</v>
      </c>
      <c r="D1464" t="s">
        <v>27</v>
      </c>
      <c r="E1464" t="s">
        <v>23</v>
      </c>
      <c r="F1464">
        <v>61</v>
      </c>
      <c r="G1464" t="s">
        <v>17</v>
      </c>
      <c r="H1464">
        <v>4</v>
      </c>
      <c r="I1464">
        <v>500</v>
      </c>
      <c r="J1464">
        <v>615</v>
      </c>
      <c r="K1464">
        <v>2000</v>
      </c>
      <c r="L1464">
        <v>1385</v>
      </c>
      <c r="M1464">
        <v>0.6925</v>
      </c>
      <c r="N1464" t="s">
        <v>28</v>
      </c>
    </row>
    <row r="1465" spans="1:14">
      <c r="A1465">
        <v>89</v>
      </c>
      <c r="B1465" s="4">
        <v>45290</v>
      </c>
      <c r="C1465" s="5">
        <v>0.88541666666666663</v>
      </c>
      <c r="D1465" t="s">
        <v>15</v>
      </c>
      <c r="E1465" t="s">
        <v>23</v>
      </c>
      <c r="F1465">
        <v>55</v>
      </c>
      <c r="G1465" t="s">
        <v>30</v>
      </c>
      <c r="H1465">
        <v>4</v>
      </c>
      <c r="I1465">
        <v>500</v>
      </c>
      <c r="J1465">
        <v>590</v>
      </c>
      <c r="K1465">
        <v>2000</v>
      </c>
      <c r="L1465">
        <v>1410</v>
      </c>
      <c r="M1465">
        <v>0.70499999999999996</v>
      </c>
      <c r="N1465" t="s">
        <v>21</v>
      </c>
    </row>
    <row r="1466" spans="1:14">
      <c r="A1466">
        <v>707</v>
      </c>
      <c r="B1466" s="4">
        <v>45222</v>
      </c>
      <c r="C1466" s="5">
        <v>0.8569444444444444</v>
      </c>
      <c r="D1466" t="s">
        <v>15</v>
      </c>
      <c r="E1466" t="s">
        <v>23</v>
      </c>
      <c r="F1466">
        <v>26</v>
      </c>
      <c r="G1466" t="s">
        <v>17</v>
      </c>
      <c r="H1466">
        <v>1</v>
      </c>
      <c r="I1466">
        <v>500</v>
      </c>
      <c r="J1466">
        <v>580</v>
      </c>
      <c r="K1466">
        <v>500</v>
      </c>
      <c r="L1466">
        <v>-80</v>
      </c>
      <c r="M1466">
        <v>-0.16</v>
      </c>
      <c r="N1466" t="s">
        <v>39</v>
      </c>
    </row>
    <row r="1467" spans="1:14">
      <c r="A1467">
        <v>909</v>
      </c>
      <c r="B1467" s="4">
        <v>45228</v>
      </c>
      <c r="C1467" s="5">
        <v>0.82152777777777775</v>
      </c>
      <c r="D1467" t="s">
        <v>67</v>
      </c>
      <c r="E1467" t="s">
        <v>16</v>
      </c>
      <c r="F1467">
        <v>26</v>
      </c>
      <c r="G1467" t="s">
        <v>30</v>
      </c>
      <c r="H1467">
        <v>1</v>
      </c>
      <c r="I1467">
        <v>300</v>
      </c>
      <c r="J1467">
        <v>288</v>
      </c>
      <c r="K1467">
        <v>300</v>
      </c>
      <c r="L1467">
        <v>12</v>
      </c>
      <c r="M1467">
        <v>0.04</v>
      </c>
      <c r="N1467" t="s">
        <v>39</v>
      </c>
    </row>
    <row r="1468" spans="1:14">
      <c r="A1468">
        <v>1089</v>
      </c>
      <c r="B1468" s="4">
        <v>45220</v>
      </c>
      <c r="C1468" s="5">
        <v>0.78055555555555556</v>
      </c>
      <c r="D1468" t="s">
        <v>171</v>
      </c>
      <c r="E1468" t="s">
        <v>23</v>
      </c>
      <c r="F1468">
        <v>55</v>
      </c>
      <c r="G1468" t="s">
        <v>30</v>
      </c>
      <c r="H1468">
        <v>4</v>
      </c>
      <c r="I1468">
        <v>500</v>
      </c>
      <c r="J1468">
        <v>555</v>
      </c>
      <c r="K1468">
        <v>2000</v>
      </c>
      <c r="L1468">
        <v>1445</v>
      </c>
      <c r="M1468">
        <v>0.72250000000000003</v>
      </c>
      <c r="N1468" t="s">
        <v>21</v>
      </c>
    </row>
    <row r="1469" spans="1:14">
      <c r="A1469">
        <v>1707</v>
      </c>
      <c r="B1469" s="4">
        <v>45186</v>
      </c>
      <c r="C1469" s="5">
        <v>0.77430555555555558</v>
      </c>
      <c r="D1469" t="s">
        <v>27</v>
      </c>
      <c r="E1469" t="s">
        <v>23</v>
      </c>
      <c r="F1469">
        <v>26</v>
      </c>
      <c r="G1469" t="s">
        <v>17</v>
      </c>
      <c r="H1469">
        <v>1</v>
      </c>
      <c r="I1469">
        <v>500</v>
      </c>
      <c r="J1469">
        <v>535</v>
      </c>
      <c r="K1469">
        <v>500</v>
      </c>
      <c r="L1469">
        <v>-35</v>
      </c>
      <c r="M1469">
        <v>-7.0000000000000007E-2</v>
      </c>
      <c r="N1469" t="s">
        <v>39</v>
      </c>
    </row>
    <row r="1470" spans="1:14">
      <c r="A1470">
        <v>1909</v>
      </c>
      <c r="B1470" s="4">
        <v>44856</v>
      </c>
      <c r="C1470" s="5">
        <v>0.82013888888888886</v>
      </c>
      <c r="D1470" t="s">
        <v>48</v>
      </c>
      <c r="E1470" t="s">
        <v>16</v>
      </c>
      <c r="F1470">
        <v>26</v>
      </c>
      <c r="G1470" t="s">
        <v>30</v>
      </c>
      <c r="H1470">
        <v>1</v>
      </c>
      <c r="I1470">
        <v>300</v>
      </c>
      <c r="J1470">
        <v>339</v>
      </c>
      <c r="K1470">
        <v>300</v>
      </c>
      <c r="L1470">
        <v>-39</v>
      </c>
      <c r="M1470">
        <v>-0.13</v>
      </c>
      <c r="N1470" t="s">
        <v>39</v>
      </c>
    </row>
    <row r="1471" spans="1:14">
      <c r="A1471">
        <v>51</v>
      </c>
      <c r="B1471" s="4">
        <v>44846</v>
      </c>
      <c r="C1471" s="5">
        <v>0.92291666666666672</v>
      </c>
      <c r="D1471" t="s">
        <v>92</v>
      </c>
      <c r="E1471" t="s">
        <v>16</v>
      </c>
      <c r="F1471">
        <v>27</v>
      </c>
      <c r="G1471" t="s">
        <v>20</v>
      </c>
      <c r="H1471">
        <v>3</v>
      </c>
      <c r="I1471">
        <v>25</v>
      </c>
      <c r="J1471">
        <v>24.75</v>
      </c>
      <c r="K1471">
        <v>75</v>
      </c>
      <c r="L1471">
        <v>50.25</v>
      </c>
      <c r="M1471">
        <v>0.67</v>
      </c>
      <c r="N1471" t="s">
        <v>39</v>
      </c>
    </row>
    <row r="1472" spans="1:14">
      <c r="A1472">
        <v>154</v>
      </c>
      <c r="B1472" s="4">
        <v>44919</v>
      </c>
      <c r="C1472" s="5">
        <v>0.74097222222222225</v>
      </c>
      <c r="D1472" t="s">
        <v>70</v>
      </c>
      <c r="E1472" t="s">
        <v>16</v>
      </c>
      <c r="F1472">
        <v>51</v>
      </c>
      <c r="G1472" t="s">
        <v>30</v>
      </c>
      <c r="H1472">
        <v>3</v>
      </c>
      <c r="I1472">
        <v>300</v>
      </c>
      <c r="J1472">
        <v>321</v>
      </c>
      <c r="K1472">
        <v>900</v>
      </c>
      <c r="L1472">
        <v>579</v>
      </c>
      <c r="M1472">
        <v>0.64333333333333331</v>
      </c>
      <c r="N1472" t="s">
        <v>21</v>
      </c>
    </row>
    <row r="1473" spans="1:14">
      <c r="A1473">
        <v>276</v>
      </c>
      <c r="B1473" s="4">
        <v>45217</v>
      </c>
      <c r="C1473" s="5">
        <v>0.89375000000000004</v>
      </c>
      <c r="D1473" t="s">
        <v>115</v>
      </c>
      <c r="E1473" t="s">
        <v>23</v>
      </c>
      <c r="F1473">
        <v>21</v>
      </c>
      <c r="G1473" t="s">
        <v>20</v>
      </c>
      <c r="H1473">
        <v>4</v>
      </c>
      <c r="I1473">
        <v>25</v>
      </c>
      <c r="J1473">
        <v>27.5</v>
      </c>
      <c r="K1473">
        <v>100</v>
      </c>
      <c r="L1473">
        <v>72.5</v>
      </c>
      <c r="M1473">
        <v>0.72499999999999998</v>
      </c>
      <c r="N1473" t="s">
        <v>31</v>
      </c>
    </row>
    <row r="1474" spans="1:14">
      <c r="A1474">
        <v>497</v>
      </c>
      <c r="B1474" s="4">
        <v>45291</v>
      </c>
      <c r="C1474" s="5">
        <v>0.75763888888888886</v>
      </c>
      <c r="D1474" t="s">
        <v>128</v>
      </c>
      <c r="E1474" t="s">
        <v>16</v>
      </c>
      <c r="F1474">
        <v>41</v>
      </c>
      <c r="G1474" t="s">
        <v>17</v>
      </c>
      <c r="H1474">
        <v>4</v>
      </c>
      <c r="I1474">
        <v>30</v>
      </c>
      <c r="J1474">
        <v>37.200000000000003</v>
      </c>
      <c r="K1474">
        <v>120</v>
      </c>
      <c r="L1474">
        <v>82.8</v>
      </c>
      <c r="M1474">
        <v>0.69</v>
      </c>
      <c r="N1474" t="s">
        <v>18</v>
      </c>
    </row>
    <row r="1475" spans="1:14">
      <c r="A1475">
        <v>889</v>
      </c>
      <c r="B1475" s="4">
        <v>45189</v>
      </c>
      <c r="C1475" s="5">
        <v>0.93888888888888888</v>
      </c>
      <c r="D1475" t="s">
        <v>75</v>
      </c>
      <c r="E1475" t="s">
        <v>23</v>
      </c>
      <c r="F1475">
        <v>35</v>
      </c>
      <c r="G1475" t="s">
        <v>30</v>
      </c>
      <c r="H1475">
        <v>1</v>
      </c>
      <c r="I1475">
        <v>50</v>
      </c>
      <c r="J1475">
        <v>57.5</v>
      </c>
      <c r="K1475">
        <v>50</v>
      </c>
      <c r="L1475">
        <v>-7.5</v>
      </c>
      <c r="M1475">
        <v>-0.15</v>
      </c>
      <c r="N1475" t="s">
        <v>39</v>
      </c>
    </row>
    <row r="1476" spans="1:14">
      <c r="A1476">
        <v>1051</v>
      </c>
      <c r="B1476" s="4">
        <v>45182</v>
      </c>
      <c r="C1476" s="5">
        <v>0.74097222222222225</v>
      </c>
      <c r="D1476" t="s">
        <v>100</v>
      </c>
      <c r="E1476" t="s">
        <v>16</v>
      </c>
      <c r="F1476">
        <v>27</v>
      </c>
      <c r="G1476" t="s">
        <v>20</v>
      </c>
      <c r="H1476">
        <v>3</v>
      </c>
      <c r="I1476">
        <v>25</v>
      </c>
      <c r="J1476">
        <v>25</v>
      </c>
      <c r="K1476">
        <v>75</v>
      </c>
      <c r="L1476">
        <v>50</v>
      </c>
      <c r="M1476">
        <v>0.66666666666666663</v>
      </c>
      <c r="N1476" t="s">
        <v>39</v>
      </c>
    </row>
    <row r="1477" spans="1:14">
      <c r="A1477">
        <v>1154</v>
      </c>
      <c r="B1477" s="4">
        <v>45276</v>
      </c>
      <c r="C1477" s="5">
        <v>0.90555555555555556</v>
      </c>
      <c r="D1477" t="s">
        <v>91</v>
      </c>
      <c r="E1477" t="s">
        <v>16</v>
      </c>
      <c r="F1477">
        <v>51</v>
      </c>
      <c r="G1477" t="s">
        <v>30</v>
      </c>
      <c r="H1477">
        <v>3</v>
      </c>
      <c r="I1477">
        <v>300</v>
      </c>
      <c r="J1477">
        <v>291</v>
      </c>
      <c r="K1477">
        <v>900</v>
      </c>
      <c r="L1477">
        <v>609</v>
      </c>
      <c r="M1477">
        <v>0.67666666666666664</v>
      </c>
      <c r="N1477" t="s">
        <v>21</v>
      </c>
    </row>
    <row r="1478" spans="1:14">
      <c r="A1478">
        <v>1276</v>
      </c>
      <c r="B1478" s="4">
        <v>44845</v>
      </c>
      <c r="C1478" s="5">
        <v>0.78749999999999998</v>
      </c>
      <c r="D1478" t="s">
        <v>168</v>
      </c>
      <c r="E1478" t="s">
        <v>23</v>
      </c>
      <c r="F1478">
        <v>21</v>
      </c>
      <c r="G1478" t="s">
        <v>20</v>
      </c>
      <c r="H1478">
        <v>4</v>
      </c>
      <c r="I1478">
        <v>25</v>
      </c>
      <c r="J1478">
        <v>27</v>
      </c>
      <c r="K1478">
        <v>100</v>
      </c>
      <c r="L1478">
        <v>73</v>
      </c>
      <c r="M1478">
        <v>0.73</v>
      </c>
      <c r="N1478" t="s">
        <v>31</v>
      </c>
    </row>
    <row r="1479" spans="1:14">
      <c r="A1479">
        <v>1497</v>
      </c>
      <c r="B1479" s="4">
        <v>44884</v>
      </c>
      <c r="C1479" s="5">
        <v>0.90555555555555556</v>
      </c>
      <c r="D1479" t="s">
        <v>162</v>
      </c>
      <c r="E1479" t="s">
        <v>16</v>
      </c>
      <c r="F1479">
        <v>41</v>
      </c>
      <c r="G1479" t="s">
        <v>17</v>
      </c>
      <c r="H1479">
        <v>4</v>
      </c>
      <c r="I1479">
        <v>30</v>
      </c>
      <c r="J1479">
        <v>32.4</v>
      </c>
      <c r="K1479">
        <v>120</v>
      </c>
      <c r="L1479">
        <v>87.6</v>
      </c>
      <c r="M1479">
        <v>0.73</v>
      </c>
      <c r="N1479" t="s">
        <v>18</v>
      </c>
    </row>
    <row r="1480" spans="1:14">
      <c r="A1480">
        <v>1889</v>
      </c>
      <c r="B1480" s="4">
        <v>44806</v>
      </c>
      <c r="C1480" s="5">
        <v>0.95</v>
      </c>
      <c r="D1480" t="s">
        <v>72</v>
      </c>
      <c r="E1480" t="s">
        <v>23</v>
      </c>
      <c r="F1480">
        <v>35</v>
      </c>
      <c r="G1480" t="s">
        <v>30</v>
      </c>
      <c r="H1480">
        <v>1</v>
      </c>
      <c r="I1480">
        <v>50</v>
      </c>
      <c r="J1480">
        <v>56</v>
      </c>
      <c r="K1480">
        <v>50</v>
      </c>
      <c r="L1480">
        <v>-6</v>
      </c>
      <c r="M1480">
        <v>-0.12</v>
      </c>
      <c r="N1480" t="s">
        <v>39</v>
      </c>
    </row>
    <row r="1481" spans="1:14">
      <c r="A1481">
        <v>122</v>
      </c>
      <c r="B1481" s="4">
        <v>45261</v>
      </c>
      <c r="C1481" s="5">
        <v>0.79305555555555551</v>
      </c>
      <c r="D1481" t="s">
        <v>40</v>
      </c>
      <c r="E1481" t="s">
        <v>16</v>
      </c>
      <c r="F1481">
        <v>64</v>
      </c>
      <c r="G1481" t="s">
        <v>30</v>
      </c>
      <c r="H1481">
        <v>4</v>
      </c>
      <c r="I1481">
        <v>30</v>
      </c>
      <c r="J1481">
        <v>35.4</v>
      </c>
      <c r="K1481">
        <v>120</v>
      </c>
      <c r="L1481">
        <v>84.6</v>
      </c>
      <c r="M1481">
        <v>0.70499999999999996</v>
      </c>
      <c r="N1481" t="s">
        <v>28</v>
      </c>
    </row>
    <row r="1482" spans="1:14">
      <c r="A1482">
        <v>373</v>
      </c>
      <c r="B1482" s="4">
        <v>44827</v>
      </c>
      <c r="C1482" s="5">
        <v>0.92986111111111114</v>
      </c>
      <c r="D1482" t="s">
        <v>92</v>
      </c>
      <c r="E1482" t="s">
        <v>23</v>
      </c>
      <c r="F1482">
        <v>25</v>
      </c>
      <c r="G1482" t="s">
        <v>20</v>
      </c>
      <c r="H1482">
        <v>2</v>
      </c>
      <c r="I1482">
        <v>300</v>
      </c>
      <c r="J1482">
        <v>333</v>
      </c>
      <c r="K1482">
        <v>600</v>
      </c>
      <c r="L1482">
        <v>267</v>
      </c>
      <c r="M1482">
        <v>0.44500000000000001</v>
      </c>
      <c r="N1482" t="s">
        <v>31</v>
      </c>
    </row>
    <row r="1483" spans="1:14">
      <c r="A1483">
        <v>524</v>
      </c>
      <c r="B1483" s="4">
        <v>45186</v>
      </c>
      <c r="C1483" s="5">
        <v>0.82777777777777772</v>
      </c>
      <c r="D1483" t="s">
        <v>44</v>
      </c>
      <c r="E1483" t="s">
        <v>16</v>
      </c>
      <c r="F1483">
        <v>46</v>
      </c>
      <c r="G1483" t="s">
        <v>20</v>
      </c>
      <c r="H1483">
        <v>4</v>
      </c>
      <c r="I1483">
        <v>300</v>
      </c>
      <c r="J1483">
        <v>297</v>
      </c>
      <c r="K1483">
        <v>1200</v>
      </c>
      <c r="L1483">
        <v>903</v>
      </c>
      <c r="M1483">
        <v>0.75249999999999995</v>
      </c>
      <c r="N1483" t="s">
        <v>21</v>
      </c>
    </row>
    <row r="1484" spans="1:14">
      <c r="A1484">
        <v>688</v>
      </c>
      <c r="B1484" s="4">
        <v>45227</v>
      </c>
      <c r="C1484" s="5">
        <v>0.90625</v>
      </c>
      <c r="D1484" t="s">
        <v>94</v>
      </c>
      <c r="E1484" t="s">
        <v>16</v>
      </c>
      <c r="F1484">
        <v>56</v>
      </c>
      <c r="G1484" t="s">
        <v>17</v>
      </c>
      <c r="H1484">
        <v>4</v>
      </c>
      <c r="I1484">
        <v>25</v>
      </c>
      <c r="J1484">
        <v>24.75</v>
      </c>
      <c r="K1484">
        <v>100</v>
      </c>
      <c r="L1484">
        <v>75.25</v>
      </c>
      <c r="M1484">
        <v>0.75249999999999995</v>
      </c>
      <c r="N1484" t="s">
        <v>28</v>
      </c>
    </row>
    <row r="1485" spans="1:14">
      <c r="A1485">
        <v>813</v>
      </c>
      <c r="B1485" s="4">
        <v>44849</v>
      </c>
      <c r="C1485" s="5">
        <v>0.82708333333333328</v>
      </c>
      <c r="D1485" t="s">
        <v>125</v>
      </c>
      <c r="E1485" t="s">
        <v>16</v>
      </c>
      <c r="F1485">
        <v>52</v>
      </c>
      <c r="G1485" t="s">
        <v>30</v>
      </c>
      <c r="H1485">
        <v>3</v>
      </c>
      <c r="I1485">
        <v>50</v>
      </c>
      <c r="J1485">
        <v>62</v>
      </c>
      <c r="K1485">
        <v>150</v>
      </c>
      <c r="L1485">
        <v>88</v>
      </c>
      <c r="M1485">
        <v>0.58666666666666667</v>
      </c>
      <c r="N1485" t="s">
        <v>21</v>
      </c>
    </row>
    <row r="1486" spans="1:14">
      <c r="A1486">
        <v>1122</v>
      </c>
      <c r="B1486" s="4">
        <v>44811</v>
      </c>
      <c r="C1486" s="5">
        <v>0.82847222222222228</v>
      </c>
      <c r="D1486" t="s">
        <v>103</v>
      </c>
      <c r="E1486" t="s">
        <v>16</v>
      </c>
      <c r="F1486">
        <v>64</v>
      </c>
      <c r="G1486" t="s">
        <v>30</v>
      </c>
      <c r="H1486">
        <v>4</v>
      </c>
      <c r="I1486">
        <v>30</v>
      </c>
      <c r="J1486">
        <v>31.8</v>
      </c>
      <c r="K1486">
        <v>120</v>
      </c>
      <c r="L1486">
        <v>88.2</v>
      </c>
      <c r="M1486">
        <v>0.73499999999999999</v>
      </c>
      <c r="N1486" t="s">
        <v>28</v>
      </c>
    </row>
    <row r="1487" spans="1:14">
      <c r="A1487">
        <v>1373</v>
      </c>
      <c r="B1487" s="4">
        <v>45201</v>
      </c>
      <c r="C1487" s="5">
        <v>0.85138888888888886</v>
      </c>
      <c r="D1487" t="s">
        <v>167</v>
      </c>
      <c r="E1487" t="s">
        <v>23</v>
      </c>
      <c r="F1487">
        <v>25</v>
      </c>
      <c r="G1487" t="s">
        <v>20</v>
      </c>
      <c r="H1487">
        <v>2</v>
      </c>
      <c r="I1487">
        <v>300</v>
      </c>
      <c r="J1487">
        <v>294</v>
      </c>
      <c r="K1487">
        <v>600</v>
      </c>
      <c r="L1487">
        <v>306</v>
      </c>
      <c r="M1487">
        <v>0.51</v>
      </c>
      <c r="N1487" t="s">
        <v>31</v>
      </c>
    </row>
    <row r="1488" spans="1:14">
      <c r="A1488">
        <v>1524</v>
      </c>
      <c r="B1488" s="4">
        <v>44860</v>
      </c>
      <c r="C1488" s="5">
        <v>0.92361111111111116</v>
      </c>
      <c r="D1488" t="s">
        <v>63</v>
      </c>
      <c r="E1488" t="s">
        <v>16</v>
      </c>
      <c r="F1488">
        <v>46</v>
      </c>
      <c r="G1488" t="s">
        <v>20</v>
      </c>
      <c r="H1488">
        <v>4</v>
      </c>
      <c r="I1488">
        <v>300</v>
      </c>
      <c r="J1488">
        <v>321</v>
      </c>
      <c r="K1488">
        <v>1200</v>
      </c>
      <c r="L1488">
        <v>879</v>
      </c>
      <c r="M1488">
        <v>0.73250000000000004</v>
      </c>
      <c r="N1488" t="s">
        <v>21</v>
      </c>
    </row>
    <row r="1489" spans="1:14">
      <c r="A1489">
        <v>1688</v>
      </c>
      <c r="B1489" s="4">
        <v>44912</v>
      </c>
      <c r="C1489" s="5">
        <v>0.72569444444444442</v>
      </c>
      <c r="D1489" t="s">
        <v>41</v>
      </c>
      <c r="E1489" t="s">
        <v>16</v>
      </c>
      <c r="F1489">
        <v>56</v>
      </c>
      <c r="G1489" t="s">
        <v>17</v>
      </c>
      <c r="H1489">
        <v>4</v>
      </c>
      <c r="I1489">
        <v>25</v>
      </c>
      <c r="J1489">
        <v>26.5</v>
      </c>
      <c r="K1489">
        <v>100</v>
      </c>
      <c r="L1489">
        <v>73.5</v>
      </c>
      <c r="M1489">
        <v>0.73499999999999999</v>
      </c>
      <c r="N1489" t="s">
        <v>28</v>
      </c>
    </row>
    <row r="1490" spans="1:14">
      <c r="A1490">
        <v>1813</v>
      </c>
      <c r="B1490" s="4">
        <v>44887</v>
      </c>
      <c r="C1490" s="5">
        <v>0.93333333333333335</v>
      </c>
      <c r="D1490" t="s">
        <v>93</v>
      </c>
      <c r="E1490" t="s">
        <v>16</v>
      </c>
      <c r="F1490">
        <v>52</v>
      </c>
      <c r="G1490" t="s">
        <v>30</v>
      </c>
      <c r="H1490">
        <v>3</v>
      </c>
      <c r="I1490">
        <v>50</v>
      </c>
      <c r="J1490">
        <v>61.5</v>
      </c>
      <c r="K1490">
        <v>150</v>
      </c>
      <c r="L1490">
        <v>88.5</v>
      </c>
      <c r="M1490">
        <v>0.59</v>
      </c>
      <c r="N1490" t="s">
        <v>21</v>
      </c>
    </row>
    <row r="1491" spans="1:14">
      <c r="A1491">
        <v>178</v>
      </c>
      <c r="B1491" s="4">
        <v>45210</v>
      </c>
      <c r="C1491" s="5">
        <v>0.74375000000000002</v>
      </c>
      <c r="D1491" t="s">
        <v>139</v>
      </c>
      <c r="E1491" t="s">
        <v>16</v>
      </c>
      <c r="F1491">
        <v>40</v>
      </c>
      <c r="G1491" t="s">
        <v>17</v>
      </c>
      <c r="H1491">
        <v>2</v>
      </c>
      <c r="I1491">
        <v>30</v>
      </c>
      <c r="J1491">
        <v>34.200000000000003</v>
      </c>
      <c r="K1491">
        <v>60</v>
      </c>
      <c r="L1491">
        <v>25.799999999999997</v>
      </c>
      <c r="M1491">
        <v>0.42999999999999994</v>
      </c>
      <c r="N1491" t="s">
        <v>18</v>
      </c>
    </row>
    <row r="1492" spans="1:14">
      <c r="A1492">
        <v>208</v>
      </c>
      <c r="B1492" s="4">
        <v>45220</v>
      </c>
      <c r="C1492" s="5">
        <v>0.87222222222222223</v>
      </c>
      <c r="D1492" t="s">
        <v>27</v>
      </c>
      <c r="E1492" t="s">
        <v>23</v>
      </c>
      <c r="F1492">
        <v>34</v>
      </c>
      <c r="G1492" t="s">
        <v>30</v>
      </c>
      <c r="H1492">
        <v>4</v>
      </c>
      <c r="I1492">
        <v>50</v>
      </c>
      <c r="J1492">
        <v>57</v>
      </c>
      <c r="K1492">
        <v>200</v>
      </c>
      <c r="L1492">
        <v>143</v>
      </c>
      <c r="M1492">
        <v>0.71499999999999997</v>
      </c>
      <c r="N1492" t="s">
        <v>39</v>
      </c>
    </row>
    <row r="1493" spans="1:14">
      <c r="A1493">
        <v>247</v>
      </c>
      <c r="B1493" s="4">
        <v>44918</v>
      </c>
      <c r="C1493" s="5">
        <v>0.74722222222222223</v>
      </c>
      <c r="D1493" t="s">
        <v>43</v>
      </c>
      <c r="E1493" t="s">
        <v>16</v>
      </c>
      <c r="F1493">
        <v>41</v>
      </c>
      <c r="G1493" t="s">
        <v>30</v>
      </c>
      <c r="H1493">
        <v>2</v>
      </c>
      <c r="I1493">
        <v>30</v>
      </c>
      <c r="J1493">
        <v>31.5</v>
      </c>
      <c r="K1493">
        <v>60</v>
      </c>
      <c r="L1493">
        <v>28.5</v>
      </c>
      <c r="M1493">
        <v>0.47499999999999998</v>
      </c>
      <c r="N1493" t="s">
        <v>18</v>
      </c>
    </row>
    <row r="1494" spans="1:14">
      <c r="A1494">
        <v>290</v>
      </c>
      <c r="B1494" s="4">
        <v>45268</v>
      </c>
      <c r="C1494" s="5">
        <v>0.90208333333333335</v>
      </c>
      <c r="D1494" t="s">
        <v>93</v>
      </c>
      <c r="E1494" t="s">
        <v>23</v>
      </c>
      <c r="F1494">
        <v>30</v>
      </c>
      <c r="G1494" t="s">
        <v>20</v>
      </c>
      <c r="H1494">
        <v>2</v>
      </c>
      <c r="I1494">
        <v>300</v>
      </c>
      <c r="J1494">
        <v>342</v>
      </c>
      <c r="K1494">
        <v>600</v>
      </c>
      <c r="L1494">
        <v>258</v>
      </c>
      <c r="M1494">
        <v>0.43</v>
      </c>
      <c r="N1494" t="s">
        <v>39</v>
      </c>
    </row>
    <row r="1495" spans="1:14">
      <c r="A1495">
        <v>656</v>
      </c>
      <c r="B1495" s="4">
        <v>45242</v>
      </c>
      <c r="C1495" s="5">
        <v>0.87361111111111112</v>
      </c>
      <c r="D1495" t="s">
        <v>110</v>
      </c>
      <c r="E1495" t="s">
        <v>16</v>
      </c>
      <c r="F1495">
        <v>29</v>
      </c>
      <c r="G1495" t="s">
        <v>20</v>
      </c>
      <c r="H1495">
        <v>3</v>
      </c>
      <c r="I1495">
        <v>30</v>
      </c>
      <c r="J1495">
        <v>29.4</v>
      </c>
      <c r="K1495">
        <v>90</v>
      </c>
      <c r="L1495">
        <v>60.6</v>
      </c>
      <c r="M1495">
        <v>0.67333333333333334</v>
      </c>
      <c r="N1495" t="s">
        <v>39</v>
      </c>
    </row>
    <row r="1496" spans="1:14">
      <c r="A1496">
        <v>735</v>
      </c>
      <c r="B1496" s="4">
        <v>44891</v>
      </c>
      <c r="C1496" s="5">
        <v>0.90138888888888891</v>
      </c>
      <c r="D1496" t="s">
        <v>155</v>
      </c>
      <c r="E1496" t="s">
        <v>23</v>
      </c>
      <c r="F1496">
        <v>64</v>
      </c>
      <c r="G1496" t="s">
        <v>17</v>
      </c>
      <c r="H1496">
        <v>4</v>
      </c>
      <c r="I1496">
        <v>500</v>
      </c>
      <c r="J1496">
        <v>515</v>
      </c>
      <c r="K1496">
        <v>2000</v>
      </c>
      <c r="L1496">
        <v>1485</v>
      </c>
      <c r="M1496">
        <v>0.74250000000000005</v>
      </c>
      <c r="N1496" t="s">
        <v>28</v>
      </c>
    </row>
    <row r="1497" spans="1:14">
      <c r="A1497">
        <v>1178</v>
      </c>
      <c r="B1497" s="4">
        <v>45289</v>
      </c>
      <c r="C1497" s="5">
        <v>0.88541666666666663</v>
      </c>
      <c r="D1497" t="s">
        <v>38</v>
      </c>
      <c r="E1497" t="s">
        <v>16</v>
      </c>
      <c r="F1497">
        <v>40</v>
      </c>
      <c r="G1497" t="s">
        <v>17</v>
      </c>
      <c r="H1497">
        <v>2</v>
      </c>
      <c r="I1497">
        <v>30</v>
      </c>
      <c r="J1497">
        <v>33</v>
      </c>
      <c r="K1497">
        <v>60</v>
      </c>
      <c r="L1497">
        <v>27</v>
      </c>
      <c r="M1497">
        <v>0.45</v>
      </c>
      <c r="N1497" t="s">
        <v>18</v>
      </c>
    </row>
    <row r="1498" spans="1:14">
      <c r="A1498">
        <v>1208</v>
      </c>
      <c r="B1498" s="4">
        <v>44849</v>
      </c>
      <c r="C1498" s="5">
        <v>0.73888888888888893</v>
      </c>
      <c r="D1498" t="s">
        <v>150</v>
      </c>
      <c r="E1498" t="s">
        <v>23</v>
      </c>
      <c r="F1498">
        <v>34</v>
      </c>
      <c r="G1498" t="s">
        <v>30</v>
      </c>
      <c r="H1498">
        <v>4</v>
      </c>
      <c r="I1498">
        <v>50</v>
      </c>
      <c r="J1498">
        <v>47.5</v>
      </c>
      <c r="K1498">
        <v>200</v>
      </c>
      <c r="L1498">
        <v>152.5</v>
      </c>
      <c r="M1498">
        <v>0.76249999999999996</v>
      </c>
      <c r="N1498" t="s">
        <v>39</v>
      </c>
    </row>
    <row r="1499" spans="1:14">
      <c r="A1499">
        <v>1247</v>
      </c>
      <c r="B1499" s="4">
        <v>45171</v>
      </c>
      <c r="C1499" s="5">
        <v>0.76180555555555551</v>
      </c>
      <c r="D1499" t="s">
        <v>92</v>
      </c>
      <c r="E1499" t="s">
        <v>16</v>
      </c>
      <c r="F1499">
        <v>41</v>
      </c>
      <c r="G1499" t="s">
        <v>30</v>
      </c>
      <c r="H1499">
        <v>2</v>
      </c>
      <c r="I1499">
        <v>30</v>
      </c>
      <c r="J1499">
        <v>35.700000000000003</v>
      </c>
      <c r="K1499">
        <v>60</v>
      </c>
      <c r="L1499">
        <v>24.299999999999997</v>
      </c>
      <c r="M1499">
        <v>0.40499999999999997</v>
      </c>
      <c r="N1499" t="s">
        <v>18</v>
      </c>
    </row>
    <row r="1500" spans="1:14">
      <c r="A1500">
        <v>1290</v>
      </c>
      <c r="B1500" s="4">
        <v>44925</v>
      </c>
      <c r="C1500" s="5">
        <v>0.94444444444444442</v>
      </c>
      <c r="D1500" t="s">
        <v>32</v>
      </c>
      <c r="E1500" t="s">
        <v>23</v>
      </c>
      <c r="F1500">
        <v>30</v>
      </c>
      <c r="G1500" t="s">
        <v>20</v>
      </c>
      <c r="H1500">
        <v>2</v>
      </c>
      <c r="I1500">
        <v>300</v>
      </c>
      <c r="J1500">
        <v>318</v>
      </c>
      <c r="K1500">
        <v>600</v>
      </c>
      <c r="L1500">
        <v>282</v>
      </c>
      <c r="M1500">
        <v>0.47</v>
      </c>
      <c r="N1500" t="s">
        <v>39</v>
      </c>
    </row>
    <row r="1501" spans="1:14">
      <c r="A1501">
        <v>1656</v>
      </c>
      <c r="B1501" s="4">
        <v>45185</v>
      </c>
      <c r="C1501" s="5">
        <v>0.8354166666666667</v>
      </c>
      <c r="D1501" t="s">
        <v>154</v>
      </c>
      <c r="E1501" t="s">
        <v>16</v>
      </c>
      <c r="F1501">
        <v>29</v>
      </c>
      <c r="G1501" t="s">
        <v>20</v>
      </c>
      <c r="H1501">
        <v>3</v>
      </c>
      <c r="I1501">
        <v>30</v>
      </c>
      <c r="J1501">
        <v>35.4</v>
      </c>
      <c r="K1501">
        <v>90</v>
      </c>
      <c r="L1501">
        <v>54.6</v>
      </c>
      <c r="M1501">
        <v>0.60666666666666669</v>
      </c>
      <c r="N1501" t="s">
        <v>39</v>
      </c>
    </row>
    <row r="1502" spans="1:14">
      <c r="A1502">
        <v>1735</v>
      </c>
      <c r="B1502" s="4">
        <v>45174</v>
      </c>
      <c r="C1502" s="5">
        <v>0.72638888888888886</v>
      </c>
      <c r="D1502" t="s">
        <v>93</v>
      </c>
      <c r="E1502" t="s">
        <v>23</v>
      </c>
      <c r="F1502">
        <v>64</v>
      </c>
      <c r="G1502" t="s">
        <v>17</v>
      </c>
      <c r="H1502">
        <v>4</v>
      </c>
      <c r="I1502">
        <v>500</v>
      </c>
      <c r="J1502">
        <v>505</v>
      </c>
      <c r="K1502">
        <v>2000</v>
      </c>
      <c r="L1502">
        <v>1495</v>
      </c>
      <c r="M1502">
        <v>0.74750000000000005</v>
      </c>
      <c r="N1502" t="s">
        <v>28</v>
      </c>
    </row>
    <row r="1503" spans="1:14">
      <c r="A1503">
        <v>319</v>
      </c>
      <c r="B1503" s="4">
        <v>44872</v>
      </c>
      <c r="C1503" s="5">
        <v>0.78472222222222221</v>
      </c>
      <c r="D1503" t="s">
        <v>61</v>
      </c>
      <c r="E1503" t="s">
        <v>16</v>
      </c>
      <c r="F1503">
        <v>31</v>
      </c>
      <c r="G1503" t="s">
        <v>17</v>
      </c>
      <c r="H1503">
        <v>1</v>
      </c>
      <c r="I1503">
        <v>500</v>
      </c>
      <c r="J1503">
        <v>500</v>
      </c>
      <c r="K1503">
        <v>500</v>
      </c>
      <c r="L1503">
        <v>0</v>
      </c>
      <c r="M1503">
        <v>0</v>
      </c>
      <c r="N1503" t="s">
        <v>39</v>
      </c>
    </row>
    <row r="1504" spans="1:14">
      <c r="A1504">
        <v>670</v>
      </c>
      <c r="B1504" s="4">
        <v>45198</v>
      </c>
      <c r="C1504" s="5">
        <v>0.72499999999999998</v>
      </c>
      <c r="D1504" t="s">
        <v>36</v>
      </c>
      <c r="E1504" t="s">
        <v>16</v>
      </c>
      <c r="F1504">
        <v>27</v>
      </c>
      <c r="G1504" t="s">
        <v>20</v>
      </c>
      <c r="H1504">
        <v>1</v>
      </c>
      <c r="I1504">
        <v>30</v>
      </c>
      <c r="J1504">
        <v>35.700000000000003</v>
      </c>
      <c r="K1504">
        <v>30</v>
      </c>
      <c r="L1504">
        <v>-5.7000000000000028</v>
      </c>
      <c r="M1504">
        <v>-0.19000000000000009</v>
      </c>
      <c r="N1504" t="s">
        <v>39</v>
      </c>
    </row>
    <row r="1505" spans="1:14">
      <c r="A1505">
        <v>1319</v>
      </c>
      <c r="B1505" s="4">
        <v>45255</v>
      </c>
      <c r="C1505" s="5">
        <v>0.72013888888888888</v>
      </c>
      <c r="D1505" t="s">
        <v>130</v>
      </c>
      <c r="E1505" t="s">
        <v>16</v>
      </c>
      <c r="F1505">
        <v>31</v>
      </c>
      <c r="G1505" t="s">
        <v>17</v>
      </c>
      <c r="H1505">
        <v>1</v>
      </c>
      <c r="I1505">
        <v>500</v>
      </c>
      <c r="J1505">
        <v>585</v>
      </c>
      <c r="K1505">
        <v>500</v>
      </c>
      <c r="L1505">
        <v>-85</v>
      </c>
      <c r="M1505">
        <v>-0.17</v>
      </c>
      <c r="N1505" t="s">
        <v>39</v>
      </c>
    </row>
    <row r="1506" spans="1:14">
      <c r="A1506">
        <v>1670</v>
      </c>
      <c r="B1506" s="4">
        <v>45223</v>
      </c>
      <c r="C1506" s="5">
        <v>0.89722222222222225</v>
      </c>
      <c r="D1506" t="s">
        <v>35</v>
      </c>
      <c r="E1506" t="s">
        <v>16</v>
      </c>
      <c r="F1506">
        <v>27</v>
      </c>
      <c r="G1506" t="s">
        <v>20</v>
      </c>
      <c r="H1506">
        <v>1</v>
      </c>
      <c r="I1506">
        <v>30</v>
      </c>
      <c r="J1506">
        <v>34.200000000000003</v>
      </c>
      <c r="K1506">
        <v>30</v>
      </c>
      <c r="L1506">
        <v>-4.2000000000000028</v>
      </c>
      <c r="M1506">
        <v>-0.1400000000000001</v>
      </c>
      <c r="N1506" t="s">
        <v>39</v>
      </c>
    </row>
    <row r="1507" spans="1:14">
      <c r="A1507">
        <v>385</v>
      </c>
      <c r="B1507" s="4">
        <v>44885</v>
      </c>
      <c r="C1507" s="5">
        <v>0.79583333333333328</v>
      </c>
      <c r="D1507" t="s">
        <v>128</v>
      </c>
      <c r="E1507" t="s">
        <v>16</v>
      </c>
      <c r="F1507">
        <v>50</v>
      </c>
      <c r="G1507" t="s">
        <v>30</v>
      </c>
      <c r="H1507">
        <v>3</v>
      </c>
      <c r="I1507">
        <v>500</v>
      </c>
      <c r="J1507">
        <v>525</v>
      </c>
      <c r="K1507">
        <v>1500</v>
      </c>
      <c r="L1507">
        <v>975</v>
      </c>
      <c r="M1507">
        <v>0.65</v>
      </c>
      <c r="N1507" t="s">
        <v>21</v>
      </c>
    </row>
    <row r="1508" spans="1:14">
      <c r="A1508">
        <v>1385</v>
      </c>
      <c r="B1508" s="4">
        <v>45237</v>
      </c>
      <c r="C1508" s="5">
        <v>0.80694444444444446</v>
      </c>
      <c r="D1508" t="s">
        <v>83</v>
      </c>
      <c r="E1508" t="s">
        <v>16</v>
      </c>
      <c r="F1508">
        <v>50</v>
      </c>
      <c r="G1508" t="s">
        <v>30</v>
      </c>
      <c r="H1508">
        <v>3</v>
      </c>
      <c r="I1508">
        <v>500</v>
      </c>
      <c r="J1508">
        <v>505</v>
      </c>
      <c r="K1508">
        <v>1500</v>
      </c>
      <c r="L1508">
        <v>995</v>
      </c>
      <c r="M1508">
        <v>0.66333333333333333</v>
      </c>
      <c r="N1508" t="s">
        <v>21</v>
      </c>
    </row>
    <row r="1509" spans="1:14">
      <c r="A1509">
        <v>10</v>
      </c>
      <c r="B1509" s="4">
        <v>44858</v>
      </c>
      <c r="C1509" s="5">
        <v>0.95486111111111116</v>
      </c>
      <c r="D1509" t="s">
        <v>107</v>
      </c>
      <c r="E1509" t="s">
        <v>23</v>
      </c>
      <c r="F1509">
        <v>52</v>
      </c>
      <c r="G1509" t="s">
        <v>17</v>
      </c>
      <c r="H1509">
        <v>4</v>
      </c>
      <c r="I1509">
        <v>50</v>
      </c>
      <c r="J1509">
        <v>62.5</v>
      </c>
      <c r="K1509">
        <v>200</v>
      </c>
      <c r="L1509">
        <v>137.5</v>
      </c>
      <c r="M1509">
        <v>0.6875</v>
      </c>
      <c r="N1509" t="s">
        <v>21</v>
      </c>
    </row>
    <row r="1510" spans="1:14">
      <c r="A1510">
        <v>26</v>
      </c>
      <c r="B1510" s="4">
        <v>45213</v>
      </c>
      <c r="C1510" s="5">
        <v>0.74583333333333335</v>
      </c>
      <c r="D1510" t="s">
        <v>97</v>
      </c>
      <c r="E1510" t="s">
        <v>23</v>
      </c>
      <c r="F1510">
        <v>28</v>
      </c>
      <c r="G1510" t="s">
        <v>30</v>
      </c>
      <c r="H1510">
        <v>2</v>
      </c>
      <c r="I1510">
        <v>500</v>
      </c>
      <c r="J1510">
        <v>600</v>
      </c>
      <c r="K1510">
        <v>1000</v>
      </c>
      <c r="L1510">
        <v>400</v>
      </c>
      <c r="M1510">
        <v>0.4</v>
      </c>
      <c r="N1510" t="s">
        <v>39</v>
      </c>
    </row>
    <row r="1511" spans="1:14">
      <c r="A1511">
        <v>437</v>
      </c>
      <c r="B1511" s="4">
        <v>45256</v>
      </c>
      <c r="C1511" s="5">
        <v>0.78680555555555554</v>
      </c>
      <c r="D1511" t="s">
        <v>119</v>
      </c>
      <c r="E1511" t="s">
        <v>23</v>
      </c>
      <c r="F1511">
        <v>35</v>
      </c>
      <c r="G1511" t="s">
        <v>30</v>
      </c>
      <c r="H1511">
        <v>4</v>
      </c>
      <c r="I1511">
        <v>300</v>
      </c>
      <c r="J1511">
        <v>345</v>
      </c>
      <c r="K1511">
        <v>1200</v>
      </c>
      <c r="L1511">
        <v>855</v>
      </c>
      <c r="M1511">
        <v>0.71250000000000002</v>
      </c>
      <c r="N1511" t="s">
        <v>39</v>
      </c>
    </row>
    <row r="1512" spans="1:14">
      <c r="A1512">
        <v>689</v>
      </c>
      <c r="B1512" s="4">
        <v>44850</v>
      </c>
      <c r="C1512" s="5">
        <v>0.84513888888888888</v>
      </c>
      <c r="D1512" t="s">
        <v>83</v>
      </c>
      <c r="E1512" t="s">
        <v>16</v>
      </c>
      <c r="F1512">
        <v>57</v>
      </c>
      <c r="G1512" t="s">
        <v>30</v>
      </c>
      <c r="H1512">
        <v>2</v>
      </c>
      <c r="I1512">
        <v>50</v>
      </c>
      <c r="J1512">
        <v>52.5</v>
      </c>
      <c r="K1512">
        <v>100</v>
      </c>
      <c r="L1512">
        <v>47.5</v>
      </c>
      <c r="M1512">
        <v>0.47499999999999998</v>
      </c>
      <c r="N1512" t="s">
        <v>28</v>
      </c>
    </row>
    <row r="1513" spans="1:14">
      <c r="A1513">
        <v>1010</v>
      </c>
      <c r="B1513" s="4">
        <v>44855</v>
      </c>
      <c r="C1513" s="5">
        <v>0.9243055555555556</v>
      </c>
      <c r="D1513" t="s">
        <v>88</v>
      </c>
      <c r="E1513" t="s">
        <v>23</v>
      </c>
      <c r="F1513">
        <v>52</v>
      </c>
      <c r="G1513" t="s">
        <v>17</v>
      </c>
      <c r="H1513">
        <v>4</v>
      </c>
      <c r="I1513">
        <v>50</v>
      </c>
      <c r="J1513">
        <v>54.5</v>
      </c>
      <c r="K1513">
        <v>200</v>
      </c>
      <c r="L1513">
        <v>145.5</v>
      </c>
      <c r="M1513">
        <v>0.72750000000000004</v>
      </c>
      <c r="N1513" t="s">
        <v>21</v>
      </c>
    </row>
    <row r="1514" spans="1:14">
      <c r="A1514">
        <v>1026</v>
      </c>
      <c r="B1514" s="4">
        <v>44889</v>
      </c>
      <c r="C1514" s="5">
        <v>0.79861111111111116</v>
      </c>
      <c r="D1514" t="s">
        <v>137</v>
      </c>
      <c r="E1514" t="s">
        <v>23</v>
      </c>
      <c r="F1514">
        <v>28</v>
      </c>
      <c r="G1514" t="s">
        <v>30</v>
      </c>
      <c r="H1514">
        <v>2</v>
      </c>
      <c r="I1514">
        <v>500</v>
      </c>
      <c r="J1514">
        <v>520</v>
      </c>
      <c r="K1514">
        <v>1000</v>
      </c>
      <c r="L1514">
        <v>480</v>
      </c>
      <c r="M1514">
        <v>0.48</v>
      </c>
      <c r="N1514" t="s">
        <v>39</v>
      </c>
    </row>
    <row r="1515" spans="1:14">
      <c r="A1515">
        <v>1437</v>
      </c>
      <c r="B1515" s="4">
        <v>45173</v>
      </c>
      <c r="C1515" s="5">
        <v>0.80486111111111114</v>
      </c>
      <c r="D1515" t="s">
        <v>130</v>
      </c>
      <c r="E1515" t="s">
        <v>23</v>
      </c>
      <c r="F1515">
        <v>35</v>
      </c>
      <c r="G1515" t="s">
        <v>30</v>
      </c>
      <c r="H1515">
        <v>4</v>
      </c>
      <c r="I1515">
        <v>300</v>
      </c>
      <c r="J1515">
        <v>372</v>
      </c>
      <c r="K1515">
        <v>1200</v>
      </c>
      <c r="L1515">
        <v>828</v>
      </c>
      <c r="M1515">
        <v>0.69</v>
      </c>
      <c r="N1515" t="s">
        <v>39</v>
      </c>
    </row>
    <row r="1516" spans="1:14">
      <c r="A1516">
        <v>1689</v>
      </c>
      <c r="B1516" s="4">
        <v>45279</v>
      </c>
      <c r="C1516" s="5">
        <v>0.87083333333333335</v>
      </c>
      <c r="D1516" t="s">
        <v>69</v>
      </c>
      <c r="E1516" t="s">
        <v>16</v>
      </c>
      <c r="F1516">
        <v>57</v>
      </c>
      <c r="G1516" t="s">
        <v>30</v>
      </c>
      <c r="H1516">
        <v>2</v>
      </c>
      <c r="I1516">
        <v>50</v>
      </c>
      <c r="J1516">
        <v>47.5</v>
      </c>
      <c r="K1516">
        <v>100</v>
      </c>
      <c r="L1516">
        <v>52.5</v>
      </c>
      <c r="M1516">
        <v>0.52500000000000002</v>
      </c>
      <c r="N1516" t="s">
        <v>28</v>
      </c>
    </row>
    <row r="1517" spans="1:14">
      <c r="A1517">
        <v>558</v>
      </c>
      <c r="B1517" s="4">
        <v>45225</v>
      </c>
      <c r="C1517" s="5">
        <v>0.74097222222222225</v>
      </c>
      <c r="D1517" t="s">
        <v>171</v>
      </c>
      <c r="E1517" t="s">
        <v>23</v>
      </c>
      <c r="F1517">
        <v>41</v>
      </c>
      <c r="G1517" t="s">
        <v>17</v>
      </c>
      <c r="H1517">
        <v>1</v>
      </c>
      <c r="I1517">
        <v>25</v>
      </c>
      <c r="J1517">
        <v>26</v>
      </c>
      <c r="K1517">
        <v>25</v>
      </c>
      <c r="L1517">
        <v>-1</v>
      </c>
      <c r="M1517">
        <v>-0.04</v>
      </c>
      <c r="N1517" t="s">
        <v>18</v>
      </c>
    </row>
    <row r="1518" spans="1:14">
      <c r="A1518">
        <v>634</v>
      </c>
      <c r="B1518" s="4">
        <v>44844</v>
      </c>
      <c r="C1518" s="5">
        <v>0.80902777777777779</v>
      </c>
      <c r="D1518" t="s">
        <v>47</v>
      </c>
      <c r="E1518" t="s">
        <v>16</v>
      </c>
      <c r="F1518">
        <v>60</v>
      </c>
      <c r="G1518" t="s">
        <v>30</v>
      </c>
      <c r="H1518">
        <v>4</v>
      </c>
      <c r="I1518">
        <v>500</v>
      </c>
      <c r="J1518">
        <v>535</v>
      </c>
      <c r="K1518">
        <v>2000</v>
      </c>
      <c r="L1518">
        <v>1465</v>
      </c>
      <c r="M1518">
        <v>0.73250000000000004</v>
      </c>
      <c r="N1518" t="s">
        <v>28</v>
      </c>
    </row>
    <row r="1519" spans="1:14">
      <c r="A1519">
        <v>1558</v>
      </c>
      <c r="B1519" s="4">
        <v>44917</v>
      </c>
      <c r="C1519" s="5">
        <v>0.85902777777777772</v>
      </c>
      <c r="D1519" t="s">
        <v>173</v>
      </c>
      <c r="E1519" t="s">
        <v>23</v>
      </c>
      <c r="F1519">
        <v>41</v>
      </c>
      <c r="G1519" t="s">
        <v>17</v>
      </c>
      <c r="H1519">
        <v>1</v>
      </c>
      <c r="I1519">
        <v>25</v>
      </c>
      <c r="J1519">
        <v>27.75</v>
      </c>
      <c r="K1519">
        <v>25</v>
      </c>
      <c r="L1519">
        <v>-2.75</v>
      </c>
      <c r="M1519">
        <v>-0.11</v>
      </c>
      <c r="N1519" t="s">
        <v>18</v>
      </c>
    </row>
    <row r="1520" spans="1:14">
      <c r="A1520">
        <v>1634</v>
      </c>
      <c r="B1520" s="4">
        <v>45233</v>
      </c>
      <c r="C1520" s="5">
        <v>0.72083333333333333</v>
      </c>
      <c r="D1520" t="s">
        <v>78</v>
      </c>
      <c r="E1520" t="s">
        <v>16</v>
      </c>
      <c r="F1520">
        <v>60</v>
      </c>
      <c r="G1520" t="s">
        <v>30</v>
      </c>
      <c r="H1520">
        <v>4</v>
      </c>
      <c r="I1520">
        <v>500</v>
      </c>
      <c r="J1520">
        <v>520</v>
      </c>
      <c r="K1520">
        <v>2000</v>
      </c>
      <c r="L1520">
        <v>1480</v>
      </c>
      <c r="M1520">
        <v>0.74</v>
      </c>
      <c r="N1520" t="s">
        <v>28</v>
      </c>
    </row>
    <row r="1521" spans="1:14">
      <c r="A1521">
        <v>201</v>
      </c>
      <c r="B1521" s="4">
        <v>44847</v>
      </c>
      <c r="C1521" s="5">
        <v>0.79722222222222228</v>
      </c>
      <c r="D1521" t="s">
        <v>127</v>
      </c>
      <c r="E1521" t="s">
        <v>16</v>
      </c>
      <c r="F1521">
        <v>56</v>
      </c>
      <c r="G1521" t="s">
        <v>30</v>
      </c>
      <c r="H1521">
        <v>1</v>
      </c>
      <c r="I1521">
        <v>25</v>
      </c>
      <c r="J1521">
        <v>29.75</v>
      </c>
      <c r="K1521">
        <v>25</v>
      </c>
      <c r="L1521">
        <v>-4.75</v>
      </c>
      <c r="M1521">
        <v>-0.19</v>
      </c>
      <c r="N1521" t="s">
        <v>28</v>
      </c>
    </row>
    <row r="1522" spans="1:14">
      <c r="A1522">
        <v>286</v>
      </c>
      <c r="B1522" s="4">
        <v>44839</v>
      </c>
      <c r="C1522" s="5">
        <v>0.9555555555555556</v>
      </c>
      <c r="D1522" t="s">
        <v>172</v>
      </c>
      <c r="E1522" t="s">
        <v>16</v>
      </c>
      <c r="F1522">
        <v>55</v>
      </c>
      <c r="G1522" t="s">
        <v>30</v>
      </c>
      <c r="H1522">
        <v>2</v>
      </c>
      <c r="I1522">
        <v>25</v>
      </c>
      <c r="J1522">
        <v>27.75</v>
      </c>
      <c r="K1522">
        <v>50</v>
      </c>
      <c r="L1522">
        <v>22.25</v>
      </c>
      <c r="M1522">
        <v>0.44500000000000001</v>
      </c>
      <c r="N1522" t="s">
        <v>21</v>
      </c>
    </row>
    <row r="1523" spans="1:14">
      <c r="A1523">
        <v>876</v>
      </c>
      <c r="B1523" s="4">
        <v>45202</v>
      </c>
      <c r="C1523" s="5">
        <v>0.81874999999999998</v>
      </c>
      <c r="D1523" t="s">
        <v>100</v>
      </c>
      <c r="E1523" t="s">
        <v>16</v>
      </c>
      <c r="F1523">
        <v>43</v>
      </c>
      <c r="G1523" t="s">
        <v>17</v>
      </c>
      <c r="H1523">
        <v>4</v>
      </c>
      <c r="I1523">
        <v>30</v>
      </c>
      <c r="J1523">
        <v>30</v>
      </c>
      <c r="K1523">
        <v>120</v>
      </c>
      <c r="L1523">
        <v>90</v>
      </c>
      <c r="M1523">
        <v>0.75</v>
      </c>
      <c r="N1523" t="s">
        <v>18</v>
      </c>
    </row>
    <row r="1524" spans="1:14">
      <c r="A1524">
        <v>1201</v>
      </c>
      <c r="B1524" s="4">
        <v>45230</v>
      </c>
      <c r="C1524" s="5">
        <v>0.72777777777777775</v>
      </c>
      <c r="D1524" t="s">
        <v>63</v>
      </c>
      <c r="E1524" t="s">
        <v>16</v>
      </c>
      <c r="F1524">
        <v>56</v>
      </c>
      <c r="G1524" t="s">
        <v>30</v>
      </c>
      <c r="H1524">
        <v>1</v>
      </c>
      <c r="I1524">
        <v>25</v>
      </c>
      <c r="J1524">
        <v>27.75</v>
      </c>
      <c r="K1524">
        <v>25</v>
      </c>
      <c r="L1524">
        <v>-2.75</v>
      </c>
      <c r="M1524">
        <v>-0.11</v>
      </c>
      <c r="N1524" t="s">
        <v>28</v>
      </c>
    </row>
    <row r="1525" spans="1:14">
      <c r="A1525">
        <v>1286</v>
      </c>
      <c r="B1525" s="4">
        <v>44921</v>
      </c>
      <c r="C1525" s="5">
        <v>0.72430555555555554</v>
      </c>
      <c r="D1525" t="s">
        <v>117</v>
      </c>
      <c r="E1525" t="s">
        <v>16</v>
      </c>
      <c r="F1525">
        <v>55</v>
      </c>
      <c r="G1525" t="s">
        <v>30</v>
      </c>
      <c r="H1525">
        <v>2</v>
      </c>
      <c r="I1525">
        <v>25</v>
      </c>
      <c r="J1525">
        <v>28.5</v>
      </c>
      <c r="K1525">
        <v>50</v>
      </c>
      <c r="L1525">
        <v>21.5</v>
      </c>
      <c r="M1525">
        <v>0.43</v>
      </c>
      <c r="N1525" t="s">
        <v>21</v>
      </c>
    </row>
    <row r="1526" spans="1:14">
      <c r="A1526">
        <v>1876</v>
      </c>
      <c r="B1526" s="4">
        <v>45235</v>
      </c>
      <c r="C1526" s="5">
        <v>0.82847222222222228</v>
      </c>
      <c r="D1526" t="s">
        <v>47</v>
      </c>
      <c r="E1526" t="s">
        <v>16</v>
      </c>
      <c r="F1526">
        <v>43</v>
      </c>
      <c r="G1526" t="s">
        <v>17</v>
      </c>
      <c r="H1526">
        <v>4</v>
      </c>
      <c r="I1526">
        <v>30</v>
      </c>
      <c r="J1526">
        <v>32.1</v>
      </c>
      <c r="K1526">
        <v>120</v>
      </c>
      <c r="L1526">
        <v>87.9</v>
      </c>
      <c r="M1526">
        <v>0.73250000000000004</v>
      </c>
      <c r="N1526" t="s">
        <v>18</v>
      </c>
    </row>
    <row r="1527" spans="1:14">
      <c r="A1527">
        <v>55</v>
      </c>
      <c r="B1527" s="4">
        <v>45197</v>
      </c>
      <c r="C1527" s="5">
        <v>0.85555555555555551</v>
      </c>
      <c r="D1527" t="s">
        <v>64</v>
      </c>
      <c r="E1527" t="s">
        <v>16</v>
      </c>
      <c r="F1527">
        <v>31</v>
      </c>
      <c r="G1527" t="s">
        <v>20</v>
      </c>
      <c r="H1527">
        <v>4</v>
      </c>
      <c r="I1527">
        <v>30</v>
      </c>
      <c r="J1527">
        <v>31.8</v>
      </c>
      <c r="K1527">
        <v>120</v>
      </c>
      <c r="L1527">
        <v>88.2</v>
      </c>
      <c r="M1527">
        <v>0.73499999999999999</v>
      </c>
      <c r="N1527" t="s">
        <v>39</v>
      </c>
    </row>
    <row r="1528" spans="1:14">
      <c r="A1528">
        <v>428</v>
      </c>
      <c r="B1528" s="4">
        <v>44897</v>
      </c>
      <c r="C1528" s="5">
        <v>0.94722222222222219</v>
      </c>
      <c r="D1528" t="s">
        <v>42</v>
      </c>
      <c r="E1528" t="s">
        <v>23</v>
      </c>
      <c r="F1528">
        <v>40</v>
      </c>
      <c r="G1528" t="s">
        <v>30</v>
      </c>
      <c r="H1528">
        <v>4</v>
      </c>
      <c r="I1528">
        <v>50</v>
      </c>
      <c r="J1528">
        <v>49.5</v>
      </c>
      <c r="K1528">
        <v>200</v>
      </c>
      <c r="L1528">
        <v>150.5</v>
      </c>
      <c r="M1528">
        <v>0.75249999999999995</v>
      </c>
      <c r="N1528" t="s">
        <v>18</v>
      </c>
    </row>
    <row r="1529" spans="1:14">
      <c r="A1529">
        <v>441</v>
      </c>
      <c r="B1529" s="4">
        <v>45236</v>
      </c>
      <c r="C1529" s="5">
        <v>0.91666666666666663</v>
      </c>
      <c r="D1529" t="s">
        <v>24</v>
      </c>
      <c r="E1529" t="s">
        <v>16</v>
      </c>
      <c r="F1529">
        <v>57</v>
      </c>
      <c r="G1529" t="s">
        <v>20</v>
      </c>
      <c r="H1529">
        <v>4</v>
      </c>
      <c r="I1529">
        <v>300</v>
      </c>
      <c r="J1529">
        <v>351</v>
      </c>
      <c r="K1529">
        <v>1200</v>
      </c>
      <c r="L1529">
        <v>849</v>
      </c>
      <c r="M1529">
        <v>0.70750000000000002</v>
      </c>
      <c r="N1529" t="s">
        <v>28</v>
      </c>
    </row>
    <row r="1530" spans="1:14">
      <c r="A1530">
        <v>976</v>
      </c>
      <c r="B1530" s="4">
        <v>45207</v>
      </c>
      <c r="C1530" s="5">
        <v>0.82638888888888884</v>
      </c>
      <c r="D1530" t="s">
        <v>119</v>
      </c>
      <c r="E1530" t="s">
        <v>23</v>
      </c>
      <c r="F1530">
        <v>48</v>
      </c>
      <c r="G1530" t="s">
        <v>20</v>
      </c>
      <c r="H1530">
        <v>2</v>
      </c>
      <c r="I1530">
        <v>300</v>
      </c>
      <c r="J1530">
        <v>345</v>
      </c>
      <c r="K1530">
        <v>600</v>
      </c>
      <c r="L1530">
        <v>255</v>
      </c>
      <c r="M1530">
        <v>0.42499999999999999</v>
      </c>
      <c r="N1530" t="s">
        <v>21</v>
      </c>
    </row>
    <row r="1531" spans="1:14">
      <c r="A1531">
        <v>1055</v>
      </c>
      <c r="B1531" s="4">
        <v>44857</v>
      </c>
      <c r="C1531" s="5">
        <v>0.89930555555555558</v>
      </c>
      <c r="D1531" t="s">
        <v>111</v>
      </c>
      <c r="E1531" t="s">
        <v>16</v>
      </c>
      <c r="F1531">
        <v>31</v>
      </c>
      <c r="G1531" t="s">
        <v>20</v>
      </c>
      <c r="H1531">
        <v>4</v>
      </c>
      <c r="I1531">
        <v>30</v>
      </c>
      <c r="J1531">
        <v>37.5</v>
      </c>
      <c r="K1531">
        <v>120</v>
      </c>
      <c r="L1531">
        <v>82.5</v>
      </c>
      <c r="M1531">
        <v>0.6875</v>
      </c>
      <c r="N1531" t="s">
        <v>39</v>
      </c>
    </row>
    <row r="1532" spans="1:14">
      <c r="A1532">
        <v>1428</v>
      </c>
      <c r="B1532" s="4">
        <v>45178</v>
      </c>
      <c r="C1532" s="5">
        <v>0.78055555555555556</v>
      </c>
      <c r="D1532" t="s">
        <v>157</v>
      </c>
      <c r="E1532" t="s">
        <v>23</v>
      </c>
      <c r="F1532">
        <v>40</v>
      </c>
      <c r="G1532" t="s">
        <v>30</v>
      </c>
      <c r="H1532">
        <v>4</v>
      </c>
      <c r="I1532">
        <v>50</v>
      </c>
      <c r="J1532">
        <v>57</v>
      </c>
      <c r="K1532">
        <v>200</v>
      </c>
      <c r="L1532">
        <v>143</v>
      </c>
      <c r="M1532">
        <v>0.71499999999999997</v>
      </c>
      <c r="N1532" t="s">
        <v>18</v>
      </c>
    </row>
    <row r="1533" spans="1:14">
      <c r="A1533">
        <v>1441</v>
      </c>
      <c r="B1533" s="4">
        <v>45203</v>
      </c>
      <c r="C1533" s="5">
        <v>0.90138888888888891</v>
      </c>
      <c r="D1533" t="s">
        <v>138</v>
      </c>
      <c r="E1533" t="s">
        <v>16</v>
      </c>
      <c r="F1533">
        <v>57</v>
      </c>
      <c r="G1533" t="s">
        <v>20</v>
      </c>
      <c r="H1533">
        <v>4</v>
      </c>
      <c r="I1533">
        <v>300</v>
      </c>
      <c r="J1533">
        <v>354</v>
      </c>
      <c r="K1533">
        <v>1200</v>
      </c>
      <c r="L1533">
        <v>846</v>
      </c>
      <c r="M1533">
        <v>0.70499999999999996</v>
      </c>
      <c r="N1533" t="s">
        <v>28</v>
      </c>
    </row>
    <row r="1534" spans="1:14">
      <c r="A1534">
        <v>1976</v>
      </c>
      <c r="B1534" s="4">
        <v>45214</v>
      </c>
      <c r="C1534" s="5">
        <v>0.88194444444444442</v>
      </c>
      <c r="D1534" t="s">
        <v>171</v>
      </c>
      <c r="E1534" t="s">
        <v>23</v>
      </c>
      <c r="F1534">
        <v>48</v>
      </c>
      <c r="G1534" t="s">
        <v>20</v>
      </c>
      <c r="H1534">
        <v>2</v>
      </c>
      <c r="I1534">
        <v>300</v>
      </c>
      <c r="J1534">
        <v>360</v>
      </c>
      <c r="K1534">
        <v>600</v>
      </c>
      <c r="L1534">
        <v>240</v>
      </c>
      <c r="M1534">
        <v>0.4</v>
      </c>
      <c r="N1534" t="s">
        <v>21</v>
      </c>
    </row>
    <row r="1535" spans="1:14">
      <c r="A1535">
        <v>149</v>
      </c>
      <c r="B1535" s="4">
        <v>45213</v>
      </c>
      <c r="C1535" s="5">
        <v>0.74444444444444446</v>
      </c>
      <c r="D1535" t="s">
        <v>178</v>
      </c>
      <c r="E1535" t="s">
        <v>16</v>
      </c>
      <c r="F1535">
        <v>22</v>
      </c>
      <c r="G1535" t="s">
        <v>17</v>
      </c>
      <c r="H1535">
        <v>3</v>
      </c>
      <c r="I1535">
        <v>25</v>
      </c>
      <c r="J1535">
        <v>27</v>
      </c>
      <c r="K1535">
        <v>75</v>
      </c>
      <c r="L1535">
        <v>48</v>
      </c>
      <c r="M1535">
        <v>0.64</v>
      </c>
      <c r="N1535" t="s">
        <v>31</v>
      </c>
    </row>
    <row r="1536" spans="1:14">
      <c r="A1536">
        <v>227</v>
      </c>
      <c r="B1536" s="4">
        <v>45245</v>
      </c>
      <c r="C1536" s="5">
        <v>0.80486111111111114</v>
      </c>
      <c r="D1536" t="s">
        <v>116</v>
      </c>
      <c r="E1536" t="s">
        <v>16</v>
      </c>
      <c r="F1536">
        <v>36</v>
      </c>
      <c r="G1536" t="s">
        <v>30</v>
      </c>
      <c r="H1536">
        <v>2</v>
      </c>
      <c r="I1536">
        <v>50</v>
      </c>
      <c r="J1536">
        <v>50.5</v>
      </c>
      <c r="K1536">
        <v>100</v>
      </c>
      <c r="L1536">
        <v>49.5</v>
      </c>
      <c r="M1536">
        <v>0.495</v>
      </c>
      <c r="N1536" t="s">
        <v>18</v>
      </c>
    </row>
    <row r="1537" spans="1:14">
      <c r="A1537">
        <v>393</v>
      </c>
      <c r="B1537" s="4">
        <v>44853</v>
      </c>
      <c r="C1537" s="5">
        <v>0.78611111111111109</v>
      </c>
      <c r="D1537" t="s">
        <v>24</v>
      </c>
      <c r="E1537" t="s">
        <v>23</v>
      </c>
      <c r="F1537">
        <v>22</v>
      </c>
      <c r="G1537" t="s">
        <v>20</v>
      </c>
      <c r="H1537">
        <v>2</v>
      </c>
      <c r="I1537">
        <v>500</v>
      </c>
      <c r="J1537">
        <v>595</v>
      </c>
      <c r="K1537">
        <v>1000</v>
      </c>
      <c r="L1537">
        <v>405</v>
      </c>
      <c r="M1537">
        <v>0.40500000000000003</v>
      </c>
      <c r="N1537" t="s">
        <v>31</v>
      </c>
    </row>
    <row r="1538" spans="1:14">
      <c r="A1538">
        <v>401</v>
      </c>
      <c r="B1538" s="4">
        <v>45263</v>
      </c>
      <c r="C1538" s="5">
        <v>0.79374999999999996</v>
      </c>
      <c r="D1538" t="s">
        <v>97</v>
      </c>
      <c r="E1538" t="s">
        <v>23</v>
      </c>
      <c r="F1538">
        <v>62</v>
      </c>
      <c r="G1538" t="s">
        <v>17</v>
      </c>
      <c r="H1538">
        <v>1</v>
      </c>
      <c r="I1538">
        <v>300</v>
      </c>
      <c r="J1538">
        <v>372</v>
      </c>
      <c r="K1538">
        <v>300</v>
      </c>
      <c r="L1538">
        <v>-72</v>
      </c>
      <c r="M1538">
        <v>-0.24</v>
      </c>
      <c r="N1538" t="s">
        <v>28</v>
      </c>
    </row>
    <row r="1539" spans="1:14">
      <c r="A1539">
        <v>546</v>
      </c>
      <c r="B1539" s="4">
        <v>44925</v>
      </c>
      <c r="C1539" s="5">
        <v>0.93888888888888888</v>
      </c>
      <c r="D1539" t="s">
        <v>64</v>
      </c>
      <c r="E1539" t="s">
        <v>23</v>
      </c>
      <c r="F1539">
        <v>36</v>
      </c>
      <c r="G1539" t="s">
        <v>30</v>
      </c>
      <c r="H1539">
        <v>4</v>
      </c>
      <c r="I1539">
        <v>50</v>
      </c>
      <c r="J1539">
        <v>53.5</v>
      </c>
      <c r="K1539">
        <v>200</v>
      </c>
      <c r="L1539">
        <v>146.5</v>
      </c>
      <c r="M1539">
        <v>0.73250000000000004</v>
      </c>
      <c r="N1539" t="s">
        <v>18</v>
      </c>
    </row>
    <row r="1540" spans="1:14">
      <c r="A1540">
        <v>872</v>
      </c>
      <c r="B1540" s="4">
        <v>45270</v>
      </c>
      <c r="C1540" s="5">
        <v>0.9291666666666667</v>
      </c>
      <c r="D1540" t="s">
        <v>156</v>
      </c>
      <c r="E1540" t="s">
        <v>23</v>
      </c>
      <c r="F1540">
        <v>63</v>
      </c>
      <c r="G1540" t="s">
        <v>20</v>
      </c>
      <c r="H1540">
        <v>3</v>
      </c>
      <c r="I1540">
        <v>25</v>
      </c>
      <c r="J1540">
        <v>24.75</v>
      </c>
      <c r="K1540">
        <v>75</v>
      </c>
      <c r="L1540">
        <v>50.25</v>
      </c>
      <c r="M1540">
        <v>0.67</v>
      </c>
      <c r="N1540" t="s">
        <v>28</v>
      </c>
    </row>
    <row r="1541" spans="1:14">
      <c r="A1541">
        <v>914</v>
      </c>
      <c r="B1541" s="4">
        <v>44811</v>
      </c>
      <c r="C1541" s="5">
        <v>0.93402777777777779</v>
      </c>
      <c r="D1541" t="s">
        <v>174</v>
      </c>
      <c r="E1541" t="s">
        <v>23</v>
      </c>
      <c r="F1541">
        <v>59</v>
      </c>
      <c r="G1541" t="s">
        <v>30</v>
      </c>
      <c r="H1541">
        <v>1</v>
      </c>
      <c r="I1541">
        <v>500</v>
      </c>
      <c r="J1541">
        <v>510</v>
      </c>
      <c r="K1541">
        <v>500</v>
      </c>
      <c r="L1541">
        <v>-10</v>
      </c>
      <c r="M1541">
        <v>-0.02</v>
      </c>
      <c r="N1541" t="s">
        <v>28</v>
      </c>
    </row>
    <row r="1542" spans="1:14">
      <c r="A1542">
        <v>1149</v>
      </c>
      <c r="B1542" s="4">
        <v>45183</v>
      </c>
      <c r="C1542" s="5">
        <v>0.80763888888888891</v>
      </c>
      <c r="D1542" t="s">
        <v>45</v>
      </c>
      <c r="E1542" t="s">
        <v>16</v>
      </c>
      <c r="F1542">
        <v>22</v>
      </c>
      <c r="G1542" t="s">
        <v>17</v>
      </c>
      <c r="H1542">
        <v>3</v>
      </c>
      <c r="I1542">
        <v>25</v>
      </c>
      <c r="J1542">
        <v>29.75</v>
      </c>
      <c r="K1542">
        <v>75</v>
      </c>
      <c r="L1542">
        <v>45.25</v>
      </c>
      <c r="M1542">
        <v>0.60333333333333339</v>
      </c>
      <c r="N1542" t="s">
        <v>31</v>
      </c>
    </row>
    <row r="1543" spans="1:14">
      <c r="A1543">
        <v>1227</v>
      </c>
      <c r="B1543" s="4">
        <v>45200</v>
      </c>
      <c r="C1543" s="5">
        <v>0.83958333333333335</v>
      </c>
      <c r="D1543" t="s">
        <v>165</v>
      </c>
      <c r="E1543" t="s">
        <v>16</v>
      </c>
      <c r="F1543">
        <v>36</v>
      </c>
      <c r="G1543" t="s">
        <v>30</v>
      </c>
      <c r="H1543">
        <v>2</v>
      </c>
      <c r="I1543">
        <v>50</v>
      </c>
      <c r="J1543">
        <v>47.5</v>
      </c>
      <c r="K1543">
        <v>100</v>
      </c>
      <c r="L1543">
        <v>52.5</v>
      </c>
      <c r="M1543">
        <v>0.52500000000000002</v>
      </c>
      <c r="N1543" t="s">
        <v>18</v>
      </c>
    </row>
    <row r="1544" spans="1:14">
      <c r="A1544">
        <v>1393</v>
      </c>
      <c r="B1544" s="4">
        <v>44842</v>
      </c>
      <c r="C1544" s="5">
        <v>0.72499999999999998</v>
      </c>
      <c r="D1544" t="s">
        <v>119</v>
      </c>
      <c r="E1544" t="s">
        <v>23</v>
      </c>
      <c r="F1544">
        <v>22</v>
      </c>
      <c r="G1544" t="s">
        <v>20</v>
      </c>
      <c r="H1544">
        <v>2</v>
      </c>
      <c r="I1544">
        <v>500</v>
      </c>
      <c r="J1544">
        <v>580</v>
      </c>
      <c r="K1544">
        <v>1000</v>
      </c>
      <c r="L1544">
        <v>420</v>
      </c>
      <c r="M1544">
        <v>0.42</v>
      </c>
      <c r="N1544" t="s">
        <v>31</v>
      </c>
    </row>
    <row r="1545" spans="1:14">
      <c r="A1545">
        <v>1401</v>
      </c>
      <c r="B1545" s="4">
        <v>44835</v>
      </c>
      <c r="C1545" s="5">
        <v>0.88888888888888884</v>
      </c>
      <c r="D1545" t="s">
        <v>24</v>
      </c>
      <c r="E1545" t="s">
        <v>23</v>
      </c>
      <c r="F1545">
        <v>62</v>
      </c>
      <c r="G1545" t="s">
        <v>17</v>
      </c>
      <c r="H1545">
        <v>1</v>
      </c>
      <c r="I1545">
        <v>300</v>
      </c>
      <c r="J1545">
        <v>294</v>
      </c>
      <c r="K1545">
        <v>300</v>
      </c>
      <c r="L1545">
        <v>6</v>
      </c>
      <c r="M1545">
        <v>0.02</v>
      </c>
      <c r="N1545" t="s">
        <v>28</v>
      </c>
    </row>
    <row r="1546" spans="1:14">
      <c r="A1546">
        <v>1546</v>
      </c>
      <c r="B1546" s="4">
        <v>44913</v>
      </c>
      <c r="C1546" s="5">
        <v>0.79583333333333328</v>
      </c>
      <c r="D1546" t="s">
        <v>134</v>
      </c>
      <c r="E1546" t="s">
        <v>23</v>
      </c>
      <c r="F1546">
        <v>36</v>
      </c>
      <c r="G1546" t="s">
        <v>30</v>
      </c>
      <c r="H1546">
        <v>4</v>
      </c>
      <c r="I1546">
        <v>50</v>
      </c>
      <c r="J1546">
        <v>48</v>
      </c>
      <c r="K1546">
        <v>200</v>
      </c>
      <c r="L1546">
        <v>152</v>
      </c>
      <c r="M1546">
        <v>0.76</v>
      </c>
      <c r="N1546" t="s">
        <v>18</v>
      </c>
    </row>
    <row r="1547" spans="1:14">
      <c r="A1547">
        <v>1872</v>
      </c>
      <c r="B1547" s="4">
        <v>44887</v>
      </c>
      <c r="C1547" s="5">
        <v>0.70972222222222225</v>
      </c>
      <c r="D1547" t="s">
        <v>64</v>
      </c>
      <c r="E1547" t="s">
        <v>23</v>
      </c>
      <c r="F1547">
        <v>63</v>
      </c>
      <c r="G1547" t="s">
        <v>20</v>
      </c>
      <c r="H1547">
        <v>3</v>
      </c>
      <c r="I1547">
        <v>25</v>
      </c>
      <c r="J1547">
        <v>26.25</v>
      </c>
      <c r="K1547">
        <v>75</v>
      </c>
      <c r="L1547">
        <v>48.75</v>
      </c>
      <c r="M1547">
        <v>0.65</v>
      </c>
      <c r="N1547" t="s">
        <v>28</v>
      </c>
    </row>
    <row r="1548" spans="1:14">
      <c r="A1548">
        <v>1914</v>
      </c>
      <c r="B1548" s="4">
        <v>45235</v>
      </c>
      <c r="C1548" s="5">
        <v>0.74236111111111114</v>
      </c>
      <c r="D1548" t="s">
        <v>144</v>
      </c>
      <c r="E1548" t="s">
        <v>23</v>
      </c>
      <c r="F1548">
        <v>59</v>
      </c>
      <c r="G1548" t="s">
        <v>30</v>
      </c>
      <c r="H1548">
        <v>1</v>
      </c>
      <c r="I1548">
        <v>500</v>
      </c>
      <c r="J1548">
        <v>510</v>
      </c>
      <c r="K1548">
        <v>500</v>
      </c>
      <c r="L1548">
        <v>-10</v>
      </c>
      <c r="M1548">
        <v>-0.02</v>
      </c>
      <c r="N1548" t="s">
        <v>28</v>
      </c>
    </row>
    <row r="1549" spans="1:14">
      <c r="A1549">
        <v>310</v>
      </c>
      <c r="B1549" s="4">
        <v>44875</v>
      </c>
      <c r="C1549" s="5">
        <v>0.89861111111111114</v>
      </c>
      <c r="D1549" t="s">
        <v>130</v>
      </c>
      <c r="E1549" t="s">
        <v>23</v>
      </c>
      <c r="F1549">
        <v>28</v>
      </c>
      <c r="G1549" t="s">
        <v>20</v>
      </c>
      <c r="H1549">
        <v>1</v>
      </c>
      <c r="I1549">
        <v>25</v>
      </c>
      <c r="J1549">
        <v>31</v>
      </c>
      <c r="K1549">
        <v>25</v>
      </c>
      <c r="L1549">
        <v>-6</v>
      </c>
      <c r="M1549">
        <v>-0.24</v>
      </c>
      <c r="N1549" t="s">
        <v>39</v>
      </c>
    </row>
    <row r="1550" spans="1:14">
      <c r="A1550">
        <v>844</v>
      </c>
      <c r="B1550" s="4">
        <v>45208</v>
      </c>
      <c r="C1550" s="5">
        <v>0.74583333333333335</v>
      </c>
      <c r="D1550" t="s">
        <v>135</v>
      </c>
      <c r="E1550" t="s">
        <v>16</v>
      </c>
      <c r="F1550">
        <v>35</v>
      </c>
      <c r="G1550" t="s">
        <v>17</v>
      </c>
      <c r="H1550">
        <v>3</v>
      </c>
      <c r="I1550">
        <v>50</v>
      </c>
      <c r="J1550">
        <v>62</v>
      </c>
      <c r="K1550">
        <v>150</v>
      </c>
      <c r="L1550">
        <v>88</v>
      </c>
      <c r="M1550">
        <v>0.58666666666666667</v>
      </c>
      <c r="N1550" t="s">
        <v>39</v>
      </c>
    </row>
    <row r="1551" spans="1:14">
      <c r="A1551">
        <v>852</v>
      </c>
      <c r="B1551" s="4">
        <v>44835</v>
      </c>
      <c r="C1551" s="5">
        <v>0.81597222222222221</v>
      </c>
      <c r="D1551" t="s">
        <v>43</v>
      </c>
      <c r="E1551" t="s">
        <v>23</v>
      </c>
      <c r="F1551">
        <v>41</v>
      </c>
      <c r="G1551" t="s">
        <v>17</v>
      </c>
      <c r="H1551">
        <v>1</v>
      </c>
      <c r="I1551">
        <v>300</v>
      </c>
      <c r="J1551">
        <v>375</v>
      </c>
      <c r="K1551">
        <v>300</v>
      </c>
      <c r="L1551">
        <v>-75</v>
      </c>
      <c r="M1551">
        <v>-0.25</v>
      </c>
      <c r="N1551" t="s">
        <v>18</v>
      </c>
    </row>
    <row r="1552" spans="1:14">
      <c r="A1552">
        <v>1310</v>
      </c>
      <c r="B1552" s="4">
        <v>44863</v>
      </c>
      <c r="C1552" s="5">
        <v>0.89652777777777781</v>
      </c>
      <c r="D1552" t="s">
        <v>145</v>
      </c>
      <c r="E1552" t="s">
        <v>23</v>
      </c>
      <c r="F1552">
        <v>28</v>
      </c>
      <c r="G1552" t="s">
        <v>20</v>
      </c>
      <c r="H1552">
        <v>1</v>
      </c>
      <c r="I1552">
        <v>25</v>
      </c>
      <c r="J1552">
        <v>24.75</v>
      </c>
      <c r="K1552">
        <v>25</v>
      </c>
      <c r="L1552">
        <v>0.25</v>
      </c>
      <c r="M1552">
        <v>0.01</v>
      </c>
      <c r="N1552" t="s">
        <v>39</v>
      </c>
    </row>
    <row r="1553" spans="1:14">
      <c r="A1553">
        <v>1844</v>
      </c>
      <c r="B1553" s="4">
        <v>44859</v>
      </c>
      <c r="C1553" s="5">
        <v>0.85416666666666663</v>
      </c>
      <c r="D1553" t="s">
        <v>144</v>
      </c>
      <c r="E1553" t="s">
        <v>16</v>
      </c>
      <c r="F1553">
        <v>35</v>
      </c>
      <c r="G1553" t="s">
        <v>17</v>
      </c>
      <c r="H1553">
        <v>3</v>
      </c>
      <c r="I1553">
        <v>50</v>
      </c>
      <c r="J1553">
        <v>50.5</v>
      </c>
      <c r="K1553">
        <v>150</v>
      </c>
      <c r="L1553">
        <v>99.5</v>
      </c>
      <c r="M1553">
        <v>0.66333333333333333</v>
      </c>
      <c r="N1553" t="s">
        <v>39</v>
      </c>
    </row>
    <row r="1554" spans="1:14">
      <c r="A1554">
        <v>1852</v>
      </c>
      <c r="B1554" s="4">
        <v>45210</v>
      </c>
      <c r="C1554" s="5">
        <v>0.75624999999999998</v>
      </c>
      <c r="D1554" t="s">
        <v>162</v>
      </c>
      <c r="E1554" t="s">
        <v>23</v>
      </c>
      <c r="F1554">
        <v>41</v>
      </c>
      <c r="G1554" t="s">
        <v>17</v>
      </c>
      <c r="H1554">
        <v>1</v>
      </c>
      <c r="I1554">
        <v>300</v>
      </c>
      <c r="J1554">
        <v>333</v>
      </c>
      <c r="K1554">
        <v>300</v>
      </c>
      <c r="L1554">
        <v>-33</v>
      </c>
      <c r="M1554">
        <v>-0.11</v>
      </c>
      <c r="N1554" t="s">
        <v>18</v>
      </c>
    </row>
    <row r="1555" spans="1:14">
      <c r="A1555">
        <v>97</v>
      </c>
      <c r="B1555" s="4">
        <v>44891</v>
      </c>
      <c r="C1555" s="5">
        <v>0.76180555555555551</v>
      </c>
      <c r="D1555" t="s">
        <v>142</v>
      </c>
      <c r="E1555" t="s">
        <v>23</v>
      </c>
      <c r="F1555">
        <v>51</v>
      </c>
      <c r="G1555" t="s">
        <v>20</v>
      </c>
      <c r="H1555">
        <v>2</v>
      </c>
      <c r="I1555">
        <v>500</v>
      </c>
      <c r="J1555">
        <v>555</v>
      </c>
      <c r="K1555">
        <v>1000</v>
      </c>
      <c r="L1555">
        <v>445</v>
      </c>
      <c r="M1555">
        <v>0.44500000000000001</v>
      </c>
      <c r="N1555" t="s">
        <v>21</v>
      </c>
    </row>
    <row r="1556" spans="1:14">
      <c r="A1556">
        <v>619</v>
      </c>
      <c r="B1556" s="4">
        <v>45208</v>
      </c>
      <c r="C1556" s="5">
        <v>0.75694444444444442</v>
      </c>
      <c r="D1556" t="s">
        <v>119</v>
      </c>
      <c r="E1556" t="s">
        <v>16</v>
      </c>
      <c r="F1556">
        <v>47</v>
      </c>
      <c r="G1556" t="s">
        <v>30</v>
      </c>
      <c r="H1556">
        <v>4</v>
      </c>
      <c r="I1556">
        <v>25</v>
      </c>
      <c r="J1556">
        <v>26.25</v>
      </c>
      <c r="K1556">
        <v>100</v>
      </c>
      <c r="L1556">
        <v>73.75</v>
      </c>
      <c r="M1556">
        <v>0.73750000000000004</v>
      </c>
      <c r="N1556" t="s">
        <v>21</v>
      </c>
    </row>
    <row r="1557" spans="1:14">
      <c r="A1557">
        <v>948</v>
      </c>
      <c r="B1557" s="4">
        <v>45270</v>
      </c>
      <c r="C1557" s="5">
        <v>0.92083333333333328</v>
      </c>
      <c r="D1557" t="s">
        <v>19</v>
      </c>
      <c r="E1557" t="s">
        <v>23</v>
      </c>
      <c r="F1557">
        <v>23</v>
      </c>
      <c r="G1557" t="s">
        <v>30</v>
      </c>
      <c r="H1557">
        <v>3</v>
      </c>
      <c r="I1557">
        <v>25</v>
      </c>
      <c r="J1557">
        <v>28.75</v>
      </c>
      <c r="K1557">
        <v>75</v>
      </c>
      <c r="L1557">
        <v>46.25</v>
      </c>
      <c r="M1557">
        <v>0.6166666666666667</v>
      </c>
      <c r="N1557" t="s">
        <v>31</v>
      </c>
    </row>
    <row r="1558" spans="1:14">
      <c r="A1558">
        <v>1097</v>
      </c>
      <c r="B1558" s="4">
        <v>44921</v>
      </c>
      <c r="C1558" s="5">
        <v>0.87013888888888891</v>
      </c>
      <c r="D1558" t="s">
        <v>93</v>
      </c>
      <c r="E1558" t="s">
        <v>23</v>
      </c>
      <c r="F1558">
        <v>51</v>
      </c>
      <c r="G1558" t="s">
        <v>20</v>
      </c>
      <c r="H1558">
        <v>2</v>
      </c>
      <c r="I1558">
        <v>500</v>
      </c>
      <c r="J1558">
        <v>485</v>
      </c>
      <c r="K1558">
        <v>1000</v>
      </c>
      <c r="L1558">
        <v>515</v>
      </c>
      <c r="M1558">
        <v>0.51500000000000001</v>
      </c>
      <c r="N1558" t="s">
        <v>21</v>
      </c>
    </row>
    <row r="1559" spans="1:14">
      <c r="A1559">
        <v>1619</v>
      </c>
      <c r="B1559" s="4">
        <v>44854</v>
      </c>
      <c r="C1559" s="5">
        <v>0.75486111111111109</v>
      </c>
      <c r="D1559" t="s">
        <v>89</v>
      </c>
      <c r="E1559" t="s">
        <v>16</v>
      </c>
      <c r="F1559">
        <v>47</v>
      </c>
      <c r="G1559" t="s">
        <v>30</v>
      </c>
      <c r="H1559">
        <v>4</v>
      </c>
      <c r="I1559">
        <v>25</v>
      </c>
      <c r="J1559">
        <v>24.25</v>
      </c>
      <c r="K1559">
        <v>100</v>
      </c>
      <c r="L1559">
        <v>75.75</v>
      </c>
      <c r="M1559">
        <v>0.75749999999999995</v>
      </c>
      <c r="N1559" t="s">
        <v>21</v>
      </c>
    </row>
    <row r="1560" spans="1:14">
      <c r="A1560">
        <v>1948</v>
      </c>
      <c r="B1560" s="4">
        <v>45186</v>
      </c>
      <c r="C1560" s="5">
        <v>0.88124999999999998</v>
      </c>
      <c r="D1560" t="s">
        <v>177</v>
      </c>
      <c r="E1560" t="s">
        <v>23</v>
      </c>
      <c r="F1560">
        <v>23</v>
      </c>
      <c r="G1560" t="s">
        <v>30</v>
      </c>
      <c r="H1560">
        <v>3</v>
      </c>
      <c r="I1560">
        <v>25</v>
      </c>
      <c r="J1560">
        <v>24.5</v>
      </c>
      <c r="K1560">
        <v>75</v>
      </c>
      <c r="L1560">
        <v>50.5</v>
      </c>
      <c r="M1560">
        <v>0.67333333333333334</v>
      </c>
      <c r="N1560" t="s">
        <v>31</v>
      </c>
    </row>
    <row r="1561" spans="1:14">
      <c r="A1561">
        <v>456</v>
      </c>
      <c r="B1561" s="4">
        <v>45275</v>
      </c>
      <c r="C1561" s="5">
        <v>0.82291666666666663</v>
      </c>
      <c r="D1561" t="s">
        <v>97</v>
      </c>
      <c r="E1561" t="s">
        <v>16</v>
      </c>
      <c r="F1561">
        <v>57</v>
      </c>
      <c r="G1561" t="s">
        <v>30</v>
      </c>
      <c r="H1561">
        <v>2</v>
      </c>
      <c r="I1561">
        <v>30</v>
      </c>
      <c r="J1561">
        <v>33.9</v>
      </c>
      <c r="K1561">
        <v>60</v>
      </c>
      <c r="L1561">
        <v>26.1</v>
      </c>
      <c r="M1561">
        <v>0.435</v>
      </c>
      <c r="N1561" t="s">
        <v>28</v>
      </c>
    </row>
    <row r="1562" spans="1:14">
      <c r="A1562">
        <v>627</v>
      </c>
      <c r="B1562" s="4">
        <v>44858</v>
      </c>
      <c r="C1562" s="5">
        <v>0.75972222222222219</v>
      </c>
      <c r="D1562" t="s">
        <v>180</v>
      </c>
      <c r="E1562" t="s">
        <v>16</v>
      </c>
      <c r="F1562">
        <v>57</v>
      </c>
      <c r="G1562" t="s">
        <v>17</v>
      </c>
      <c r="H1562">
        <v>1</v>
      </c>
      <c r="I1562">
        <v>50</v>
      </c>
      <c r="J1562">
        <v>55.5</v>
      </c>
      <c r="K1562">
        <v>50</v>
      </c>
      <c r="L1562">
        <v>-5.5</v>
      </c>
      <c r="M1562">
        <v>-0.11</v>
      </c>
      <c r="N1562" t="s">
        <v>28</v>
      </c>
    </row>
    <row r="1563" spans="1:14">
      <c r="A1563">
        <v>1456</v>
      </c>
      <c r="B1563" s="4">
        <v>44806</v>
      </c>
      <c r="C1563" s="5">
        <v>0.78402777777777777</v>
      </c>
      <c r="D1563" t="s">
        <v>24</v>
      </c>
      <c r="E1563" t="s">
        <v>16</v>
      </c>
      <c r="F1563">
        <v>57</v>
      </c>
      <c r="G1563" t="s">
        <v>30</v>
      </c>
      <c r="H1563">
        <v>2</v>
      </c>
      <c r="I1563">
        <v>30</v>
      </c>
      <c r="J1563">
        <v>37.200000000000003</v>
      </c>
      <c r="K1563">
        <v>60</v>
      </c>
      <c r="L1563">
        <v>22.799999999999997</v>
      </c>
      <c r="M1563">
        <v>0.37999999999999995</v>
      </c>
      <c r="N1563" t="s">
        <v>28</v>
      </c>
    </row>
    <row r="1564" spans="1:14">
      <c r="A1564">
        <v>1627</v>
      </c>
      <c r="B1564" s="4">
        <v>44883</v>
      </c>
      <c r="C1564" s="5">
        <v>0.72291666666666665</v>
      </c>
      <c r="D1564" t="s">
        <v>176</v>
      </c>
      <c r="E1564" t="s">
        <v>16</v>
      </c>
      <c r="F1564">
        <v>57</v>
      </c>
      <c r="G1564" t="s">
        <v>17</v>
      </c>
      <c r="H1564">
        <v>1</v>
      </c>
      <c r="I1564">
        <v>50</v>
      </c>
      <c r="J1564">
        <v>60</v>
      </c>
      <c r="K1564">
        <v>50</v>
      </c>
      <c r="L1564">
        <v>-10</v>
      </c>
      <c r="M1564">
        <v>-0.2</v>
      </c>
      <c r="N1564" t="s">
        <v>28</v>
      </c>
    </row>
    <row r="1565" spans="1:14">
      <c r="A1565">
        <v>22</v>
      </c>
      <c r="B1565" s="4">
        <v>45255</v>
      </c>
      <c r="C1565" s="5">
        <v>0.71597222222222223</v>
      </c>
      <c r="D1565" t="s">
        <v>32</v>
      </c>
      <c r="E1565" t="s">
        <v>16</v>
      </c>
      <c r="F1565">
        <v>18</v>
      </c>
      <c r="G1565" t="s">
        <v>17</v>
      </c>
      <c r="H1565">
        <v>2</v>
      </c>
      <c r="I1565">
        <v>50</v>
      </c>
      <c r="J1565">
        <v>60.5</v>
      </c>
      <c r="K1565">
        <v>100</v>
      </c>
      <c r="L1565">
        <v>39.5</v>
      </c>
      <c r="M1565">
        <v>0.39500000000000002</v>
      </c>
      <c r="N1565" t="s">
        <v>31</v>
      </c>
    </row>
    <row r="1566" spans="1:14">
      <c r="A1566">
        <v>121</v>
      </c>
      <c r="B1566" s="4">
        <v>45206</v>
      </c>
      <c r="C1566" s="5">
        <v>0.7895833333333333</v>
      </c>
      <c r="D1566" t="s">
        <v>166</v>
      </c>
      <c r="E1566" t="s">
        <v>23</v>
      </c>
      <c r="F1566">
        <v>28</v>
      </c>
      <c r="G1566" t="s">
        <v>30</v>
      </c>
      <c r="H1566">
        <v>4</v>
      </c>
      <c r="I1566">
        <v>50</v>
      </c>
      <c r="J1566">
        <v>54.5</v>
      </c>
      <c r="K1566">
        <v>200</v>
      </c>
      <c r="L1566">
        <v>145.5</v>
      </c>
      <c r="M1566">
        <v>0.72750000000000004</v>
      </c>
      <c r="N1566" t="s">
        <v>39</v>
      </c>
    </row>
    <row r="1567" spans="1:14">
      <c r="A1567">
        <v>431</v>
      </c>
      <c r="B1567" s="4">
        <v>44863</v>
      </c>
      <c r="C1567" s="5">
        <v>0.91805555555555551</v>
      </c>
      <c r="D1567" t="s">
        <v>149</v>
      </c>
      <c r="E1567" t="s">
        <v>16</v>
      </c>
      <c r="F1567">
        <v>63</v>
      </c>
      <c r="G1567" t="s">
        <v>30</v>
      </c>
      <c r="H1567">
        <v>4</v>
      </c>
      <c r="I1567">
        <v>300</v>
      </c>
      <c r="J1567">
        <v>345</v>
      </c>
      <c r="K1567">
        <v>1200</v>
      </c>
      <c r="L1567">
        <v>855</v>
      </c>
      <c r="M1567">
        <v>0.71250000000000002</v>
      </c>
      <c r="N1567" t="s">
        <v>28</v>
      </c>
    </row>
    <row r="1568" spans="1:14">
      <c r="A1568">
        <v>1022</v>
      </c>
      <c r="B1568" s="4">
        <v>45174</v>
      </c>
      <c r="C1568" s="5">
        <v>0.74236111111111114</v>
      </c>
      <c r="D1568" t="s">
        <v>95</v>
      </c>
      <c r="E1568" t="s">
        <v>16</v>
      </c>
      <c r="F1568">
        <v>18</v>
      </c>
      <c r="G1568" t="s">
        <v>17</v>
      </c>
      <c r="H1568">
        <v>2</v>
      </c>
      <c r="I1568">
        <v>50</v>
      </c>
      <c r="J1568">
        <v>52.5</v>
      </c>
      <c r="K1568">
        <v>100</v>
      </c>
      <c r="L1568">
        <v>47.5</v>
      </c>
      <c r="M1568">
        <v>0.47499999999999998</v>
      </c>
      <c r="N1568" t="s">
        <v>31</v>
      </c>
    </row>
    <row r="1569" spans="1:14">
      <c r="A1569">
        <v>1121</v>
      </c>
      <c r="B1569" s="4">
        <v>44888</v>
      </c>
      <c r="C1569" s="5">
        <v>0.88194444444444442</v>
      </c>
      <c r="D1569" t="s">
        <v>135</v>
      </c>
      <c r="E1569" t="s">
        <v>23</v>
      </c>
      <c r="F1569">
        <v>28</v>
      </c>
      <c r="G1569" t="s">
        <v>30</v>
      </c>
      <c r="H1569">
        <v>4</v>
      </c>
      <c r="I1569">
        <v>50</v>
      </c>
      <c r="J1569">
        <v>50.5</v>
      </c>
      <c r="K1569">
        <v>200</v>
      </c>
      <c r="L1569">
        <v>149.5</v>
      </c>
      <c r="M1569">
        <v>0.74750000000000005</v>
      </c>
      <c r="N1569" t="s">
        <v>39</v>
      </c>
    </row>
    <row r="1570" spans="1:14">
      <c r="A1570">
        <v>1431</v>
      </c>
      <c r="B1570" s="4">
        <v>45197</v>
      </c>
      <c r="C1570" s="5">
        <v>0.89444444444444449</v>
      </c>
      <c r="D1570" t="s">
        <v>69</v>
      </c>
      <c r="E1570" t="s">
        <v>16</v>
      </c>
      <c r="F1570">
        <v>63</v>
      </c>
      <c r="G1570" t="s">
        <v>30</v>
      </c>
      <c r="H1570">
        <v>4</v>
      </c>
      <c r="I1570">
        <v>300</v>
      </c>
      <c r="J1570">
        <v>312</v>
      </c>
      <c r="K1570">
        <v>1200</v>
      </c>
      <c r="L1570">
        <v>888</v>
      </c>
      <c r="M1570">
        <v>0.74</v>
      </c>
      <c r="N1570" t="s">
        <v>28</v>
      </c>
    </row>
    <row r="1571" spans="1:14">
      <c r="A1571">
        <v>370</v>
      </c>
      <c r="B1571" s="4">
        <v>45223</v>
      </c>
      <c r="C1571" s="5">
        <v>0.87777777777777777</v>
      </c>
      <c r="D1571" t="s">
        <v>89</v>
      </c>
      <c r="E1571" t="s">
        <v>16</v>
      </c>
      <c r="F1571">
        <v>23</v>
      </c>
      <c r="G1571" t="s">
        <v>30</v>
      </c>
      <c r="H1571">
        <v>2</v>
      </c>
      <c r="I1571">
        <v>30</v>
      </c>
      <c r="J1571">
        <v>34.799999999999997</v>
      </c>
      <c r="K1571">
        <v>60</v>
      </c>
      <c r="L1571">
        <v>25.200000000000003</v>
      </c>
      <c r="M1571">
        <v>0.42000000000000004</v>
      </c>
      <c r="N1571" t="s">
        <v>31</v>
      </c>
    </row>
    <row r="1572" spans="1:14">
      <c r="A1572">
        <v>711</v>
      </c>
      <c r="B1572" s="4">
        <v>45192</v>
      </c>
      <c r="C1572" s="5">
        <v>0.93472222222222223</v>
      </c>
      <c r="D1572" t="s">
        <v>165</v>
      </c>
      <c r="E1572" t="s">
        <v>16</v>
      </c>
      <c r="F1572">
        <v>26</v>
      </c>
      <c r="G1572" t="s">
        <v>30</v>
      </c>
      <c r="H1572">
        <v>3</v>
      </c>
      <c r="I1572">
        <v>500</v>
      </c>
      <c r="J1572">
        <v>575</v>
      </c>
      <c r="K1572">
        <v>1500</v>
      </c>
      <c r="L1572">
        <v>925</v>
      </c>
      <c r="M1572">
        <v>0.6166666666666667</v>
      </c>
      <c r="N1572" t="s">
        <v>39</v>
      </c>
    </row>
    <row r="1573" spans="1:14">
      <c r="A1573">
        <v>754</v>
      </c>
      <c r="B1573" s="4">
        <v>45195</v>
      </c>
      <c r="C1573" s="5">
        <v>0.77777777777777779</v>
      </c>
      <c r="D1573" t="s">
        <v>78</v>
      </c>
      <c r="E1573" t="s">
        <v>23</v>
      </c>
      <c r="F1573">
        <v>43</v>
      </c>
      <c r="G1573" t="s">
        <v>30</v>
      </c>
      <c r="H1573">
        <v>4</v>
      </c>
      <c r="I1573">
        <v>25</v>
      </c>
      <c r="J1573">
        <v>23.75</v>
      </c>
      <c r="K1573">
        <v>100</v>
      </c>
      <c r="L1573">
        <v>76.25</v>
      </c>
      <c r="M1573">
        <v>0.76249999999999996</v>
      </c>
      <c r="N1573" t="s">
        <v>18</v>
      </c>
    </row>
    <row r="1574" spans="1:14">
      <c r="A1574">
        <v>943</v>
      </c>
      <c r="B1574" s="4">
        <v>44870</v>
      </c>
      <c r="C1574" s="5">
        <v>0.81180555555555556</v>
      </c>
      <c r="D1574" t="s">
        <v>78</v>
      </c>
      <c r="E1574" t="s">
        <v>23</v>
      </c>
      <c r="F1574">
        <v>57</v>
      </c>
      <c r="G1574" t="s">
        <v>17</v>
      </c>
      <c r="H1574">
        <v>4</v>
      </c>
      <c r="I1574">
        <v>300</v>
      </c>
      <c r="J1574">
        <v>318</v>
      </c>
      <c r="K1574">
        <v>1200</v>
      </c>
      <c r="L1574">
        <v>882</v>
      </c>
      <c r="M1574">
        <v>0.73499999999999999</v>
      </c>
      <c r="N1574" t="s">
        <v>28</v>
      </c>
    </row>
    <row r="1575" spans="1:14">
      <c r="A1575">
        <v>1370</v>
      </c>
      <c r="B1575" s="4">
        <v>44869</v>
      </c>
      <c r="C1575" s="5">
        <v>0.95208333333333328</v>
      </c>
      <c r="D1575" t="s">
        <v>78</v>
      </c>
      <c r="E1575" t="s">
        <v>16</v>
      </c>
      <c r="F1575">
        <v>23</v>
      </c>
      <c r="G1575" t="s">
        <v>30</v>
      </c>
      <c r="H1575">
        <v>2</v>
      </c>
      <c r="I1575">
        <v>30</v>
      </c>
      <c r="J1575">
        <v>36</v>
      </c>
      <c r="K1575">
        <v>60</v>
      </c>
      <c r="L1575">
        <v>24</v>
      </c>
      <c r="M1575">
        <v>0.4</v>
      </c>
      <c r="N1575" t="s">
        <v>31</v>
      </c>
    </row>
    <row r="1576" spans="1:14">
      <c r="A1576">
        <v>1711</v>
      </c>
      <c r="B1576" s="4">
        <v>45191</v>
      </c>
      <c r="C1576" s="5">
        <v>0.85624999999999996</v>
      </c>
      <c r="D1576" t="s">
        <v>156</v>
      </c>
      <c r="E1576" t="s">
        <v>16</v>
      </c>
      <c r="F1576">
        <v>26</v>
      </c>
      <c r="G1576" t="s">
        <v>30</v>
      </c>
      <c r="H1576">
        <v>3</v>
      </c>
      <c r="I1576">
        <v>500</v>
      </c>
      <c r="J1576">
        <v>570</v>
      </c>
      <c r="K1576">
        <v>1500</v>
      </c>
      <c r="L1576">
        <v>930</v>
      </c>
      <c r="M1576">
        <v>0.62</v>
      </c>
      <c r="N1576" t="s">
        <v>39</v>
      </c>
    </row>
    <row r="1577" spans="1:14">
      <c r="A1577">
        <v>1754</v>
      </c>
      <c r="B1577" s="4">
        <v>44896</v>
      </c>
      <c r="C1577" s="5">
        <v>0.87708333333333333</v>
      </c>
      <c r="D1577" t="s">
        <v>148</v>
      </c>
      <c r="E1577" t="s">
        <v>23</v>
      </c>
      <c r="F1577">
        <v>43</v>
      </c>
      <c r="G1577" t="s">
        <v>30</v>
      </c>
      <c r="H1577">
        <v>4</v>
      </c>
      <c r="I1577">
        <v>25</v>
      </c>
      <c r="J1577">
        <v>28.5</v>
      </c>
      <c r="K1577">
        <v>100</v>
      </c>
      <c r="L1577">
        <v>71.5</v>
      </c>
      <c r="M1577">
        <v>0.71499999999999997</v>
      </c>
      <c r="N1577" t="s">
        <v>18</v>
      </c>
    </row>
    <row r="1578" spans="1:14">
      <c r="A1578">
        <v>1943</v>
      </c>
      <c r="B1578" s="4">
        <v>45247</v>
      </c>
      <c r="C1578" s="5">
        <v>0.875</v>
      </c>
      <c r="D1578" t="s">
        <v>171</v>
      </c>
      <c r="E1578" t="s">
        <v>23</v>
      </c>
      <c r="F1578">
        <v>57</v>
      </c>
      <c r="G1578" t="s">
        <v>17</v>
      </c>
      <c r="H1578">
        <v>4</v>
      </c>
      <c r="I1578">
        <v>300</v>
      </c>
      <c r="J1578">
        <v>321</v>
      </c>
      <c r="K1578">
        <v>1200</v>
      </c>
      <c r="L1578">
        <v>879</v>
      </c>
      <c r="M1578">
        <v>0.73250000000000004</v>
      </c>
      <c r="N1578" t="s">
        <v>28</v>
      </c>
    </row>
    <row r="1579" spans="1:14">
      <c r="A1579">
        <v>350</v>
      </c>
      <c r="B1579" s="4">
        <v>44885</v>
      </c>
      <c r="C1579" s="5">
        <v>0.7368055555555556</v>
      </c>
      <c r="D1579" t="s">
        <v>89</v>
      </c>
      <c r="E1579" t="s">
        <v>16</v>
      </c>
      <c r="F1579">
        <v>25</v>
      </c>
      <c r="G1579" t="s">
        <v>20</v>
      </c>
      <c r="H1579">
        <v>3</v>
      </c>
      <c r="I1579">
        <v>25</v>
      </c>
      <c r="J1579">
        <v>28.5</v>
      </c>
      <c r="K1579">
        <v>75</v>
      </c>
      <c r="L1579">
        <v>46.5</v>
      </c>
      <c r="M1579">
        <v>0.62</v>
      </c>
      <c r="N1579" t="s">
        <v>31</v>
      </c>
    </row>
    <row r="1580" spans="1:14">
      <c r="A1580">
        <v>786</v>
      </c>
      <c r="B1580" s="4">
        <v>44911</v>
      </c>
      <c r="C1580" s="5">
        <v>0.85972222222222228</v>
      </c>
      <c r="D1580" t="s">
        <v>92</v>
      </c>
      <c r="E1580" t="s">
        <v>16</v>
      </c>
      <c r="F1580">
        <v>48</v>
      </c>
      <c r="G1580" t="s">
        <v>17</v>
      </c>
      <c r="H1580">
        <v>4</v>
      </c>
      <c r="I1580">
        <v>25</v>
      </c>
      <c r="J1580">
        <v>28.5</v>
      </c>
      <c r="K1580">
        <v>100</v>
      </c>
      <c r="L1580">
        <v>71.5</v>
      </c>
      <c r="M1580">
        <v>0.71499999999999997</v>
      </c>
      <c r="N1580" t="s">
        <v>21</v>
      </c>
    </row>
    <row r="1581" spans="1:14">
      <c r="A1581">
        <v>1350</v>
      </c>
      <c r="B1581" s="4">
        <v>45238</v>
      </c>
      <c r="C1581" s="5">
        <v>0.91805555555555551</v>
      </c>
      <c r="D1581" t="s">
        <v>134</v>
      </c>
      <c r="E1581" t="s">
        <v>16</v>
      </c>
      <c r="F1581">
        <v>25</v>
      </c>
      <c r="G1581" t="s">
        <v>20</v>
      </c>
      <c r="H1581">
        <v>3</v>
      </c>
      <c r="I1581">
        <v>25</v>
      </c>
      <c r="J1581">
        <v>29.25</v>
      </c>
      <c r="K1581">
        <v>75</v>
      </c>
      <c r="L1581">
        <v>45.75</v>
      </c>
      <c r="M1581">
        <v>0.61</v>
      </c>
      <c r="N1581" t="s">
        <v>31</v>
      </c>
    </row>
    <row r="1582" spans="1:14">
      <c r="A1582">
        <v>1786</v>
      </c>
      <c r="B1582" s="4">
        <v>44831</v>
      </c>
      <c r="C1582" s="5">
        <v>0.8930555555555556</v>
      </c>
      <c r="D1582" t="s">
        <v>95</v>
      </c>
      <c r="E1582" t="s">
        <v>16</v>
      </c>
      <c r="F1582">
        <v>48</v>
      </c>
      <c r="G1582" t="s">
        <v>17</v>
      </c>
      <c r="H1582">
        <v>4</v>
      </c>
      <c r="I1582">
        <v>25</v>
      </c>
      <c r="J1582">
        <v>28.75</v>
      </c>
      <c r="K1582">
        <v>100</v>
      </c>
      <c r="L1582">
        <v>71.25</v>
      </c>
      <c r="M1582">
        <v>0.71250000000000002</v>
      </c>
      <c r="N1582" t="s">
        <v>21</v>
      </c>
    </row>
    <row r="1583" spans="1:14">
      <c r="A1583">
        <v>109</v>
      </c>
      <c r="B1583" s="4">
        <v>45175</v>
      </c>
      <c r="C1583" s="5">
        <v>0.83125000000000004</v>
      </c>
      <c r="D1583" t="s">
        <v>56</v>
      </c>
      <c r="E1583" t="s">
        <v>23</v>
      </c>
      <c r="F1583">
        <v>34</v>
      </c>
      <c r="G1583" t="s">
        <v>30</v>
      </c>
      <c r="H1583">
        <v>4</v>
      </c>
      <c r="I1583">
        <v>500</v>
      </c>
      <c r="J1583">
        <v>560</v>
      </c>
      <c r="K1583">
        <v>2000</v>
      </c>
      <c r="L1583">
        <v>1440</v>
      </c>
      <c r="M1583">
        <v>0.72</v>
      </c>
      <c r="N1583" t="s">
        <v>39</v>
      </c>
    </row>
    <row r="1584" spans="1:14">
      <c r="A1584">
        <v>191</v>
      </c>
      <c r="B1584" s="4">
        <v>45282</v>
      </c>
      <c r="C1584" s="5">
        <v>0.89166666666666672</v>
      </c>
      <c r="D1584" t="s">
        <v>67</v>
      </c>
      <c r="E1584" t="s">
        <v>16</v>
      </c>
      <c r="F1584">
        <v>64</v>
      </c>
      <c r="G1584" t="s">
        <v>20</v>
      </c>
      <c r="H1584">
        <v>1</v>
      </c>
      <c r="I1584">
        <v>25</v>
      </c>
      <c r="J1584">
        <v>28.25</v>
      </c>
      <c r="K1584">
        <v>25</v>
      </c>
      <c r="L1584">
        <v>-3.25</v>
      </c>
      <c r="M1584">
        <v>-0.13</v>
      </c>
      <c r="N1584" t="s">
        <v>28</v>
      </c>
    </row>
    <row r="1585" spans="1:14">
      <c r="A1585">
        <v>1109</v>
      </c>
      <c r="B1585" s="4">
        <v>45273</v>
      </c>
      <c r="C1585" s="5">
        <v>0.92569444444444449</v>
      </c>
      <c r="D1585" t="s">
        <v>69</v>
      </c>
      <c r="E1585" t="s">
        <v>23</v>
      </c>
      <c r="F1585">
        <v>34</v>
      </c>
      <c r="G1585" t="s">
        <v>30</v>
      </c>
      <c r="H1585">
        <v>4</v>
      </c>
      <c r="I1585">
        <v>500</v>
      </c>
      <c r="J1585">
        <v>590</v>
      </c>
      <c r="K1585">
        <v>2000</v>
      </c>
      <c r="L1585">
        <v>1410</v>
      </c>
      <c r="M1585">
        <v>0.70499999999999996</v>
      </c>
      <c r="N1585" t="s">
        <v>39</v>
      </c>
    </row>
    <row r="1586" spans="1:14">
      <c r="A1586">
        <v>1191</v>
      </c>
      <c r="B1586" s="4">
        <v>45194</v>
      </c>
      <c r="C1586" s="5">
        <v>0.72222222222222221</v>
      </c>
      <c r="D1586" t="s">
        <v>68</v>
      </c>
      <c r="E1586" t="s">
        <v>16</v>
      </c>
      <c r="F1586">
        <v>64</v>
      </c>
      <c r="G1586" t="s">
        <v>20</v>
      </c>
      <c r="H1586">
        <v>1</v>
      </c>
      <c r="I1586">
        <v>25</v>
      </c>
      <c r="J1586">
        <v>25</v>
      </c>
      <c r="K1586">
        <v>25</v>
      </c>
      <c r="L1586">
        <v>0</v>
      </c>
      <c r="M1586">
        <v>0</v>
      </c>
      <c r="N1586" t="s">
        <v>28</v>
      </c>
    </row>
    <row r="1587" spans="1:14">
      <c r="A1587">
        <v>340</v>
      </c>
      <c r="B1587" s="4">
        <v>45188</v>
      </c>
      <c r="C1587" s="5">
        <v>0.95763888888888893</v>
      </c>
      <c r="D1587" t="s">
        <v>29</v>
      </c>
      <c r="E1587" t="s">
        <v>23</v>
      </c>
      <c r="F1587">
        <v>36</v>
      </c>
      <c r="G1587" t="s">
        <v>17</v>
      </c>
      <c r="H1587">
        <v>4</v>
      </c>
      <c r="I1587">
        <v>300</v>
      </c>
      <c r="J1587">
        <v>294</v>
      </c>
      <c r="K1587">
        <v>1200</v>
      </c>
      <c r="L1587">
        <v>906</v>
      </c>
      <c r="M1587">
        <v>0.755</v>
      </c>
      <c r="N1587" t="s">
        <v>18</v>
      </c>
    </row>
    <row r="1588" spans="1:14">
      <c r="A1588">
        <v>555</v>
      </c>
      <c r="B1588" s="4">
        <v>44909</v>
      </c>
      <c r="C1588" s="5">
        <v>0.81597222222222221</v>
      </c>
      <c r="D1588" t="s">
        <v>165</v>
      </c>
      <c r="E1588" t="s">
        <v>16</v>
      </c>
      <c r="F1588">
        <v>25</v>
      </c>
      <c r="G1588" t="s">
        <v>20</v>
      </c>
      <c r="H1588">
        <v>1</v>
      </c>
      <c r="I1588">
        <v>300</v>
      </c>
      <c r="J1588">
        <v>360</v>
      </c>
      <c r="K1588">
        <v>300</v>
      </c>
      <c r="L1588">
        <v>-60</v>
      </c>
      <c r="M1588">
        <v>-0.2</v>
      </c>
      <c r="N1588" t="s">
        <v>31</v>
      </c>
    </row>
    <row r="1589" spans="1:14">
      <c r="A1589">
        <v>826</v>
      </c>
      <c r="B1589" s="4">
        <v>44919</v>
      </c>
      <c r="C1589" s="5">
        <v>0.79722222222222228</v>
      </c>
      <c r="D1589" t="s">
        <v>107</v>
      </c>
      <c r="E1589" t="s">
        <v>23</v>
      </c>
      <c r="F1589">
        <v>46</v>
      </c>
      <c r="G1589" t="s">
        <v>17</v>
      </c>
      <c r="H1589">
        <v>1</v>
      </c>
      <c r="I1589">
        <v>300</v>
      </c>
      <c r="J1589">
        <v>303</v>
      </c>
      <c r="K1589">
        <v>300</v>
      </c>
      <c r="L1589">
        <v>-3</v>
      </c>
      <c r="M1589">
        <v>-0.01</v>
      </c>
      <c r="N1589" t="s">
        <v>21</v>
      </c>
    </row>
    <row r="1590" spans="1:14">
      <c r="A1590">
        <v>962</v>
      </c>
      <c r="B1590" s="4">
        <v>45275</v>
      </c>
      <c r="C1590" s="5">
        <v>0.91805555555555551</v>
      </c>
      <c r="D1590" t="s">
        <v>130</v>
      </c>
      <c r="E1590" t="s">
        <v>16</v>
      </c>
      <c r="F1590">
        <v>44</v>
      </c>
      <c r="G1590" t="s">
        <v>17</v>
      </c>
      <c r="H1590">
        <v>2</v>
      </c>
      <c r="I1590">
        <v>30</v>
      </c>
      <c r="J1590">
        <v>35.1</v>
      </c>
      <c r="K1590">
        <v>60</v>
      </c>
      <c r="L1590">
        <v>24.9</v>
      </c>
      <c r="M1590">
        <v>0.41499999999999998</v>
      </c>
      <c r="N1590" t="s">
        <v>18</v>
      </c>
    </row>
    <row r="1591" spans="1:14">
      <c r="A1591">
        <v>1340</v>
      </c>
      <c r="B1591" s="4">
        <v>45229</v>
      </c>
      <c r="C1591" s="5">
        <v>0.87152777777777779</v>
      </c>
      <c r="D1591" t="s">
        <v>172</v>
      </c>
      <c r="E1591" t="s">
        <v>23</v>
      </c>
      <c r="F1591">
        <v>36</v>
      </c>
      <c r="G1591" t="s">
        <v>17</v>
      </c>
      <c r="H1591">
        <v>4</v>
      </c>
      <c r="I1591">
        <v>300</v>
      </c>
      <c r="J1591">
        <v>348</v>
      </c>
      <c r="K1591">
        <v>1200</v>
      </c>
      <c r="L1591">
        <v>852</v>
      </c>
      <c r="M1591">
        <v>0.71</v>
      </c>
      <c r="N1591" t="s">
        <v>18</v>
      </c>
    </row>
    <row r="1592" spans="1:14">
      <c r="A1592">
        <v>1555</v>
      </c>
      <c r="B1592" s="4">
        <v>44914</v>
      </c>
      <c r="C1592" s="5">
        <v>0.78749999999999998</v>
      </c>
      <c r="D1592" t="s">
        <v>83</v>
      </c>
      <c r="E1592" t="s">
        <v>16</v>
      </c>
      <c r="F1592">
        <v>25</v>
      </c>
      <c r="G1592" t="s">
        <v>20</v>
      </c>
      <c r="H1592">
        <v>1</v>
      </c>
      <c r="I1592">
        <v>300</v>
      </c>
      <c r="J1592">
        <v>312</v>
      </c>
      <c r="K1592">
        <v>300</v>
      </c>
      <c r="L1592">
        <v>-12</v>
      </c>
      <c r="M1592">
        <v>-0.04</v>
      </c>
      <c r="N1592" t="s">
        <v>31</v>
      </c>
    </row>
    <row r="1593" spans="1:14">
      <c r="A1593">
        <v>1826</v>
      </c>
      <c r="B1593" s="4">
        <v>44925</v>
      </c>
      <c r="C1593" s="5">
        <v>0.92013888888888884</v>
      </c>
      <c r="D1593" t="s">
        <v>100</v>
      </c>
      <c r="E1593" t="s">
        <v>23</v>
      </c>
      <c r="F1593">
        <v>46</v>
      </c>
      <c r="G1593" t="s">
        <v>17</v>
      </c>
      <c r="H1593">
        <v>1</v>
      </c>
      <c r="I1593">
        <v>300</v>
      </c>
      <c r="J1593">
        <v>297</v>
      </c>
      <c r="K1593">
        <v>300</v>
      </c>
      <c r="L1593">
        <v>3</v>
      </c>
      <c r="M1593">
        <v>0.01</v>
      </c>
      <c r="N1593" t="s">
        <v>21</v>
      </c>
    </row>
    <row r="1594" spans="1:14">
      <c r="A1594">
        <v>1962</v>
      </c>
      <c r="B1594" s="4">
        <v>44811</v>
      </c>
      <c r="C1594" s="5">
        <v>0.79097222222222219</v>
      </c>
      <c r="D1594" t="s">
        <v>88</v>
      </c>
      <c r="E1594" t="s">
        <v>16</v>
      </c>
      <c r="F1594">
        <v>44</v>
      </c>
      <c r="G1594" t="s">
        <v>17</v>
      </c>
      <c r="H1594">
        <v>2</v>
      </c>
      <c r="I1594">
        <v>30</v>
      </c>
      <c r="J1594">
        <v>32.700000000000003</v>
      </c>
      <c r="K1594">
        <v>60</v>
      </c>
      <c r="L1594">
        <v>27.299999999999997</v>
      </c>
      <c r="M1594">
        <v>0.45499999999999996</v>
      </c>
      <c r="N1594" t="s">
        <v>18</v>
      </c>
    </row>
    <row r="1595" spans="1:14">
      <c r="A1595">
        <v>249</v>
      </c>
      <c r="B1595" s="4">
        <v>44832</v>
      </c>
      <c r="C1595" s="5">
        <v>0.84513888888888888</v>
      </c>
      <c r="D1595" t="s">
        <v>162</v>
      </c>
      <c r="E1595" t="s">
        <v>16</v>
      </c>
      <c r="F1595">
        <v>20</v>
      </c>
      <c r="G1595" t="s">
        <v>17</v>
      </c>
      <c r="H1595">
        <v>1</v>
      </c>
      <c r="I1595">
        <v>50</v>
      </c>
      <c r="J1595">
        <v>53.5</v>
      </c>
      <c r="K1595">
        <v>50</v>
      </c>
      <c r="L1595">
        <v>-3.5</v>
      </c>
      <c r="M1595">
        <v>-7.0000000000000007E-2</v>
      </c>
      <c r="N1595" t="s">
        <v>31</v>
      </c>
    </row>
    <row r="1596" spans="1:14">
      <c r="A1596">
        <v>1249</v>
      </c>
      <c r="B1596" s="4">
        <v>44905</v>
      </c>
      <c r="C1596" s="5">
        <v>0.90555555555555556</v>
      </c>
      <c r="D1596" t="s">
        <v>135</v>
      </c>
      <c r="E1596" t="s">
        <v>16</v>
      </c>
      <c r="F1596">
        <v>20</v>
      </c>
      <c r="G1596" t="s">
        <v>17</v>
      </c>
      <c r="H1596">
        <v>1</v>
      </c>
      <c r="I1596">
        <v>50</v>
      </c>
      <c r="J1596">
        <v>60</v>
      </c>
      <c r="K1596">
        <v>50</v>
      </c>
      <c r="L1596">
        <v>-10</v>
      </c>
      <c r="M1596">
        <v>-0.2</v>
      </c>
      <c r="N1596" t="s">
        <v>31</v>
      </c>
    </row>
    <row r="1597" spans="1:14">
      <c r="A1597">
        <v>922</v>
      </c>
      <c r="B1597" s="4">
        <v>45218</v>
      </c>
      <c r="C1597" s="5">
        <v>0.95416666666666672</v>
      </c>
      <c r="D1597" t="s">
        <v>165</v>
      </c>
      <c r="E1597" t="s">
        <v>16</v>
      </c>
      <c r="F1597">
        <v>41</v>
      </c>
      <c r="G1597" t="s">
        <v>30</v>
      </c>
      <c r="H1597">
        <v>1</v>
      </c>
      <c r="I1597">
        <v>50</v>
      </c>
      <c r="J1597">
        <v>60.5</v>
      </c>
      <c r="K1597">
        <v>50</v>
      </c>
      <c r="L1597">
        <v>-10.5</v>
      </c>
      <c r="M1597">
        <v>-0.21</v>
      </c>
      <c r="N1597" t="s">
        <v>18</v>
      </c>
    </row>
    <row r="1598" spans="1:14">
      <c r="A1598">
        <v>1922</v>
      </c>
      <c r="B1598" s="4">
        <v>45227</v>
      </c>
      <c r="C1598" s="5">
        <v>0.83819444444444446</v>
      </c>
      <c r="D1598" t="s">
        <v>62</v>
      </c>
      <c r="E1598" t="s">
        <v>16</v>
      </c>
      <c r="F1598">
        <v>41</v>
      </c>
      <c r="G1598" t="s">
        <v>30</v>
      </c>
      <c r="H1598">
        <v>1</v>
      </c>
      <c r="I1598">
        <v>50</v>
      </c>
      <c r="J1598">
        <v>48.5</v>
      </c>
      <c r="K1598">
        <v>50</v>
      </c>
      <c r="L1598">
        <v>1.5</v>
      </c>
      <c r="M1598">
        <v>0.03</v>
      </c>
      <c r="N1598" t="s">
        <v>18</v>
      </c>
    </row>
    <row r="1599" spans="1:14">
      <c r="A1599">
        <v>600</v>
      </c>
      <c r="B1599" s="4">
        <v>45208</v>
      </c>
      <c r="C1599" s="5">
        <v>0.77708333333333335</v>
      </c>
      <c r="D1599" t="s">
        <v>167</v>
      </c>
      <c r="E1599" t="s">
        <v>23</v>
      </c>
      <c r="F1599">
        <v>59</v>
      </c>
      <c r="G1599" t="s">
        <v>20</v>
      </c>
      <c r="H1599">
        <v>2</v>
      </c>
      <c r="I1599">
        <v>500</v>
      </c>
      <c r="J1599">
        <v>525</v>
      </c>
      <c r="K1599">
        <v>1000</v>
      </c>
      <c r="L1599">
        <v>475</v>
      </c>
      <c r="M1599">
        <v>0.47499999999999998</v>
      </c>
      <c r="N1599" t="s">
        <v>28</v>
      </c>
    </row>
    <row r="1600" spans="1:14">
      <c r="A1600">
        <v>680</v>
      </c>
      <c r="B1600" s="4">
        <v>44896</v>
      </c>
      <c r="C1600" s="5">
        <v>0.9194444444444444</v>
      </c>
      <c r="D1600" t="s">
        <v>166</v>
      </c>
      <c r="E1600" t="s">
        <v>23</v>
      </c>
      <c r="F1600">
        <v>53</v>
      </c>
      <c r="G1600" t="s">
        <v>17</v>
      </c>
      <c r="H1600">
        <v>3</v>
      </c>
      <c r="I1600">
        <v>300</v>
      </c>
      <c r="J1600">
        <v>330</v>
      </c>
      <c r="K1600">
        <v>900</v>
      </c>
      <c r="L1600">
        <v>570</v>
      </c>
      <c r="M1600">
        <v>0.6333333333333333</v>
      </c>
      <c r="N1600" t="s">
        <v>21</v>
      </c>
    </row>
    <row r="1601" spans="1:14">
      <c r="A1601">
        <v>770</v>
      </c>
      <c r="B1601" s="4">
        <v>44906</v>
      </c>
      <c r="C1601" s="5">
        <v>0.9506944444444444</v>
      </c>
      <c r="D1601" t="s">
        <v>67</v>
      </c>
      <c r="E1601" t="s">
        <v>16</v>
      </c>
      <c r="F1601">
        <v>32</v>
      </c>
      <c r="G1601" t="s">
        <v>17</v>
      </c>
      <c r="H1601">
        <v>1</v>
      </c>
      <c r="I1601">
        <v>50</v>
      </c>
      <c r="J1601">
        <v>55</v>
      </c>
      <c r="K1601">
        <v>50</v>
      </c>
      <c r="L1601">
        <v>-5</v>
      </c>
      <c r="M1601">
        <v>-0.1</v>
      </c>
      <c r="N1601" t="s">
        <v>39</v>
      </c>
    </row>
    <row r="1602" spans="1:14">
      <c r="A1602">
        <v>1600</v>
      </c>
      <c r="B1602" s="4">
        <v>44913</v>
      </c>
      <c r="C1602" s="5">
        <v>0.73888888888888893</v>
      </c>
      <c r="D1602" t="s">
        <v>52</v>
      </c>
      <c r="E1602" t="s">
        <v>23</v>
      </c>
      <c r="F1602">
        <v>59</v>
      </c>
      <c r="G1602" t="s">
        <v>20</v>
      </c>
      <c r="H1602">
        <v>2</v>
      </c>
      <c r="I1602">
        <v>500</v>
      </c>
      <c r="J1602">
        <v>575</v>
      </c>
      <c r="K1602">
        <v>1000</v>
      </c>
      <c r="L1602">
        <v>425</v>
      </c>
      <c r="M1602">
        <v>0.42499999999999999</v>
      </c>
      <c r="N1602" t="s">
        <v>28</v>
      </c>
    </row>
    <row r="1603" spans="1:14">
      <c r="A1603">
        <v>1680</v>
      </c>
      <c r="B1603" s="4">
        <v>45172</v>
      </c>
      <c r="C1603" s="5">
        <v>0.71666666666666667</v>
      </c>
      <c r="D1603" t="s">
        <v>62</v>
      </c>
      <c r="E1603" t="s">
        <v>23</v>
      </c>
      <c r="F1603">
        <v>53</v>
      </c>
      <c r="G1603" t="s">
        <v>17</v>
      </c>
      <c r="H1603">
        <v>3</v>
      </c>
      <c r="I1603">
        <v>300</v>
      </c>
      <c r="J1603">
        <v>324</v>
      </c>
      <c r="K1603">
        <v>900</v>
      </c>
      <c r="L1603">
        <v>576</v>
      </c>
      <c r="M1603">
        <v>0.64</v>
      </c>
      <c r="N1603" t="s">
        <v>21</v>
      </c>
    </row>
    <row r="1604" spans="1:14">
      <c r="A1604">
        <v>1770</v>
      </c>
      <c r="B1604" s="4">
        <v>45260</v>
      </c>
      <c r="C1604" s="5">
        <v>0.83888888888888891</v>
      </c>
      <c r="D1604" t="s">
        <v>88</v>
      </c>
      <c r="E1604" t="s">
        <v>16</v>
      </c>
      <c r="F1604">
        <v>32</v>
      </c>
      <c r="G1604" t="s">
        <v>17</v>
      </c>
      <c r="H1604">
        <v>1</v>
      </c>
      <c r="I1604">
        <v>50</v>
      </c>
      <c r="J1604">
        <v>56</v>
      </c>
      <c r="K1604">
        <v>50</v>
      </c>
      <c r="L1604">
        <v>-6</v>
      </c>
      <c r="M1604">
        <v>-0.12</v>
      </c>
      <c r="N1604" t="s">
        <v>39</v>
      </c>
    </row>
    <row r="1605" spans="1:14">
      <c r="A1605">
        <v>60</v>
      </c>
      <c r="B1605" s="4">
        <v>44899</v>
      </c>
      <c r="C1605" s="5">
        <v>0.76041666666666663</v>
      </c>
      <c r="D1605" t="s">
        <v>173</v>
      </c>
      <c r="E1605" t="s">
        <v>16</v>
      </c>
      <c r="F1605">
        <v>30</v>
      </c>
      <c r="G1605" t="s">
        <v>20</v>
      </c>
      <c r="H1605">
        <v>3</v>
      </c>
      <c r="I1605">
        <v>50</v>
      </c>
      <c r="J1605">
        <v>60.5</v>
      </c>
      <c r="K1605">
        <v>150</v>
      </c>
      <c r="L1605">
        <v>89.5</v>
      </c>
      <c r="M1605">
        <v>0.59666666666666668</v>
      </c>
      <c r="N1605" t="s">
        <v>39</v>
      </c>
    </row>
    <row r="1606" spans="1:14">
      <c r="A1606">
        <v>250</v>
      </c>
      <c r="B1606" s="4">
        <v>44919</v>
      </c>
      <c r="C1606" s="5">
        <v>0.95833333333333337</v>
      </c>
      <c r="D1606" t="s">
        <v>173</v>
      </c>
      <c r="E1606" t="s">
        <v>16</v>
      </c>
      <c r="F1606">
        <v>48</v>
      </c>
      <c r="G1606" t="s">
        <v>30</v>
      </c>
      <c r="H1606">
        <v>1</v>
      </c>
      <c r="I1606">
        <v>50</v>
      </c>
      <c r="J1606">
        <v>60.5</v>
      </c>
      <c r="K1606">
        <v>50</v>
      </c>
      <c r="L1606">
        <v>-10.5</v>
      </c>
      <c r="M1606">
        <v>-0.21</v>
      </c>
      <c r="N1606" t="s">
        <v>21</v>
      </c>
    </row>
    <row r="1607" spans="1:14">
      <c r="A1607">
        <v>516</v>
      </c>
      <c r="B1607" s="4">
        <v>45189</v>
      </c>
      <c r="C1607" s="5">
        <v>0.77638888888888891</v>
      </c>
      <c r="D1607" t="s">
        <v>24</v>
      </c>
      <c r="E1607" t="s">
        <v>16</v>
      </c>
      <c r="F1607">
        <v>30</v>
      </c>
      <c r="G1607" t="s">
        <v>20</v>
      </c>
      <c r="H1607">
        <v>4</v>
      </c>
      <c r="I1607">
        <v>25</v>
      </c>
      <c r="J1607">
        <v>24.25</v>
      </c>
      <c r="K1607">
        <v>100</v>
      </c>
      <c r="L1607">
        <v>75.75</v>
      </c>
      <c r="M1607">
        <v>0.75749999999999995</v>
      </c>
      <c r="N1607" t="s">
        <v>39</v>
      </c>
    </row>
    <row r="1608" spans="1:14">
      <c r="A1608">
        <v>937</v>
      </c>
      <c r="B1608" s="4">
        <v>44852</v>
      </c>
      <c r="C1608" s="5">
        <v>0.83125000000000004</v>
      </c>
      <c r="D1608" t="s">
        <v>42</v>
      </c>
      <c r="E1608" t="s">
        <v>23</v>
      </c>
      <c r="F1608">
        <v>62</v>
      </c>
      <c r="G1608" t="s">
        <v>20</v>
      </c>
      <c r="H1608">
        <v>1</v>
      </c>
      <c r="I1608">
        <v>500</v>
      </c>
      <c r="J1608">
        <v>510</v>
      </c>
      <c r="K1608">
        <v>500</v>
      </c>
      <c r="L1608">
        <v>-10</v>
      </c>
      <c r="M1608">
        <v>-0.02</v>
      </c>
      <c r="N1608" t="s">
        <v>28</v>
      </c>
    </row>
    <row r="1609" spans="1:14">
      <c r="A1609">
        <v>1060</v>
      </c>
      <c r="B1609" s="4">
        <v>44877</v>
      </c>
      <c r="C1609" s="5">
        <v>0.77013888888888893</v>
      </c>
      <c r="D1609" t="s">
        <v>67</v>
      </c>
      <c r="E1609" t="s">
        <v>16</v>
      </c>
      <c r="F1609">
        <v>30</v>
      </c>
      <c r="G1609" t="s">
        <v>20</v>
      </c>
      <c r="H1609">
        <v>3</v>
      </c>
      <c r="I1609">
        <v>50</v>
      </c>
      <c r="J1609">
        <v>57</v>
      </c>
      <c r="K1609">
        <v>150</v>
      </c>
      <c r="L1609">
        <v>93</v>
      </c>
      <c r="M1609">
        <v>0.62</v>
      </c>
      <c r="N1609" t="s">
        <v>39</v>
      </c>
    </row>
    <row r="1610" spans="1:14">
      <c r="A1610">
        <v>1250</v>
      </c>
      <c r="B1610" s="4">
        <v>44884</v>
      </c>
      <c r="C1610" s="5">
        <v>0.86041666666666672</v>
      </c>
      <c r="D1610" t="s">
        <v>157</v>
      </c>
      <c r="E1610" t="s">
        <v>16</v>
      </c>
      <c r="F1610">
        <v>48</v>
      </c>
      <c r="G1610" t="s">
        <v>30</v>
      </c>
      <c r="H1610">
        <v>1</v>
      </c>
      <c r="I1610">
        <v>50</v>
      </c>
      <c r="J1610">
        <v>48.5</v>
      </c>
      <c r="K1610">
        <v>50</v>
      </c>
      <c r="L1610">
        <v>1.5</v>
      </c>
      <c r="M1610">
        <v>0.03</v>
      </c>
      <c r="N1610" t="s">
        <v>21</v>
      </c>
    </row>
    <row r="1611" spans="1:14">
      <c r="A1611">
        <v>1516</v>
      </c>
      <c r="B1611" s="4">
        <v>44874</v>
      </c>
      <c r="C1611" s="5">
        <v>0.72152777777777777</v>
      </c>
      <c r="D1611" t="s">
        <v>29</v>
      </c>
      <c r="E1611" t="s">
        <v>16</v>
      </c>
      <c r="F1611">
        <v>30</v>
      </c>
      <c r="G1611" t="s">
        <v>20</v>
      </c>
      <c r="H1611">
        <v>4</v>
      </c>
      <c r="I1611">
        <v>25</v>
      </c>
      <c r="J1611">
        <v>24.5</v>
      </c>
      <c r="K1611">
        <v>100</v>
      </c>
      <c r="L1611">
        <v>75.5</v>
      </c>
      <c r="M1611">
        <v>0.755</v>
      </c>
      <c r="N1611" t="s">
        <v>39</v>
      </c>
    </row>
    <row r="1612" spans="1:14">
      <c r="A1612">
        <v>1937</v>
      </c>
      <c r="B1612" s="4">
        <v>44811</v>
      </c>
      <c r="C1612" s="5">
        <v>0.74791666666666667</v>
      </c>
      <c r="D1612" t="s">
        <v>19</v>
      </c>
      <c r="E1612" t="s">
        <v>23</v>
      </c>
      <c r="F1612">
        <v>62</v>
      </c>
      <c r="G1612" t="s">
        <v>20</v>
      </c>
      <c r="H1612">
        <v>1</v>
      </c>
      <c r="I1612">
        <v>500</v>
      </c>
      <c r="J1612">
        <v>620</v>
      </c>
      <c r="K1612">
        <v>500</v>
      </c>
      <c r="L1612">
        <v>-120</v>
      </c>
      <c r="M1612">
        <v>-0.24</v>
      </c>
      <c r="N1612" t="s">
        <v>28</v>
      </c>
    </row>
    <row r="1613" spans="1:14">
      <c r="A1613">
        <v>318</v>
      </c>
      <c r="B1613" s="4">
        <v>45221</v>
      </c>
      <c r="C1613" s="5">
        <v>0.8930555555555556</v>
      </c>
      <c r="D1613" t="s">
        <v>64</v>
      </c>
      <c r="E1613" t="s">
        <v>16</v>
      </c>
      <c r="F1613">
        <v>61</v>
      </c>
      <c r="G1613" t="s">
        <v>17</v>
      </c>
      <c r="H1613">
        <v>1</v>
      </c>
      <c r="I1613">
        <v>25</v>
      </c>
      <c r="J1613">
        <v>29.25</v>
      </c>
      <c r="K1613">
        <v>25</v>
      </c>
      <c r="L1613">
        <v>-4.25</v>
      </c>
      <c r="M1613">
        <v>-0.17</v>
      </c>
      <c r="N1613" t="s">
        <v>28</v>
      </c>
    </row>
    <row r="1614" spans="1:14">
      <c r="A1614">
        <v>342</v>
      </c>
      <c r="B1614" s="4">
        <v>45235</v>
      </c>
      <c r="C1614" s="5">
        <v>0.72499999999999998</v>
      </c>
      <c r="D1614" t="s">
        <v>24</v>
      </c>
      <c r="E1614" t="s">
        <v>23</v>
      </c>
      <c r="F1614">
        <v>43</v>
      </c>
      <c r="G1614" t="s">
        <v>17</v>
      </c>
      <c r="H1614">
        <v>4</v>
      </c>
      <c r="I1614">
        <v>500</v>
      </c>
      <c r="J1614">
        <v>500</v>
      </c>
      <c r="K1614">
        <v>2000</v>
      </c>
      <c r="L1614">
        <v>1500</v>
      </c>
      <c r="M1614">
        <v>0.75</v>
      </c>
      <c r="N1614" t="s">
        <v>18</v>
      </c>
    </row>
    <row r="1615" spans="1:14">
      <c r="A1615">
        <v>564</v>
      </c>
      <c r="B1615" s="4">
        <v>45181</v>
      </c>
      <c r="C1615" s="5">
        <v>0.84305555555555556</v>
      </c>
      <c r="D1615" t="s">
        <v>69</v>
      </c>
      <c r="E1615" t="s">
        <v>16</v>
      </c>
      <c r="F1615">
        <v>50</v>
      </c>
      <c r="G1615" t="s">
        <v>30</v>
      </c>
      <c r="H1615">
        <v>2</v>
      </c>
      <c r="I1615">
        <v>50</v>
      </c>
      <c r="J1615">
        <v>55.5</v>
      </c>
      <c r="K1615">
        <v>100</v>
      </c>
      <c r="L1615">
        <v>44.5</v>
      </c>
      <c r="M1615">
        <v>0.44500000000000001</v>
      </c>
      <c r="N1615" t="s">
        <v>21</v>
      </c>
    </row>
    <row r="1616" spans="1:14">
      <c r="A1616">
        <v>767</v>
      </c>
      <c r="B1616" s="4">
        <v>44872</v>
      </c>
      <c r="C1616" s="5">
        <v>0.94722222222222219</v>
      </c>
      <c r="D1616" t="s">
        <v>62</v>
      </c>
      <c r="E1616" t="s">
        <v>16</v>
      </c>
      <c r="F1616">
        <v>39</v>
      </c>
      <c r="G1616" t="s">
        <v>20</v>
      </c>
      <c r="H1616">
        <v>3</v>
      </c>
      <c r="I1616">
        <v>25</v>
      </c>
      <c r="J1616">
        <v>24.5</v>
      </c>
      <c r="K1616">
        <v>75</v>
      </c>
      <c r="L1616">
        <v>50.5</v>
      </c>
      <c r="M1616">
        <v>0.67333333333333334</v>
      </c>
      <c r="N1616" t="s">
        <v>18</v>
      </c>
    </row>
    <row r="1617" spans="1:14">
      <c r="A1617">
        <v>1318</v>
      </c>
      <c r="B1617" s="4">
        <v>44920</v>
      </c>
      <c r="C1617" s="5">
        <v>0.95625000000000004</v>
      </c>
      <c r="D1617" t="s">
        <v>83</v>
      </c>
      <c r="E1617" t="s">
        <v>16</v>
      </c>
      <c r="F1617">
        <v>61</v>
      </c>
      <c r="G1617" t="s">
        <v>17</v>
      </c>
      <c r="H1617">
        <v>1</v>
      </c>
      <c r="I1617">
        <v>25</v>
      </c>
      <c r="J1617">
        <v>27</v>
      </c>
      <c r="K1617">
        <v>25</v>
      </c>
      <c r="L1617">
        <v>-2</v>
      </c>
      <c r="M1617">
        <v>-0.08</v>
      </c>
      <c r="N1617" t="s">
        <v>28</v>
      </c>
    </row>
    <row r="1618" spans="1:14">
      <c r="A1618">
        <v>1342</v>
      </c>
      <c r="B1618" s="4">
        <v>44822</v>
      </c>
      <c r="C1618" s="5">
        <v>0.95833333333333337</v>
      </c>
      <c r="D1618" t="s">
        <v>69</v>
      </c>
      <c r="E1618" t="s">
        <v>23</v>
      </c>
      <c r="F1618">
        <v>43</v>
      </c>
      <c r="G1618" t="s">
        <v>17</v>
      </c>
      <c r="H1618">
        <v>4</v>
      </c>
      <c r="I1618">
        <v>500</v>
      </c>
      <c r="J1618">
        <v>485</v>
      </c>
      <c r="K1618">
        <v>2000</v>
      </c>
      <c r="L1618">
        <v>1515</v>
      </c>
      <c r="M1618">
        <v>0.75749999999999995</v>
      </c>
      <c r="N1618" t="s">
        <v>18</v>
      </c>
    </row>
    <row r="1619" spans="1:14">
      <c r="A1619">
        <v>1564</v>
      </c>
      <c r="B1619" s="4">
        <v>44838</v>
      </c>
      <c r="C1619" s="5">
        <v>0.95486111111111116</v>
      </c>
      <c r="D1619" t="s">
        <v>63</v>
      </c>
      <c r="E1619" t="s">
        <v>16</v>
      </c>
      <c r="F1619">
        <v>50</v>
      </c>
      <c r="G1619" t="s">
        <v>30</v>
      </c>
      <c r="H1619">
        <v>2</v>
      </c>
      <c r="I1619">
        <v>50</v>
      </c>
      <c r="J1619">
        <v>49.5</v>
      </c>
      <c r="K1619">
        <v>100</v>
      </c>
      <c r="L1619">
        <v>50.5</v>
      </c>
      <c r="M1619">
        <v>0.505</v>
      </c>
      <c r="N1619" t="s">
        <v>21</v>
      </c>
    </row>
    <row r="1620" spans="1:14">
      <c r="A1620">
        <v>1767</v>
      </c>
      <c r="B1620" s="4">
        <v>44905</v>
      </c>
      <c r="C1620" s="5">
        <v>0.73263888888888884</v>
      </c>
      <c r="D1620" t="s">
        <v>116</v>
      </c>
      <c r="E1620" t="s">
        <v>16</v>
      </c>
      <c r="F1620">
        <v>39</v>
      </c>
      <c r="G1620" t="s">
        <v>20</v>
      </c>
      <c r="H1620">
        <v>3</v>
      </c>
      <c r="I1620">
        <v>25</v>
      </c>
      <c r="J1620">
        <v>28.25</v>
      </c>
      <c r="K1620">
        <v>75</v>
      </c>
      <c r="L1620">
        <v>46.75</v>
      </c>
      <c r="M1620">
        <v>0.62333333333333329</v>
      </c>
      <c r="N1620" t="s">
        <v>18</v>
      </c>
    </row>
    <row r="1621" spans="1:14">
      <c r="A1621">
        <v>503</v>
      </c>
      <c r="B1621" s="4">
        <v>45207</v>
      </c>
      <c r="C1621" s="5">
        <v>0.83750000000000002</v>
      </c>
      <c r="D1621" t="s">
        <v>138</v>
      </c>
      <c r="E1621" t="s">
        <v>16</v>
      </c>
      <c r="F1621">
        <v>45</v>
      </c>
      <c r="G1621" t="s">
        <v>20</v>
      </c>
      <c r="H1621">
        <v>4</v>
      </c>
      <c r="I1621">
        <v>500</v>
      </c>
      <c r="J1621">
        <v>570</v>
      </c>
      <c r="K1621">
        <v>2000</v>
      </c>
      <c r="L1621">
        <v>1430</v>
      </c>
      <c r="M1621">
        <v>0.71499999999999997</v>
      </c>
      <c r="N1621" t="s">
        <v>18</v>
      </c>
    </row>
    <row r="1622" spans="1:14">
      <c r="A1622">
        <v>869</v>
      </c>
      <c r="B1622" s="4">
        <v>44812</v>
      </c>
      <c r="C1622" s="5">
        <v>0.92777777777777781</v>
      </c>
      <c r="D1622" t="s">
        <v>97</v>
      </c>
      <c r="E1622" t="s">
        <v>16</v>
      </c>
      <c r="F1622">
        <v>37</v>
      </c>
      <c r="G1622" t="s">
        <v>20</v>
      </c>
      <c r="H1622">
        <v>3</v>
      </c>
      <c r="I1622">
        <v>500</v>
      </c>
      <c r="J1622">
        <v>485</v>
      </c>
      <c r="K1622">
        <v>1500</v>
      </c>
      <c r="L1622">
        <v>1015</v>
      </c>
      <c r="M1622">
        <v>0.67666666666666664</v>
      </c>
      <c r="N1622" t="s">
        <v>18</v>
      </c>
    </row>
    <row r="1623" spans="1:14">
      <c r="A1623">
        <v>1503</v>
      </c>
      <c r="B1623" s="4">
        <v>44851</v>
      </c>
      <c r="C1623" s="5">
        <v>0.76944444444444449</v>
      </c>
      <c r="D1623" t="s">
        <v>52</v>
      </c>
      <c r="E1623" t="s">
        <v>16</v>
      </c>
      <c r="F1623">
        <v>45</v>
      </c>
      <c r="G1623" t="s">
        <v>20</v>
      </c>
      <c r="H1623">
        <v>4</v>
      </c>
      <c r="I1623">
        <v>500</v>
      </c>
      <c r="J1623">
        <v>605</v>
      </c>
      <c r="K1623">
        <v>2000</v>
      </c>
      <c r="L1623">
        <v>1395</v>
      </c>
      <c r="M1623">
        <v>0.69750000000000001</v>
      </c>
      <c r="N1623" t="s">
        <v>18</v>
      </c>
    </row>
    <row r="1624" spans="1:14">
      <c r="A1624">
        <v>1869</v>
      </c>
      <c r="B1624" s="4">
        <v>44857</v>
      </c>
      <c r="C1624" s="5">
        <v>0.82708333333333328</v>
      </c>
      <c r="D1624" t="s">
        <v>156</v>
      </c>
      <c r="E1624" t="s">
        <v>16</v>
      </c>
      <c r="F1624">
        <v>37</v>
      </c>
      <c r="G1624" t="s">
        <v>20</v>
      </c>
      <c r="H1624">
        <v>3</v>
      </c>
      <c r="I1624">
        <v>500</v>
      </c>
      <c r="J1624">
        <v>605</v>
      </c>
      <c r="K1624">
        <v>1500</v>
      </c>
      <c r="L1624">
        <v>895</v>
      </c>
      <c r="M1624">
        <v>0.59666666666666668</v>
      </c>
      <c r="N1624" t="s">
        <v>18</v>
      </c>
    </row>
    <row r="1625" spans="1:14">
      <c r="A1625">
        <v>126</v>
      </c>
      <c r="B1625" s="4">
        <v>44866</v>
      </c>
      <c r="C1625" s="5">
        <v>0.76111111111111107</v>
      </c>
      <c r="D1625" t="s">
        <v>138</v>
      </c>
      <c r="E1625" t="s">
        <v>23</v>
      </c>
      <c r="F1625">
        <v>28</v>
      </c>
      <c r="G1625" t="s">
        <v>17</v>
      </c>
      <c r="H1625">
        <v>3</v>
      </c>
      <c r="I1625">
        <v>30</v>
      </c>
      <c r="J1625">
        <v>28.8</v>
      </c>
      <c r="K1625">
        <v>90</v>
      </c>
      <c r="L1625">
        <v>61.2</v>
      </c>
      <c r="M1625">
        <v>0.68</v>
      </c>
      <c r="N1625" t="s">
        <v>39</v>
      </c>
    </row>
    <row r="1626" spans="1:14">
      <c r="A1626">
        <v>349</v>
      </c>
      <c r="B1626" s="4">
        <v>45264</v>
      </c>
      <c r="C1626" s="5">
        <v>0.71180555555555558</v>
      </c>
      <c r="D1626" t="s">
        <v>92</v>
      </c>
      <c r="E1626" t="s">
        <v>23</v>
      </c>
      <c r="F1626">
        <v>57</v>
      </c>
      <c r="G1626" t="s">
        <v>20</v>
      </c>
      <c r="H1626">
        <v>1</v>
      </c>
      <c r="I1626">
        <v>50</v>
      </c>
      <c r="J1626">
        <v>48.5</v>
      </c>
      <c r="K1626">
        <v>50</v>
      </c>
      <c r="L1626">
        <v>1.5</v>
      </c>
      <c r="M1626">
        <v>0.03</v>
      </c>
      <c r="N1626" t="s">
        <v>28</v>
      </c>
    </row>
    <row r="1627" spans="1:14">
      <c r="A1627">
        <v>440</v>
      </c>
      <c r="B1627" s="4">
        <v>45252</v>
      </c>
      <c r="C1627" s="5">
        <v>0.84375</v>
      </c>
      <c r="D1627" t="s">
        <v>166</v>
      </c>
      <c r="E1627" t="s">
        <v>16</v>
      </c>
      <c r="F1627">
        <v>64</v>
      </c>
      <c r="G1627" t="s">
        <v>17</v>
      </c>
      <c r="H1627">
        <v>2</v>
      </c>
      <c r="I1627">
        <v>300</v>
      </c>
      <c r="J1627">
        <v>348</v>
      </c>
      <c r="K1627">
        <v>600</v>
      </c>
      <c r="L1627">
        <v>252</v>
      </c>
      <c r="M1627">
        <v>0.42</v>
      </c>
      <c r="N1627" t="s">
        <v>28</v>
      </c>
    </row>
    <row r="1628" spans="1:14">
      <c r="A1628">
        <v>1126</v>
      </c>
      <c r="B1628" s="4">
        <v>44816</v>
      </c>
      <c r="C1628" s="5">
        <v>0.71666666666666667</v>
      </c>
      <c r="D1628" t="s">
        <v>74</v>
      </c>
      <c r="E1628" t="s">
        <v>23</v>
      </c>
      <c r="F1628">
        <v>28</v>
      </c>
      <c r="G1628" t="s">
        <v>17</v>
      </c>
      <c r="H1628">
        <v>3</v>
      </c>
      <c r="I1628">
        <v>30</v>
      </c>
      <c r="J1628">
        <v>28.8</v>
      </c>
      <c r="K1628">
        <v>90</v>
      </c>
      <c r="L1628">
        <v>61.2</v>
      </c>
      <c r="M1628">
        <v>0.68</v>
      </c>
      <c r="N1628" t="s">
        <v>39</v>
      </c>
    </row>
    <row r="1629" spans="1:14">
      <c r="A1629">
        <v>1349</v>
      </c>
      <c r="B1629" s="4">
        <v>45268</v>
      </c>
      <c r="C1629" s="5">
        <v>0.9145833333333333</v>
      </c>
      <c r="D1629" t="s">
        <v>142</v>
      </c>
      <c r="E1629" t="s">
        <v>23</v>
      </c>
      <c r="F1629">
        <v>57</v>
      </c>
      <c r="G1629" t="s">
        <v>20</v>
      </c>
      <c r="H1629">
        <v>1</v>
      </c>
      <c r="I1629">
        <v>50</v>
      </c>
      <c r="J1629">
        <v>49.5</v>
      </c>
      <c r="K1629">
        <v>50</v>
      </c>
      <c r="L1629">
        <v>0.5</v>
      </c>
      <c r="M1629">
        <v>0.01</v>
      </c>
      <c r="N1629" t="s">
        <v>28</v>
      </c>
    </row>
    <row r="1630" spans="1:14">
      <c r="A1630">
        <v>1440</v>
      </c>
      <c r="B1630" s="4">
        <v>45170</v>
      </c>
      <c r="C1630" s="5">
        <v>0.80555555555555558</v>
      </c>
      <c r="D1630" t="s">
        <v>93</v>
      </c>
      <c r="E1630" t="s">
        <v>16</v>
      </c>
      <c r="F1630">
        <v>64</v>
      </c>
      <c r="G1630" t="s">
        <v>17</v>
      </c>
      <c r="H1630">
        <v>2</v>
      </c>
      <c r="I1630">
        <v>300</v>
      </c>
      <c r="J1630">
        <v>354</v>
      </c>
      <c r="K1630">
        <v>600</v>
      </c>
      <c r="L1630">
        <v>246</v>
      </c>
      <c r="M1630">
        <v>0.41</v>
      </c>
      <c r="N1630" t="s">
        <v>28</v>
      </c>
    </row>
    <row r="1631" spans="1:14">
      <c r="A1631">
        <v>124</v>
      </c>
      <c r="B1631" s="4">
        <v>44919</v>
      </c>
      <c r="C1631" s="5">
        <v>0.88680555555555551</v>
      </c>
      <c r="D1631" t="s">
        <v>174</v>
      </c>
      <c r="E1631" t="s">
        <v>16</v>
      </c>
      <c r="F1631">
        <v>33</v>
      </c>
      <c r="G1631" t="s">
        <v>17</v>
      </c>
      <c r="H1631">
        <v>4</v>
      </c>
      <c r="I1631">
        <v>500</v>
      </c>
      <c r="J1631">
        <v>515</v>
      </c>
      <c r="K1631">
        <v>2000</v>
      </c>
      <c r="L1631">
        <v>1485</v>
      </c>
      <c r="M1631">
        <v>0.74250000000000005</v>
      </c>
      <c r="N1631" t="s">
        <v>39</v>
      </c>
    </row>
    <row r="1632" spans="1:14">
      <c r="A1632">
        <v>324</v>
      </c>
      <c r="B1632" s="4">
        <v>44880</v>
      </c>
      <c r="C1632" s="5">
        <v>0.74444444444444446</v>
      </c>
      <c r="D1632" t="s">
        <v>29</v>
      </c>
      <c r="E1632" t="s">
        <v>23</v>
      </c>
      <c r="F1632">
        <v>52</v>
      </c>
      <c r="G1632" t="s">
        <v>30</v>
      </c>
      <c r="H1632">
        <v>3</v>
      </c>
      <c r="I1632">
        <v>50</v>
      </c>
      <c r="J1632">
        <v>49</v>
      </c>
      <c r="K1632">
        <v>150</v>
      </c>
      <c r="L1632">
        <v>101</v>
      </c>
      <c r="M1632">
        <v>0.67333333333333334</v>
      </c>
      <c r="N1632" t="s">
        <v>21</v>
      </c>
    </row>
    <row r="1633" spans="1:14">
      <c r="A1633">
        <v>677</v>
      </c>
      <c r="B1633" s="4">
        <v>44912</v>
      </c>
      <c r="C1633" s="5">
        <v>0.88402777777777775</v>
      </c>
      <c r="D1633" t="s">
        <v>88</v>
      </c>
      <c r="E1633" t="s">
        <v>23</v>
      </c>
      <c r="F1633">
        <v>19</v>
      </c>
      <c r="G1633" t="s">
        <v>20</v>
      </c>
      <c r="H1633">
        <v>3</v>
      </c>
      <c r="I1633">
        <v>500</v>
      </c>
      <c r="J1633">
        <v>555</v>
      </c>
      <c r="K1633">
        <v>1500</v>
      </c>
      <c r="L1633">
        <v>945</v>
      </c>
      <c r="M1633">
        <v>0.63</v>
      </c>
      <c r="N1633" t="s">
        <v>31</v>
      </c>
    </row>
    <row r="1634" spans="1:14">
      <c r="A1634">
        <v>1124</v>
      </c>
      <c r="B1634" s="4">
        <v>45205</v>
      </c>
      <c r="C1634" s="5">
        <v>0.83611111111111114</v>
      </c>
      <c r="D1634" t="s">
        <v>174</v>
      </c>
      <c r="E1634" t="s">
        <v>16</v>
      </c>
      <c r="F1634">
        <v>33</v>
      </c>
      <c r="G1634" t="s">
        <v>17</v>
      </c>
      <c r="H1634">
        <v>4</v>
      </c>
      <c r="I1634">
        <v>500</v>
      </c>
      <c r="J1634">
        <v>515</v>
      </c>
      <c r="K1634">
        <v>2000</v>
      </c>
      <c r="L1634">
        <v>1485</v>
      </c>
      <c r="M1634">
        <v>0.74250000000000005</v>
      </c>
      <c r="N1634" t="s">
        <v>39</v>
      </c>
    </row>
    <row r="1635" spans="1:14">
      <c r="A1635">
        <v>1324</v>
      </c>
      <c r="B1635" s="4">
        <v>45194</v>
      </c>
      <c r="C1635" s="5">
        <v>0.85347222222222219</v>
      </c>
      <c r="D1635" t="s">
        <v>119</v>
      </c>
      <c r="E1635" t="s">
        <v>23</v>
      </c>
      <c r="F1635">
        <v>52</v>
      </c>
      <c r="G1635" t="s">
        <v>30</v>
      </c>
      <c r="H1635">
        <v>3</v>
      </c>
      <c r="I1635">
        <v>50</v>
      </c>
      <c r="J1635">
        <v>55</v>
      </c>
      <c r="K1635">
        <v>150</v>
      </c>
      <c r="L1635">
        <v>95</v>
      </c>
      <c r="M1635">
        <v>0.6333333333333333</v>
      </c>
      <c r="N1635" t="s">
        <v>21</v>
      </c>
    </row>
    <row r="1636" spans="1:14">
      <c r="A1636">
        <v>1677</v>
      </c>
      <c r="B1636" s="4">
        <v>44836</v>
      </c>
      <c r="C1636" s="5">
        <v>0.86875000000000002</v>
      </c>
      <c r="D1636" t="s">
        <v>176</v>
      </c>
      <c r="E1636" t="s">
        <v>23</v>
      </c>
      <c r="F1636">
        <v>19</v>
      </c>
      <c r="G1636" t="s">
        <v>20</v>
      </c>
      <c r="H1636">
        <v>3</v>
      </c>
      <c r="I1636">
        <v>500</v>
      </c>
      <c r="J1636">
        <v>490</v>
      </c>
      <c r="K1636">
        <v>1500</v>
      </c>
      <c r="L1636">
        <v>1010</v>
      </c>
      <c r="M1636">
        <v>0.67333333333333334</v>
      </c>
      <c r="N1636" t="s">
        <v>31</v>
      </c>
    </row>
    <row r="1637" spans="1:14">
      <c r="A1637">
        <v>30</v>
      </c>
      <c r="B1637" s="4">
        <v>45209</v>
      </c>
      <c r="C1637" s="5">
        <v>0.83680555555555558</v>
      </c>
      <c r="D1637" t="s">
        <v>36</v>
      </c>
      <c r="E1637" t="s">
        <v>23</v>
      </c>
      <c r="F1637">
        <v>39</v>
      </c>
      <c r="G1637" t="s">
        <v>20</v>
      </c>
      <c r="H1637">
        <v>3</v>
      </c>
      <c r="I1637">
        <v>300</v>
      </c>
      <c r="J1637">
        <v>285</v>
      </c>
      <c r="K1637">
        <v>900</v>
      </c>
      <c r="L1637">
        <v>615</v>
      </c>
      <c r="M1637">
        <v>0.68333333333333335</v>
      </c>
      <c r="N1637" t="s">
        <v>18</v>
      </c>
    </row>
    <row r="1638" spans="1:14">
      <c r="A1638">
        <v>226</v>
      </c>
      <c r="B1638" s="4">
        <v>44827</v>
      </c>
      <c r="C1638" s="5">
        <v>0.70972222222222225</v>
      </c>
      <c r="D1638" t="s">
        <v>95</v>
      </c>
      <c r="E1638" t="s">
        <v>23</v>
      </c>
      <c r="F1638">
        <v>61</v>
      </c>
      <c r="G1638" t="s">
        <v>17</v>
      </c>
      <c r="H1638">
        <v>1</v>
      </c>
      <c r="I1638">
        <v>50</v>
      </c>
      <c r="J1638">
        <v>57.5</v>
      </c>
      <c r="K1638">
        <v>50</v>
      </c>
      <c r="L1638">
        <v>-7.5</v>
      </c>
      <c r="M1638">
        <v>-0.15</v>
      </c>
      <c r="N1638" t="s">
        <v>28</v>
      </c>
    </row>
    <row r="1639" spans="1:14">
      <c r="A1639">
        <v>229</v>
      </c>
      <c r="B1639" s="4">
        <v>45239</v>
      </c>
      <c r="C1639" s="5">
        <v>0.80763888888888891</v>
      </c>
      <c r="D1639" t="s">
        <v>172</v>
      </c>
      <c r="E1639" t="s">
        <v>16</v>
      </c>
      <c r="F1639">
        <v>58</v>
      </c>
      <c r="G1639" t="s">
        <v>20</v>
      </c>
      <c r="H1639">
        <v>3</v>
      </c>
      <c r="I1639">
        <v>30</v>
      </c>
      <c r="J1639">
        <v>36.9</v>
      </c>
      <c r="K1639">
        <v>90</v>
      </c>
      <c r="L1639">
        <v>53.1</v>
      </c>
      <c r="M1639">
        <v>0.59</v>
      </c>
      <c r="N1639" t="s">
        <v>28</v>
      </c>
    </row>
    <row r="1640" spans="1:14">
      <c r="A1640">
        <v>896</v>
      </c>
      <c r="B1640" s="4">
        <v>45290</v>
      </c>
      <c r="C1640" s="5">
        <v>0.80347222222222225</v>
      </c>
      <c r="D1640" t="s">
        <v>119</v>
      </c>
      <c r="E1640" t="s">
        <v>23</v>
      </c>
      <c r="F1640">
        <v>30</v>
      </c>
      <c r="G1640" t="s">
        <v>30</v>
      </c>
      <c r="H1640">
        <v>2</v>
      </c>
      <c r="I1640">
        <v>25</v>
      </c>
      <c r="J1640">
        <v>30.75</v>
      </c>
      <c r="K1640">
        <v>50</v>
      </c>
      <c r="L1640">
        <v>19.25</v>
      </c>
      <c r="M1640">
        <v>0.38500000000000001</v>
      </c>
      <c r="N1640" t="s">
        <v>39</v>
      </c>
    </row>
    <row r="1641" spans="1:14">
      <c r="A1641">
        <v>959</v>
      </c>
      <c r="B1641" s="4">
        <v>44822</v>
      </c>
      <c r="C1641" s="5">
        <v>0.74930555555555556</v>
      </c>
      <c r="D1641" t="s">
        <v>29</v>
      </c>
      <c r="E1641" t="s">
        <v>23</v>
      </c>
      <c r="F1641">
        <v>42</v>
      </c>
      <c r="G1641" t="s">
        <v>30</v>
      </c>
      <c r="H1641">
        <v>2</v>
      </c>
      <c r="I1641">
        <v>30</v>
      </c>
      <c r="J1641">
        <v>28.5</v>
      </c>
      <c r="K1641">
        <v>60</v>
      </c>
      <c r="L1641">
        <v>31.5</v>
      </c>
      <c r="M1641">
        <v>0.52500000000000002</v>
      </c>
      <c r="N1641" t="s">
        <v>18</v>
      </c>
    </row>
    <row r="1642" spans="1:14">
      <c r="A1642">
        <v>998</v>
      </c>
      <c r="B1642" s="4">
        <v>45220</v>
      </c>
      <c r="C1642" s="5">
        <v>0.73055555555555551</v>
      </c>
      <c r="D1642" t="s">
        <v>89</v>
      </c>
      <c r="E1642" t="s">
        <v>23</v>
      </c>
      <c r="F1642">
        <v>23</v>
      </c>
      <c r="G1642" t="s">
        <v>20</v>
      </c>
      <c r="H1642">
        <v>4</v>
      </c>
      <c r="I1642">
        <v>25</v>
      </c>
      <c r="J1642">
        <v>30.5</v>
      </c>
      <c r="K1642">
        <v>100</v>
      </c>
      <c r="L1642">
        <v>69.5</v>
      </c>
      <c r="M1642">
        <v>0.69499999999999995</v>
      </c>
      <c r="N1642" t="s">
        <v>31</v>
      </c>
    </row>
    <row r="1643" spans="1:14">
      <c r="A1643">
        <v>1030</v>
      </c>
      <c r="B1643" s="4">
        <v>44892</v>
      </c>
      <c r="C1643" s="5">
        <v>0.75138888888888888</v>
      </c>
      <c r="D1643" t="s">
        <v>157</v>
      </c>
      <c r="E1643" t="s">
        <v>23</v>
      </c>
      <c r="F1643">
        <v>39</v>
      </c>
      <c r="G1643" t="s">
        <v>20</v>
      </c>
      <c r="H1643">
        <v>3</v>
      </c>
      <c r="I1643">
        <v>300</v>
      </c>
      <c r="J1643">
        <v>309</v>
      </c>
      <c r="K1643">
        <v>900</v>
      </c>
      <c r="L1643">
        <v>591</v>
      </c>
      <c r="M1643">
        <v>0.65666666666666662</v>
      </c>
      <c r="N1643" t="s">
        <v>18</v>
      </c>
    </row>
    <row r="1644" spans="1:14">
      <c r="A1644">
        <v>1226</v>
      </c>
      <c r="B1644" s="4">
        <v>45260</v>
      </c>
      <c r="C1644" s="5">
        <v>0.74444444444444446</v>
      </c>
      <c r="D1644" t="s">
        <v>37</v>
      </c>
      <c r="E1644" t="s">
        <v>23</v>
      </c>
      <c r="F1644">
        <v>61</v>
      </c>
      <c r="G1644" t="s">
        <v>17</v>
      </c>
      <c r="H1644">
        <v>1</v>
      </c>
      <c r="I1644">
        <v>50</v>
      </c>
      <c r="J1644">
        <v>51</v>
      </c>
      <c r="K1644">
        <v>50</v>
      </c>
      <c r="L1644">
        <v>-1</v>
      </c>
      <c r="M1644">
        <v>-0.02</v>
      </c>
      <c r="N1644" t="s">
        <v>28</v>
      </c>
    </row>
    <row r="1645" spans="1:14">
      <c r="A1645">
        <v>1229</v>
      </c>
      <c r="B1645" s="4">
        <v>45232</v>
      </c>
      <c r="C1645" s="5">
        <v>0.88055555555555554</v>
      </c>
      <c r="D1645" t="s">
        <v>74</v>
      </c>
      <c r="E1645" t="s">
        <v>16</v>
      </c>
      <c r="F1645">
        <v>58</v>
      </c>
      <c r="G1645" t="s">
        <v>20</v>
      </c>
      <c r="H1645">
        <v>3</v>
      </c>
      <c r="I1645">
        <v>30</v>
      </c>
      <c r="J1645">
        <v>34.5</v>
      </c>
      <c r="K1645">
        <v>90</v>
      </c>
      <c r="L1645">
        <v>55.5</v>
      </c>
      <c r="M1645">
        <v>0.6166666666666667</v>
      </c>
      <c r="N1645" t="s">
        <v>28</v>
      </c>
    </row>
    <row r="1646" spans="1:14">
      <c r="A1646">
        <v>1896</v>
      </c>
      <c r="B1646" s="4">
        <v>44870</v>
      </c>
      <c r="C1646" s="5">
        <v>0.84652777777777777</v>
      </c>
      <c r="D1646" t="s">
        <v>116</v>
      </c>
      <c r="E1646" t="s">
        <v>23</v>
      </c>
      <c r="F1646">
        <v>30</v>
      </c>
      <c r="G1646" t="s">
        <v>30</v>
      </c>
      <c r="H1646">
        <v>2</v>
      </c>
      <c r="I1646">
        <v>25</v>
      </c>
      <c r="J1646">
        <v>30.75</v>
      </c>
      <c r="K1646">
        <v>50</v>
      </c>
      <c r="L1646">
        <v>19.25</v>
      </c>
      <c r="M1646">
        <v>0.38500000000000001</v>
      </c>
      <c r="N1646" t="s">
        <v>39</v>
      </c>
    </row>
    <row r="1647" spans="1:14">
      <c r="A1647">
        <v>1959</v>
      </c>
      <c r="B1647" s="4">
        <v>44842</v>
      </c>
      <c r="C1647" s="5">
        <v>0.8305555555555556</v>
      </c>
      <c r="D1647" t="s">
        <v>135</v>
      </c>
      <c r="E1647" t="s">
        <v>23</v>
      </c>
      <c r="F1647">
        <v>42</v>
      </c>
      <c r="G1647" t="s">
        <v>30</v>
      </c>
      <c r="H1647">
        <v>2</v>
      </c>
      <c r="I1647">
        <v>30</v>
      </c>
      <c r="J1647">
        <v>34.200000000000003</v>
      </c>
      <c r="K1647">
        <v>60</v>
      </c>
      <c r="L1647">
        <v>25.799999999999997</v>
      </c>
      <c r="M1647">
        <v>0.42999999999999994</v>
      </c>
      <c r="N1647" t="s">
        <v>18</v>
      </c>
    </row>
    <row r="1648" spans="1:14">
      <c r="A1648">
        <v>1998</v>
      </c>
      <c r="B1648" s="4">
        <v>45219</v>
      </c>
      <c r="C1648" s="5">
        <v>0.82847222222222228</v>
      </c>
      <c r="D1648" t="s">
        <v>78</v>
      </c>
      <c r="E1648" t="s">
        <v>23</v>
      </c>
      <c r="F1648">
        <v>23</v>
      </c>
      <c r="G1648" t="s">
        <v>20</v>
      </c>
      <c r="H1648">
        <v>4</v>
      </c>
      <c r="I1648">
        <v>25</v>
      </c>
      <c r="J1648">
        <v>24</v>
      </c>
      <c r="K1648">
        <v>100</v>
      </c>
      <c r="L1648">
        <v>76</v>
      </c>
      <c r="M1648">
        <v>0.76</v>
      </c>
      <c r="N1648" t="s">
        <v>31</v>
      </c>
    </row>
    <row r="1649" spans="1:14">
      <c r="A1649">
        <v>12</v>
      </c>
      <c r="B1649" s="4">
        <v>44904</v>
      </c>
      <c r="C1649" s="5">
        <v>0.92291666666666672</v>
      </c>
      <c r="D1649" t="s">
        <v>69</v>
      </c>
      <c r="E1649" t="s">
        <v>16</v>
      </c>
      <c r="F1649">
        <v>35</v>
      </c>
      <c r="G1649" t="s">
        <v>20</v>
      </c>
      <c r="H1649">
        <v>3</v>
      </c>
      <c r="I1649">
        <v>25</v>
      </c>
      <c r="J1649">
        <v>25.25</v>
      </c>
      <c r="K1649">
        <v>75</v>
      </c>
      <c r="L1649">
        <v>49.75</v>
      </c>
      <c r="M1649">
        <v>0.66333333333333333</v>
      </c>
      <c r="N1649" t="s">
        <v>39</v>
      </c>
    </row>
    <row r="1650" spans="1:14">
      <c r="A1650">
        <v>1012</v>
      </c>
      <c r="B1650" s="4">
        <v>44903</v>
      </c>
      <c r="C1650" s="5">
        <v>0.78263888888888888</v>
      </c>
      <c r="D1650" t="s">
        <v>119</v>
      </c>
      <c r="E1650" t="s">
        <v>16</v>
      </c>
      <c r="F1650">
        <v>35</v>
      </c>
      <c r="G1650" t="s">
        <v>20</v>
      </c>
      <c r="H1650">
        <v>3</v>
      </c>
      <c r="I1650">
        <v>25</v>
      </c>
      <c r="J1650">
        <v>27.25</v>
      </c>
      <c r="K1650">
        <v>75</v>
      </c>
      <c r="L1650">
        <v>47.75</v>
      </c>
      <c r="M1650">
        <v>0.63666666666666671</v>
      </c>
      <c r="N1650" t="s">
        <v>39</v>
      </c>
    </row>
    <row r="1651" spans="1:14">
      <c r="A1651">
        <v>710</v>
      </c>
      <c r="B1651" s="4">
        <v>44807</v>
      </c>
      <c r="C1651" s="5">
        <v>0.88263888888888886</v>
      </c>
      <c r="D1651" t="s">
        <v>67</v>
      </c>
      <c r="E1651" t="s">
        <v>23</v>
      </c>
      <c r="F1651">
        <v>26</v>
      </c>
      <c r="G1651" t="s">
        <v>30</v>
      </c>
      <c r="H1651">
        <v>3</v>
      </c>
      <c r="I1651">
        <v>500</v>
      </c>
      <c r="J1651">
        <v>495</v>
      </c>
      <c r="K1651">
        <v>1500</v>
      </c>
      <c r="L1651">
        <v>1005</v>
      </c>
      <c r="M1651">
        <v>0.67</v>
      </c>
      <c r="N1651" t="s">
        <v>39</v>
      </c>
    </row>
    <row r="1652" spans="1:14">
      <c r="A1652">
        <v>776</v>
      </c>
      <c r="B1652" s="4">
        <v>45177</v>
      </c>
      <c r="C1652" s="5">
        <v>0.7895833333333333</v>
      </c>
      <c r="D1652" t="s">
        <v>162</v>
      </c>
      <c r="E1652" t="s">
        <v>16</v>
      </c>
      <c r="F1652">
        <v>35</v>
      </c>
      <c r="G1652" t="s">
        <v>17</v>
      </c>
      <c r="H1652">
        <v>3</v>
      </c>
      <c r="I1652">
        <v>30</v>
      </c>
      <c r="J1652">
        <v>30.9</v>
      </c>
      <c r="K1652">
        <v>90</v>
      </c>
      <c r="L1652">
        <v>59.1</v>
      </c>
      <c r="M1652">
        <v>0.65666666666666673</v>
      </c>
      <c r="N1652" t="s">
        <v>39</v>
      </c>
    </row>
    <row r="1653" spans="1:14">
      <c r="A1653">
        <v>817</v>
      </c>
      <c r="B1653" s="4">
        <v>44839</v>
      </c>
      <c r="C1653" s="5">
        <v>0.8833333333333333</v>
      </c>
      <c r="D1653" t="s">
        <v>116</v>
      </c>
      <c r="E1653" t="s">
        <v>16</v>
      </c>
      <c r="F1653">
        <v>30</v>
      </c>
      <c r="G1653" t="s">
        <v>20</v>
      </c>
      <c r="H1653">
        <v>4</v>
      </c>
      <c r="I1653">
        <v>50</v>
      </c>
      <c r="J1653">
        <v>49</v>
      </c>
      <c r="K1653">
        <v>200</v>
      </c>
      <c r="L1653">
        <v>151</v>
      </c>
      <c r="M1653">
        <v>0.755</v>
      </c>
      <c r="N1653" t="s">
        <v>39</v>
      </c>
    </row>
    <row r="1654" spans="1:14">
      <c r="A1654">
        <v>1710</v>
      </c>
      <c r="B1654" s="4">
        <v>44857</v>
      </c>
      <c r="C1654" s="5">
        <v>0.84305555555555556</v>
      </c>
      <c r="D1654" t="s">
        <v>100</v>
      </c>
      <c r="E1654" t="s">
        <v>23</v>
      </c>
      <c r="F1654">
        <v>26</v>
      </c>
      <c r="G1654" t="s">
        <v>30</v>
      </c>
      <c r="H1654">
        <v>3</v>
      </c>
      <c r="I1654">
        <v>500</v>
      </c>
      <c r="J1654">
        <v>610</v>
      </c>
      <c r="K1654">
        <v>1500</v>
      </c>
      <c r="L1654">
        <v>890</v>
      </c>
      <c r="M1654">
        <v>0.59333333333333338</v>
      </c>
      <c r="N1654" t="s">
        <v>39</v>
      </c>
    </row>
    <row r="1655" spans="1:14">
      <c r="A1655">
        <v>1776</v>
      </c>
      <c r="B1655" s="4">
        <v>44857</v>
      </c>
      <c r="C1655" s="5">
        <v>0.83819444444444446</v>
      </c>
      <c r="D1655" t="s">
        <v>117</v>
      </c>
      <c r="E1655" t="s">
        <v>16</v>
      </c>
      <c r="F1655">
        <v>35</v>
      </c>
      <c r="G1655" t="s">
        <v>17</v>
      </c>
      <c r="H1655">
        <v>3</v>
      </c>
      <c r="I1655">
        <v>30</v>
      </c>
      <c r="J1655">
        <v>32.1</v>
      </c>
      <c r="K1655">
        <v>90</v>
      </c>
      <c r="L1655">
        <v>57.9</v>
      </c>
      <c r="M1655">
        <v>0.64333333333333331</v>
      </c>
      <c r="N1655" t="s">
        <v>39</v>
      </c>
    </row>
    <row r="1656" spans="1:14">
      <c r="A1656">
        <v>1817</v>
      </c>
      <c r="B1656" s="4">
        <v>44815</v>
      </c>
      <c r="C1656" s="5">
        <v>0.89027777777777772</v>
      </c>
      <c r="D1656" t="s">
        <v>43</v>
      </c>
      <c r="E1656" t="s">
        <v>16</v>
      </c>
      <c r="F1656">
        <v>30</v>
      </c>
      <c r="G1656" t="s">
        <v>20</v>
      </c>
      <c r="H1656">
        <v>4</v>
      </c>
      <c r="I1656">
        <v>50</v>
      </c>
      <c r="J1656">
        <v>50</v>
      </c>
      <c r="K1656">
        <v>200</v>
      </c>
      <c r="L1656">
        <v>150</v>
      </c>
      <c r="M1656">
        <v>0.75</v>
      </c>
      <c r="N1656" t="s">
        <v>39</v>
      </c>
    </row>
    <row r="1657" spans="1:14">
      <c r="A1657">
        <v>334</v>
      </c>
      <c r="B1657" s="4">
        <v>44850</v>
      </c>
      <c r="C1657" s="5">
        <v>0.85902777777777772</v>
      </c>
      <c r="D1657" t="s">
        <v>165</v>
      </c>
      <c r="E1657" t="s">
        <v>16</v>
      </c>
      <c r="F1657">
        <v>31</v>
      </c>
      <c r="G1657" t="s">
        <v>30</v>
      </c>
      <c r="H1657">
        <v>3</v>
      </c>
      <c r="I1657">
        <v>300</v>
      </c>
      <c r="J1657">
        <v>360</v>
      </c>
      <c r="K1657">
        <v>900</v>
      </c>
      <c r="L1657">
        <v>540</v>
      </c>
      <c r="M1657">
        <v>0.6</v>
      </c>
      <c r="N1657" t="s">
        <v>39</v>
      </c>
    </row>
    <row r="1658" spans="1:14">
      <c r="A1658">
        <v>343</v>
      </c>
      <c r="B1658" s="4">
        <v>44874</v>
      </c>
      <c r="C1658" s="5">
        <v>0.78055555555555556</v>
      </c>
      <c r="D1658" t="s">
        <v>47</v>
      </c>
      <c r="E1658" t="s">
        <v>16</v>
      </c>
      <c r="F1658">
        <v>21</v>
      </c>
      <c r="G1658" t="s">
        <v>30</v>
      </c>
      <c r="H1658">
        <v>2</v>
      </c>
      <c r="I1658">
        <v>25</v>
      </c>
      <c r="J1658">
        <v>30</v>
      </c>
      <c r="K1658">
        <v>50</v>
      </c>
      <c r="L1658">
        <v>20</v>
      </c>
      <c r="M1658">
        <v>0.4</v>
      </c>
      <c r="N1658" t="s">
        <v>31</v>
      </c>
    </row>
    <row r="1659" spans="1:14">
      <c r="A1659">
        <v>628</v>
      </c>
      <c r="B1659" s="4">
        <v>45283</v>
      </c>
      <c r="C1659" s="5">
        <v>0.75</v>
      </c>
      <c r="D1659" t="s">
        <v>32</v>
      </c>
      <c r="E1659" t="s">
        <v>23</v>
      </c>
      <c r="F1659">
        <v>19</v>
      </c>
      <c r="G1659" t="s">
        <v>20</v>
      </c>
      <c r="H1659">
        <v>4</v>
      </c>
      <c r="I1659">
        <v>50</v>
      </c>
      <c r="J1659">
        <v>59.5</v>
      </c>
      <c r="K1659">
        <v>200</v>
      </c>
      <c r="L1659">
        <v>140.5</v>
      </c>
      <c r="M1659">
        <v>0.70250000000000001</v>
      </c>
      <c r="N1659" t="s">
        <v>31</v>
      </c>
    </row>
    <row r="1660" spans="1:14">
      <c r="A1660">
        <v>983</v>
      </c>
      <c r="B1660" s="4">
        <v>44844</v>
      </c>
      <c r="C1660" s="5">
        <v>0.84166666666666667</v>
      </c>
      <c r="D1660" t="s">
        <v>89</v>
      </c>
      <c r="E1660" t="s">
        <v>23</v>
      </c>
      <c r="F1660">
        <v>29</v>
      </c>
      <c r="G1660" t="s">
        <v>17</v>
      </c>
      <c r="H1660">
        <v>1</v>
      </c>
      <c r="I1660">
        <v>300</v>
      </c>
      <c r="J1660">
        <v>345</v>
      </c>
      <c r="K1660">
        <v>300</v>
      </c>
      <c r="L1660">
        <v>-45</v>
      </c>
      <c r="M1660">
        <v>-0.15</v>
      </c>
      <c r="N1660" t="s">
        <v>39</v>
      </c>
    </row>
    <row r="1661" spans="1:14">
      <c r="A1661">
        <v>1334</v>
      </c>
      <c r="B1661" s="4">
        <v>44825</v>
      </c>
      <c r="C1661" s="5">
        <v>0.85902777777777772</v>
      </c>
      <c r="D1661" t="s">
        <v>137</v>
      </c>
      <c r="E1661" t="s">
        <v>16</v>
      </c>
      <c r="F1661">
        <v>31</v>
      </c>
      <c r="G1661" t="s">
        <v>30</v>
      </c>
      <c r="H1661">
        <v>3</v>
      </c>
      <c r="I1661">
        <v>300</v>
      </c>
      <c r="J1661">
        <v>366</v>
      </c>
      <c r="K1661">
        <v>900</v>
      </c>
      <c r="L1661">
        <v>534</v>
      </c>
      <c r="M1661">
        <v>0.59333333333333338</v>
      </c>
      <c r="N1661" t="s">
        <v>39</v>
      </c>
    </row>
    <row r="1662" spans="1:14">
      <c r="A1662">
        <v>1343</v>
      </c>
      <c r="B1662" s="4">
        <v>45220</v>
      </c>
      <c r="C1662" s="5">
        <v>0.84027777777777779</v>
      </c>
      <c r="D1662" t="s">
        <v>116</v>
      </c>
      <c r="E1662" t="s">
        <v>16</v>
      </c>
      <c r="F1662">
        <v>21</v>
      </c>
      <c r="G1662" t="s">
        <v>30</v>
      </c>
      <c r="H1662">
        <v>2</v>
      </c>
      <c r="I1662">
        <v>25</v>
      </c>
      <c r="J1662">
        <v>28.5</v>
      </c>
      <c r="K1662">
        <v>50</v>
      </c>
      <c r="L1662">
        <v>21.5</v>
      </c>
      <c r="M1662">
        <v>0.43</v>
      </c>
      <c r="N1662" t="s">
        <v>31</v>
      </c>
    </row>
    <row r="1663" spans="1:14">
      <c r="A1663">
        <v>1628</v>
      </c>
      <c r="B1663" s="4">
        <v>44923</v>
      </c>
      <c r="C1663" s="5">
        <v>0.93263888888888891</v>
      </c>
      <c r="D1663" t="s">
        <v>97</v>
      </c>
      <c r="E1663" t="s">
        <v>23</v>
      </c>
      <c r="F1663">
        <v>19</v>
      </c>
      <c r="G1663" t="s">
        <v>20</v>
      </c>
      <c r="H1663">
        <v>4</v>
      </c>
      <c r="I1663">
        <v>50</v>
      </c>
      <c r="J1663">
        <v>58.5</v>
      </c>
      <c r="K1663">
        <v>200</v>
      </c>
      <c r="L1663">
        <v>141.5</v>
      </c>
      <c r="M1663">
        <v>0.70750000000000002</v>
      </c>
      <c r="N1663" t="s">
        <v>31</v>
      </c>
    </row>
    <row r="1664" spans="1:14">
      <c r="A1664">
        <v>1983</v>
      </c>
      <c r="B1664" s="4">
        <v>44916</v>
      </c>
      <c r="C1664" s="5">
        <v>0.90138888888888891</v>
      </c>
      <c r="D1664" t="s">
        <v>69</v>
      </c>
      <c r="E1664" t="s">
        <v>23</v>
      </c>
      <c r="F1664">
        <v>29</v>
      </c>
      <c r="G1664" t="s">
        <v>17</v>
      </c>
      <c r="H1664">
        <v>1</v>
      </c>
      <c r="I1664">
        <v>300</v>
      </c>
      <c r="J1664">
        <v>303</v>
      </c>
      <c r="K1664">
        <v>300</v>
      </c>
      <c r="L1664">
        <v>-3</v>
      </c>
      <c r="M1664">
        <v>-0.01</v>
      </c>
      <c r="N1664" t="s">
        <v>39</v>
      </c>
    </row>
    <row r="1665" spans="1:14">
      <c r="A1665">
        <v>141</v>
      </c>
      <c r="B1665" s="4">
        <v>44866</v>
      </c>
      <c r="C1665" s="5">
        <v>0.80972222222222223</v>
      </c>
      <c r="D1665" t="s">
        <v>29</v>
      </c>
      <c r="E1665" t="s">
        <v>23</v>
      </c>
      <c r="F1665">
        <v>22</v>
      </c>
      <c r="G1665" t="s">
        <v>30</v>
      </c>
      <c r="H1665">
        <v>1</v>
      </c>
      <c r="I1665">
        <v>50</v>
      </c>
      <c r="J1665">
        <v>59</v>
      </c>
      <c r="K1665">
        <v>50</v>
      </c>
      <c r="L1665">
        <v>-9</v>
      </c>
      <c r="M1665">
        <v>-0.18</v>
      </c>
      <c r="N1665" t="s">
        <v>31</v>
      </c>
    </row>
    <row r="1666" spans="1:14">
      <c r="A1666">
        <v>145</v>
      </c>
      <c r="B1666" s="4">
        <v>44871</v>
      </c>
      <c r="C1666" s="5">
        <v>0.80625000000000002</v>
      </c>
      <c r="D1666" t="s">
        <v>167</v>
      </c>
      <c r="E1666" t="s">
        <v>23</v>
      </c>
      <c r="F1666">
        <v>39</v>
      </c>
      <c r="G1666" t="s">
        <v>17</v>
      </c>
      <c r="H1666">
        <v>3</v>
      </c>
      <c r="I1666">
        <v>25</v>
      </c>
      <c r="J1666">
        <v>27.5</v>
      </c>
      <c r="K1666">
        <v>75</v>
      </c>
      <c r="L1666">
        <v>47.5</v>
      </c>
      <c r="M1666">
        <v>0.6333333333333333</v>
      </c>
      <c r="N1666" t="s">
        <v>18</v>
      </c>
    </row>
    <row r="1667" spans="1:14">
      <c r="A1667">
        <v>507</v>
      </c>
      <c r="B1667" s="4">
        <v>44906</v>
      </c>
      <c r="C1667" s="5">
        <v>0.90277777777777779</v>
      </c>
      <c r="D1667" t="s">
        <v>19</v>
      </c>
      <c r="E1667" t="s">
        <v>23</v>
      </c>
      <c r="F1667">
        <v>37</v>
      </c>
      <c r="G1667" t="s">
        <v>30</v>
      </c>
      <c r="H1667">
        <v>3</v>
      </c>
      <c r="I1667">
        <v>500</v>
      </c>
      <c r="J1667">
        <v>485</v>
      </c>
      <c r="K1667">
        <v>1500</v>
      </c>
      <c r="L1667">
        <v>1015</v>
      </c>
      <c r="M1667">
        <v>0.67666666666666664</v>
      </c>
      <c r="N1667" t="s">
        <v>18</v>
      </c>
    </row>
    <row r="1668" spans="1:14">
      <c r="A1668">
        <v>841</v>
      </c>
      <c r="B1668" s="4">
        <v>44913</v>
      </c>
      <c r="C1668" s="5">
        <v>0.87361111111111112</v>
      </c>
      <c r="D1668" t="s">
        <v>171</v>
      </c>
      <c r="E1668" t="s">
        <v>16</v>
      </c>
      <c r="F1668">
        <v>31</v>
      </c>
      <c r="G1668" t="s">
        <v>30</v>
      </c>
      <c r="H1668">
        <v>4</v>
      </c>
      <c r="I1668">
        <v>25</v>
      </c>
      <c r="J1668">
        <v>28.5</v>
      </c>
      <c r="K1668">
        <v>100</v>
      </c>
      <c r="L1668">
        <v>71.5</v>
      </c>
      <c r="M1668">
        <v>0.71499999999999997</v>
      </c>
      <c r="N1668" t="s">
        <v>39</v>
      </c>
    </row>
    <row r="1669" spans="1:14">
      <c r="A1669">
        <v>898</v>
      </c>
      <c r="B1669" s="4">
        <v>45186</v>
      </c>
      <c r="C1669" s="5">
        <v>0.87152777777777779</v>
      </c>
      <c r="D1669" t="s">
        <v>158</v>
      </c>
      <c r="E1669" t="s">
        <v>23</v>
      </c>
      <c r="F1669">
        <v>42</v>
      </c>
      <c r="G1669" t="s">
        <v>17</v>
      </c>
      <c r="H1669">
        <v>3</v>
      </c>
      <c r="I1669">
        <v>30</v>
      </c>
      <c r="J1669">
        <v>35.1</v>
      </c>
      <c r="K1669">
        <v>90</v>
      </c>
      <c r="L1669">
        <v>54.9</v>
      </c>
      <c r="M1669">
        <v>0.61</v>
      </c>
      <c r="N1669" t="s">
        <v>18</v>
      </c>
    </row>
    <row r="1670" spans="1:14">
      <c r="A1670">
        <v>951</v>
      </c>
      <c r="B1670" s="4">
        <v>44822</v>
      </c>
      <c r="C1670" s="5">
        <v>0.89930555555555558</v>
      </c>
      <c r="D1670" t="s">
        <v>35</v>
      </c>
      <c r="E1670" t="s">
        <v>16</v>
      </c>
      <c r="F1670">
        <v>33</v>
      </c>
      <c r="G1670" t="s">
        <v>20</v>
      </c>
      <c r="H1670">
        <v>2</v>
      </c>
      <c r="I1670">
        <v>50</v>
      </c>
      <c r="J1670">
        <v>57.5</v>
      </c>
      <c r="K1670">
        <v>100</v>
      </c>
      <c r="L1670">
        <v>42.5</v>
      </c>
      <c r="M1670">
        <v>0.42499999999999999</v>
      </c>
      <c r="N1670" t="s">
        <v>39</v>
      </c>
    </row>
    <row r="1671" spans="1:14">
      <c r="A1671">
        <v>1141</v>
      </c>
      <c r="B1671" s="4">
        <v>45186</v>
      </c>
      <c r="C1671" s="5">
        <v>0.80069444444444449</v>
      </c>
      <c r="D1671" t="s">
        <v>88</v>
      </c>
      <c r="E1671" t="s">
        <v>23</v>
      </c>
      <c r="F1671">
        <v>22</v>
      </c>
      <c r="G1671" t="s">
        <v>30</v>
      </c>
      <c r="H1671">
        <v>1</v>
      </c>
      <c r="I1671">
        <v>50</v>
      </c>
      <c r="J1671">
        <v>58</v>
      </c>
      <c r="K1671">
        <v>50</v>
      </c>
      <c r="L1671">
        <v>-8</v>
      </c>
      <c r="M1671">
        <v>-0.16</v>
      </c>
      <c r="N1671" t="s">
        <v>31</v>
      </c>
    </row>
    <row r="1672" spans="1:14">
      <c r="A1672">
        <v>1145</v>
      </c>
      <c r="B1672" s="4">
        <v>45170</v>
      </c>
      <c r="C1672" s="5">
        <v>0.80486111111111114</v>
      </c>
      <c r="D1672" t="s">
        <v>116</v>
      </c>
      <c r="E1672" t="s">
        <v>23</v>
      </c>
      <c r="F1672">
        <v>39</v>
      </c>
      <c r="G1672" t="s">
        <v>17</v>
      </c>
      <c r="H1672">
        <v>3</v>
      </c>
      <c r="I1672">
        <v>25</v>
      </c>
      <c r="J1672">
        <v>31</v>
      </c>
      <c r="K1672">
        <v>75</v>
      </c>
      <c r="L1672">
        <v>44</v>
      </c>
      <c r="M1672">
        <v>0.58666666666666667</v>
      </c>
      <c r="N1672" t="s">
        <v>18</v>
      </c>
    </row>
    <row r="1673" spans="1:14">
      <c r="A1673">
        <v>1507</v>
      </c>
      <c r="B1673" s="4">
        <v>44922</v>
      </c>
      <c r="C1673" s="5">
        <v>0.92638888888888893</v>
      </c>
      <c r="D1673" t="s">
        <v>135</v>
      </c>
      <c r="E1673" t="s">
        <v>23</v>
      </c>
      <c r="F1673">
        <v>37</v>
      </c>
      <c r="G1673" t="s">
        <v>30</v>
      </c>
      <c r="H1673">
        <v>3</v>
      </c>
      <c r="I1673">
        <v>500</v>
      </c>
      <c r="J1673">
        <v>520</v>
      </c>
      <c r="K1673">
        <v>1500</v>
      </c>
      <c r="L1673">
        <v>980</v>
      </c>
      <c r="M1673">
        <v>0.65333333333333332</v>
      </c>
      <c r="N1673" t="s">
        <v>18</v>
      </c>
    </row>
    <row r="1674" spans="1:14">
      <c r="A1674">
        <v>1841</v>
      </c>
      <c r="B1674" s="4">
        <v>45244</v>
      </c>
      <c r="C1674" s="5">
        <v>0.78819444444444442</v>
      </c>
      <c r="D1674" t="s">
        <v>56</v>
      </c>
      <c r="E1674" t="s">
        <v>16</v>
      </c>
      <c r="F1674">
        <v>31</v>
      </c>
      <c r="G1674" t="s">
        <v>30</v>
      </c>
      <c r="H1674">
        <v>4</v>
      </c>
      <c r="I1674">
        <v>25</v>
      </c>
      <c r="J1674">
        <v>28.25</v>
      </c>
      <c r="K1674">
        <v>100</v>
      </c>
      <c r="L1674">
        <v>71.75</v>
      </c>
      <c r="M1674">
        <v>0.71750000000000003</v>
      </c>
      <c r="N1674" t="s">
        <v>39</v>
      </c>
    </row>
    <row r="1675" spans="1:14">
      <c r="A1675">
        <v>1898</v>
      </c>
      <c r="B1675" s="4">
        <v>45243</v>
      </c>
      <c r="C1675" s="5">
        <v>0.76180555555555551</v>
      </c>
      <c r="D1675" t="s">
        <v>107</v>
      </c>
      <c r="E1675" t="s">
        <v>23</v>
      </c>
      <c r="F1675">
        <v>42</v>
      </c>
      <c r="G1675" t="s">
        <v>17</v>
      </c>
      <c r="H1675">
        <v>3</v>
      </c>
      <c r="I1675">
        <v>30</v>
      </c>
      <c r="J1675">
        <v>35.1</v>
      </c>
      <c r="K1675">
        <v>90</v>
      </c>
      <c r="L1675">
        <v>54.9</v>
      </c>
      <c r="M1675">
        <v>0.61</v>
      </c>
      <c r="N1675" t="s">
        <v>18</v>
      </c>
    </row>
    <row r="1676" spans="1:14">
      <c r="A1676">
        <v>1951</v>
      </c>
      <c r="B1676" s="4">
        <v>44898</v>
      </c>
      <c r="C1676" s="5">
        <v>0.78888888888888886</v>
      </c>
      <c r="D1676" t="s">
        <v>29</v>
      </c>
      <c r="E1676" t="s">
        <v>16</v>
      </c>
      <c r="F1676">
        <v>33</v>
      </c>
      <c r="G1676" t="s">
        <v>20</v>
      </c>
      <c r="H1676">
        <v>2</v>
      </c>
      <c r="I1676">
        <v>50</v>
      </c>
      <c r="J1676">
        <v>59.5</v>
      </c>
      <c r="K1676">
        <v>100</v>
      </c>
      <c r="L1676">
        <v>40.5</v>
      </c>
      <c r="M1676">
        <v>0.40500000000000003</v>
      </c>
      <c r="N1676" t="s">
        <v>39</v>
      </c>
    </row>
    <row r="1677" spans="1:14">
      <c r="A1677">
        <v>181</v>
      </c>
      <c r="B1677" s="4">
        <v>45236</v>
      </c>
      <c r="C1677" s="5">
        <v>0.83263888888888893</v>
      </c>
      <c r="D1677" t="s">
        <v>180</v>
      </c>
      <c r="E1677" t="s">
        <v>16</v>
      </c>
      <c r="F1677">
        <v>19</v>
      </c>
      <c r="G1677" t="s">
        <v>30</v>
      </c>
      <c r="H1677">
        <v>4</v>
      </c>
      <c r="I1677">
        <v>300</v>
      </c>
      <c r="J1677">
        <v>327</v>
      </c>
      <c r="K1677">
        <v>1200</v>
      </c>
      <c r="L1677">
        <v>873</v>
      </c>
      <c r="M1677">
        <v>0.72750000000000004</v>
      </c>
      <c r="N1677" t="s">
        <v>31</v>
      </c>
    </row>
    <row r="1678" spans="1:14">
      <c r="A1678">
        <v>1181</v>
      </c>
      <c r="B1678" s="4">
        <v>44871</v>
      </c>
      <c r="C1678" s="5">
        <v>0.76944444444444449</v>
      </c>
      <c r="D1678" t="s">
        <v>176</v>
      </c>
      <c r="E1678" t="s">
        <v>16</v>
      </c>
      <c r="F1678">
        <v>19</v>
      </c>
      <c r="G1678" t="s">
        <v>30</v>
      </c>
      <c r="H1678">
        <v>4</v>
      </c>
      <c r="I1678">
        <v>300</v>
      </c>
      <c r="J1678">
        <v>354</v>
      </c>
      <c r="K1678">
        <v>1200</v>
      </c>
      <c r="L1678">
        <v>846</v>
      </c>
      <c r="M1678">
        <v>0.70499999999999996</v>
      </c>
      <c r="N1678" t="s">
        <v>31</v>
      </c>
    </row>
    <row r="1679" spans="1:14">
      <c r="A1679">
        <v>784</v>
      </c>
      <c r="B1679" s="4">
        <v>45217</v>
      </c>
      <c r="C1679" s="5">
        <v>0.94722222222222219</v>
      </c>
      <c r="D1679" t="s">
        <v>67</v>
      </c>
      <c r="E1679" t="s">
        <v>23</v>
      </c>
      <c r="F1679">
        <v>34</v>
      </c>
      <c r="G1679" t="s">
        <v>30</v>
      </c>
      <c r="H1679">
        <v>1</v>
      </c>
      <c r="I1679">
        <v>500</v>
      </c>
      <c r="J1679">
        <v>610</v>
      </c>
      <c r="K1679">
        <v>500</v>
      </c>
      <c r="L1679">
        <v>-110</v>
      </c>
      <c r="M1679">
        <v>-0.22</v>
      </c>
      <c r="N1679" t="s">
        <v>39</v>
      </c>
    </row>
    <row r="1680" spans="1:14">
      <c r="A1680">
        <v>1784</v>
      </c>
      <c r="B1680" s="4">
        <v>45288</v>
      </c>
      <c r="C1680" s="5">
        <v>0.87361111111111112</v>
      </c>
      <c r="D1680" t="s">
        <v>177</v>
      </c>
      <c r="E1680" t="s">
        <v>23</v>
      </c>
      <c r="F1680">
        <v>34</v>
      </c>
      <c r="G1680" t="s">
        <v>30</v>
      </c>
      <c r="H1680">
        <v>1</v>
      </c>
      <c r="I1680">
        <v>500</v>
      </c>
      <c r="J1680">
        <v>500</v>
      </c>
      <c r="K1680">
        <v>500</v>
      </c>
      <c r="L1680">
        <v>0</v>
      </c>
      <c r="M1680">
        <v>0</v>
      </c>
      <c r="N1680" t="s">
        <v>39</v>
      </c>
    </row>
    <row r="1681" spans="1:14">
      <c r="A1681">
        <v>20</v>
      </c>
      <c r="B1681" s="4">
        <v>45272</v>
      </c>
      <c r="C1681" s="5">
        <v>0.89930555555555558</v>
      </c>
      <c r="D1681" t="s">
        <v>24</v>
      </c>
      <c r="E1681" t="s">
        <v>16</v>
      </c>
      <c r="F1681">
        <v>22</v>
      </c>
      <c r="G1681" t="s">
        <v>17</v>
      </c>
      <c r="H1681">
        <v>3</v>
      </c>
      <c r="I1681">
        <v>300</v>
      </c>
      <c r="J1681">
        <v>345</v>
      </c>
      <c r="K1681">
        <v>900</v>
      </c>
      <c r="L1681">
        <v>555</v>
      </c>
      <c r="M1681">
        <v>0.6166666666666667</v>
      </c>
      <c r="N1681" t="s">
        <v>31</v>
      </c>
    </row>
    <row r="1682" spans="1:14">
      <c r="A1682">
        <v>690</v>
      </c>
      <c r="B1682" s="4">
        <v>45279</v>
      </c>
      <c r="C1682" s="5">
        <v>0.77708333333333335</v>
      </c>
      <c r="D1682" t="s">
        <v>173</v>
      </c>
      <c r="E1682" t="s">
        <v>23</v>
      </c>
      <c r="F1682">
        <v>52</v>
      </c>
      <c r="G1682" t="s">
        <v>17</v>
      </c>
      <c r="H1682">
        <v>3</v>
      </c>
      <c r="I1682">
        <v>300</v>
      </c>
      <c r="J1682">
        <v>324</v>
      </c>
      <c r="K1682">
        <v>900</v>
      </c>
      <c r="L1682">
        <v>576</v>
      </c>
      <c r="M1682">
        <v>0.64</v>
      </c>
      <c r="N1682" t="s">
        <v>21</v>
      </c>
    </row>
    <row r="1683" spans="1:14">
      <c r="A1683">
        <v>1020</v>
      </c>
      <c r="B1683" s="4">
        <v>44887</v>
      </c>
      <c r="C1683" s="5">
        <v>0.77083333333333337</v>
      </c>
      <c r="D1683" t="s">
        <v>93</v>
      </c>
      <c r="E1683" t="s">
        <v>16</v>
      </c>
      <c r="F1683">
        <v>22</v>
      </c>
      <c r="G1683" t="s">
        <v>17</v>
      </c>
      <c r="H1683">
        <v>3</v>
      </c>
      <c r="I1683">
        <v>300</v>
      </c>
      <c r="J1683">
        <v>300</v>
      </c>
      <c r="K1683">
        <v>900</v>
      </c>
      <c r="L1683">
        <v>600</v>
      </c>
      <c r="M1683">
        <v>0.66666666666666663</v>
      </c>
      <c r="N1683" t="s">
        <v>31</v>
      </c>
    </row>
    <row r="1684" spans="1:14">
      <c r="A1684">
        <v>1690</v>
      </c>
      <c r="B1684" s="4">
        <v>45174</v>
      </c>
      <c r="C1684" s="5">
        <v>0.73333333333333328</v>
      </c>
      <c r="D1684" t="s">
        <v>58</v>
      </c>
      <c r="E1684" t="s">
        <v>23</v>
      </c>
      <c r="F1684">
        <v>52</v>
      </c>
      <c r="G1684" t="s">
        <v>17</v>
      </c>
      <c r="H1684">
        <v>3</v>
      </c>
      <c r="I1684">
        <v>300</v>
      </c>
      <c r="J1684">
        <v>369</v>
      </c>
      <c r="K1684">
        <v>900</v>
      </c>
      <c r="L1684">
        <v>531</v>
      </c>
      <c r="M1684">
        <v>0.59</v>
      </c>
      <c r="N1684" t="s">
        <v>21</v>
      </c>
    </row>
    <row r="1685" spans="1:14">
      <c r="A1685">
        <v>47</v>
      </c>
      <c r="B1685" s="4">
        <v>44856</v>
      </c>
      <c r="C1685" s="5">
        <v>0.72361111111111109</v>
      </c>
      <c r="D1685" t="s">
        <v>157</v>
      </c>
      <c r="E1685" t="s">
        <v>23</v>
      </c>
      <c r="F1685">
        <v>40</v>
      </c>
      <c r="G1685" t="s">
        <v>20</v>
      </c>
      <c r="H1685">
        <v>3</v>
      </c>
      <c r="I1685">
        <v>500</v>
      </c>
      <c r="J1685">
        <v>600</v>
      </c>
      <c r="K1685">
        <v>1500</v>
      </c>
      <c r="L1685">
        <v>900</v>
      </c>
      <c r="M1685">
        <v>0.6</v>
      </c>
      <c r="N1685" t="s">
        <v>18</v>
      </c>
    </row>
    <row r="1686" spans="1:14">
      <c r="A1686">
        <v>405</v>
      </c>
      <c r="B1686" s="4">
        <v>44851</v>
      </c>
      <c r="C1686" s="5">
        <v>0.74652777777777779</v>
      </c>
      <c r="D1686" t="s">
        <v>180</v>
      </c>
      <c r="E1686" t="s">
        <v>23</v>
      </c>
      <c r="F1686">
        <v>25</v>
      </c>
      <c r="G1686" t="s">
        <v>17</v>
      </c>
      <c r="H1686">
        <v>4</v>
      </c>
      <c r="I1686">
        <v>300</v>
      </c>
      <c r="J1686">
        <v>324</v>
      </c>
      <c r="K1686">
        <v>1200</v>
      </c>
      <c r="L1686">
        <v>876</v>
      </c>
      <c r="M1686">
        <v>0.73</v>
      </c>
      <c r="N1686" t="s">
        <v>31</v>
      </c>
    </row>
    <row r="1687" spans="1:14">
      <c r="A1687">
        <v>1047</v>
      </c>
      <c r="B1687" s="4">
        <v>44899</v>
      </c>
      <c r="C1687" s="5">
        <v>0.91180555555555554</v>
      </c>
      <c r="D1687" t="s">
        <v>176</v>
      </c>
      <c r="E1687" t="s">
        <v>23</v>
      </c>
      <c r="F1687">
        <v>40</v>
      </c>
      <c r="G1687" t="s">
        <v>20</v>
      </c>
      <c r="H1687">
        <v>3</v>
      </c>
      <c r="I1687">
        <v>500</v>
      </c>
      <c r="J1687">
        <v>490</v>
      </c>
      <c r="K1687">
        <v>1500</v>
      </c>
      <c r="L1687">
        <v>1010</v>
      </c>
      <c r="M1687">
        <v>0.67333333333333334</v>
      </c>
      <c r="N1687" t="s">
        <v>18</v>
      </c>
    </row>
    <row r="1688" spans="1:14">
      <c r="A1688">
        <v>1405</v>
      </c>
      <c r="B1688" s="4">
        <v>45227</v>
      </c>
      <c r="C1688" s="5">
        <v>0.83888888888888891</v>
      </c>
      <c r="D1688" t="s">
        <v>173</v>
      </c>
      <c r="E1688" t="s">
        <v>23</v>
      </c>
      <c r="F1688">
        <v>25</v>
      </c>
      <c r="G1688" t="s">
        <v>17</v>
      </c>
      <c r="H1688">
        <v>4</v>
      </c>
      <c r="I1688">
        <v>300</v>
      </c>
      <c r="J1688">
        <v>342</v>
      </c>
      <c r="K1688">
        <v>1200</v>
      </c>
      <c r="L1688">
        <v>858</v>
      </c>
      <c r="M1688">
        <v>0.71499999999999997</v>
      </c>
      <c r="N1688" t="s">
        <v>31</v>
      </c>
    </row>
    <row r="1689" spans="1:14">
      <c r="A1689">
        <v>205</v>
      </c>
      <c r="B1689" s="4">
        <v>44887</v>
      </c>
      <c r="C1689" s="5">
        <v>0.72222222222222221</v>
      </c>
      <c r="D1689" t="s">
        <v>68</v>
      </c>
      <c r="E1689" t="s">
        <v>23</v>
      </c>
      <c r="F1689">
        <v>43</v>
      </c>
      <c r="G1689" t="s">
        <v>17</v>
      </c>
      <c r="H1689">
        <v>1</v>
      </c>
      <c r="I1689">
        <v>25</v>
      </c>
      <c r="J1689">
        <v>25.5</v>
      </c>
      <c r="K1689">
        <v>25</v>
      </c>
      <c r="L1689">
        <v>-0.5</v>
      </c>
      <c r="M1689">
        <v>-0.02</v>
      </c>
      <c r="N1689" t="s">
        <v>18</v>
      </c>
    </row>
    <row r="1690" spans="1:14">
      <c r="A1690">
        <v>512</v>
      </c>
      <c r="B1690" s="4">
        <v>44901</v>
      </c>
      <c r="C1690" s="5">
        <v>0.75</v>
      </c>
      <c r="D1690" t="s">
        <v>119</v>
      </c>
      <c r="E1690" t="s">
        <v>23</v>
      </c>
      <c r="F1690">
        <v>57</v>
      </c>
      <c r="G1690" t="s">
        <v>20</v>
      </c>
      <c r="H1690">
        <v>1</v>
      </c>
      <c r="I1690">
        <v>25</v>
      </c>
      <c r="J1690">
        <v>9.5</v>
      </c>
      <c r="K1690">
        <v>25</v>
      </c>
      <c r="L1690">
        <v>15.5</v>
      </c>
      <c r="M1690">
        <v>0.62</v>
      </c>
      <c r="N1690" t="s">
        <v>28</v>
      </c>
    </row>
    <row r="1691" spans="1:14">
      <c r="A1691">
        <v>565</v>
      </c>
      <c r="B1691" s="4">
        <v>45174</v>
      </c>
      <c r="C1691" s="5">
        <v>0.85</v>
      </c>
      <c r="D1691" t="s">
        <v>82</v>
      </c>
      <c r="E1691" t="s">
        <v>23</v>
      </c>
      <c r="F1691">
        <v>45</v>
      </c>
      <c r="G1691" t="s">
        <v>20</v>
      </c>
      <c r="H1691">
        <v>2</v>
      </c>
      <c r="I1691">
        <v>30</v>
      </c>
      <c r="J1691">
        <v>9</v>
      </c>
      <c r="K1691">
        <v>60</v>
      </c>
      <c r="L1691">
        <v>51</v>
      </c>
      <c r="M1691">
        <v>0.85</v>
      </c>
      <c r="N1691" t="s">
        <v>18</v>
      </c>
    </row>
    <row r="1692" spans="1:14">
      <c r="A1692">
        <v>761</v>
      </c>
      <c r="B1692" s="4">
        <v>44879</v>
      </c>
      <c r="C1692" s="5">
        <v>0.92777777777777781</v>
      </c>
      <c r="D1692" t="s">
        <v>167</v>
      </c>
      <c r="E1692" t="s">
        <v>23</v>
      </c>
      <c r="F1692">
        <v>33</v>
      </c>
      <c r="G1692" t="s">
        <v>17</v>
      </c>
      <c r="H1692">
        <v>1</v>
      </c>
      <c r="I1692">
        <v>500</v>
      </c>
      <c r="J1692">
        <v>275</v>
      </c>
      <c r="K1692">
        <v>500</v>
      </c>
      <c r="L1692">
        <v>225</v>
      </c>
      <c r="M1692">
        <v>0.45</v>
      </c>
      <c r="N1692" t="s">
        <v>39</v>
      </c>
    </row>
    <row r="1693" spans="1:14">
      <c r="A1693">
        <v>762</v>
      </c>
      <c r="B1693" s="4">
        <v>45257</v>
      </c>
      <c r="C1693" s="5">
        <v>0.74236111111111114</v>
      </c>
      <c r="D1693" t="s">
        <v>119</v>
      </c>
      <c r="E1693" t="s">
        <v>23</v>
      </c>
      <c r="F1693">
        <v>24</v>
      </c>
      <c r="G1693" t="s">
        <v>30</v>
      </c>
      <c r="H1693">
        <v>2</v>
      </c>
      <c r="I1693">
        <v>25</v>
      </c>
      <c r="J1693">
        <v>10.25</v>
      </c>
      <c r="K1693">
        <v>50</v>
      </c>
      <c r="L1693">
        <v>39.75</v>
      </c>
      <c r="M1693">
        <v>0.79500000000000004</v>
      </c>
      <c r="N1693" t="s">
        <v>31</v>
      </c>
    </row>
    <row r="1694" spans="1:14">
      <c r="A1694">
        <v>950</v>
      </c>
      <c r="B1694" s="4">
        <v>44826</v>
      </c>
      <c r="C1694" s="5">
        <v>0.89375000000000004</v>
      </c>
      <c r="D1694" t="s">
        <v>82</v>
      </c>
      <c r="E1694" t="s">
        <v>16</v>
      </c>
      <c r="F1694">
        <v>36</v>
      </c>
      <c r="G1694" t="s">
        <v>17</v>
      </c>
      <c r="H1694">
        <v>3</v>
      </c>
      <c r="I1694">
        <v>300</v>
      </c>
      <c r="J1694">
        <v>144</v>
      </c>
      <c r="K1694">
        <v>900</v>
      </c>
      <c r="L1694">
        <v>756</v>
      </c>
      <c r="M1694">
        <v>0.84</v>
      </c>
      <c r="N1694" t="s">
        <v>18</v>
      </c>
    </row>
    <row r="1695" spans="1:14">
      <c r="A1695">
        <v>1205</v>
      </c>
      <c r="B1695" s="4">
        <v>44890</v>
      </c>
      <c r="C1695" s="5">
        <v>0.80486111111111114</v>
      </c>
      <c r="D1695" t="s">
        <v>111</v>
      </c>
      <c r="E1695" t="s">
        <v>23</v>
      </c>
      <c r="F1695">
        <v>43</v>
      </c>
      <c r="G1695" t="s">
        <v>17</v>
      </c>
      <c r="H1695">
        <v>1</v>
      </c>
      <c r="I1695">
        <v>25</v>
      </c>
      <c r="J1695">
        <v>7.25</v>
      </c>
      <c r="K1695">
        <v>25</v>
      </c>
      <c r="L1695">
        <v>17.75</v>
      </c>
      <c r="M1695">
        <v>0.71</v>
      </c>
      <c r="N1695" t="s">
        <v>18</v>
      </c>
    </row>
    <row r="1696" spans="1:14">
      <c r="A1696">
        <v>1512</v>
      </c>
      <c r="B1696" s="4">
        <v>45280</v>
      </c>
      <c r="C1696" s="5">
        <v>0.83680555555555558</v>
      </c>
      <c r="D1696" t="s">
        <v>127</v>
      </c>
      <c r="E1696" t="s">
        <v>23</v>
      </c>
      <c r="F1696">
        <v>57</v>
      </c>
      <c r="G1696" t="s">
        <v>20</v>
      </c>
      <c r="H1696">
        <v>1</v>
      </c>
      <c r="I1696">
        <v>25</v>
      </c>
      <c r="J1696">
        <v>13.25</v>
      </c>
      <c r="K1696">
        <v>25</v>
      </c>
      <c r="L1696">
        <v>11.75</v>
      </c>
      <c r="M1696">
        <v>0.47</v>
      </c>
      <c r="N1696" t="s">
        <v>28</v>
      </c>
    </row>
    <row r="1697" spans="1:14">
      <c r="A1697">
        <v>1565</v>
      </c>
      <c r="B1697" s="4">
        <v>45173</v>
      </c>
      <c r="C1697" s="5">
        <v>0.86458333333333337</v>
      </c>
      <c r="D1697" t="s">
        <v>145</v>
      </c>
      <c r="E1697" t="s">
        <v>23</v>
      </c>
      <c r="F1697">
        <v>45</v>
      </c>
      <c r="G1697" t="s">
        <v>20</v>
      </c>
      <c r="H1697">
        <v>2</v>
      </c>
      <c r="I1697">
        <v>30</v>
      </c>
      <c r="J1697">
        <v>11.1</v>
      </c>
      <c r="K1697">
        <v>60</v>
      </c>
      <c r="L1697">
        <v>48.9</v>
      </c>
      <c r="M1697">
        <v>0.81499999999999995</v>
      </c>
      <c r="N1697" t="s">
        <v>18</v>
      </c>
    </row>
    <row r="1698" spans="1:14">
      <c r="A1698">
        <v>1761</v>
      </c>
      <c r="B1698" s="4">
        <v>45269</v>
      </c>
      <c r="C1698" s="5">
        <v>0.78194444444444444</v>
      </c>
      <c r="D1698" t="s">
        <v>62</v>
      </c>
      <c r="E1698" t="s">
        <v>23</v>
      </c>
      <c r="F1698">
        <v>33</v>
      </c>
      <c r="G1698" t="s">
        <v>17</v>
      </c>
      <c r="H1698">
        <v>1</v>
      </c>
      <c r="I1698">
        <v>500</v>
      </c>
      <c r="J1698">
        <v>200</v>
      </c>
      <c r="K1698">
        <v>500</v>
      </c>
      <c r="L1698">
        <v>300</v>
      </c>
      <c r="M1698">
        <v>0.6</v>
      </c>
      <c r="N1698" t="s">
        <v>39</v>
      </c>
    </row>
    <row r="1699" spans="1:14">
      <c r="A1699">
        <v>1762</v>
      </c>
      <c r="B1699" s="4">
        <v>45245</v>
      </c>
      <c r="C1699" s="5">
        <v>0.77986111111111112</v>
      </c>
      <c r="D1699" t="s">
        <v>107</v>
      </c>
      <c r="E1699" t="s">
        <v>23</v>
      </c>
      <c r="F1699">
        <v>24</v>
      </c>
      <c r="G1699" t="s">
        <v>30</v>
      </c>
      <c r="H1699">
        <v>2</v>
      </c>
      <c r="I1699">
        <v>25</v>
      </c>
      <c r="J1699">
        <v>11</v>
      </c>
      <c r="K1699">
        <v>50</v>
      </c>
      <c r="L1699">
        <v>39</v>
      </c>
      <c r="M1699">
        <v>0.78</v>
      </c>
      <c r="N1699" t="s">
        <v>31</v>
      </c>
    </row>
    <row r="1700" spans="1:14">
      <c r="A1700">
        <v>1950</v>
      </c>
      <c r="B1700" s="4">
        <v>44899</v>
      </c>
      <c r="C1700" s="5">
        <v>0.80763888888888891</v>
      </c>
      <c r="D1700" t="s">
        <v>42</v>
      </c>
      <c r="E1700" t="s">
        <v>16</v>
      </c>
      <c r="F1700">
        <v>36</v>
      </c>
      <c r="G1700" t="s">
        <v>17</v>
      </c>
      <c r="H1700">
        <v>3</v>
      </c>
      <c r="I1700">
        <v>300</v>
      </c>
      <c r="J1700">
        <v>84</v>
      </c>
      <c r="K1700">
        <v>900</v>
      </c>
      <c r="L1700">
        <v>816</v>
      </c>
      <c r="M1700">
        <v>0.90666666666666662</v>
      </c>
      <c r="N1700" t="s">
        <v>18</v>
      </c>
    </row>
    <row r="1701" spans="1:14">
      <c r="A1701">
        <v>86</v>
      </c>
      <c r="B1701" s="4">
        <v>45198</v>
      </c>
      <c r="C1701" s="5">
        <v>0.78819444444444442</v>
      </c>
      <c r="D1701" t="s">
        <v>95</v>
      </c>
      <c r="E1701" t="s">
        <v>16</v>
      </c>
      <c r="F1701">
        <v>19</v>
      </c>
      <c r="G1701" t="s">
        <v>20</v>
      </c>
      <c r="H1701">
        <v>3</v>
      </c>
      <c r="I1701">
        <v>30</v>
      </c>
      <c r="J1701">
        <v>15.6</v>
      </c>
      <c r="K1701">
        <v>90</v>
      </c>
      <c r="L1701">
        <v>74.400000000000006</v>
      </c>
      <c r="M1701">
        <v>0.82666666666666677</v>
      </c>
      <c r="N1701" t="s">
        <v>31</v>
      </c>
    </row>
    <row r="1702" spans="1:14">
      <c r="A1702">
        <v>173</v>
      </c>
      <c r="B1702" s="4">
        <v>45279</v>
      </c>
      <c r="C1702" s="5">
        <v>0.72916666666666663</v>
      </c>
      <c r="D1702" t="s">
        <v>24</v>
      </c>
      <c r="E1702" t="s">
        <v>16</v>
      </c>
      <c r="F1702">
        <v>64</v>
      </c>
      <c r="G1702" t="s">
        <v>30</v>
      </c>
      <c r="H1702">
        <v>4</v>
      </c>
      <c r="I1702">
        <v>30</v>
      </c>
      <c r="J1702">
        <v>14.1</v>
      </c>
      <c r="K1702">
        <v>120</v>
      </c>
      <c r="L1702">
        <v>105.9</v>
      </c>
      <c r="M1702">
        <v>0.88250000000000006</v>
      </c>
      <c r="N1702" t="s">
        <v>28</v>
      </c>
    </row>
    <row r="1703" spans="1:14">
      <c r="A1703">
        <v>1086</v>
      </c>
      <c r="B1703" s="4">
        <v>45183</v>
      </c>
      <c r="C1703" s="5">
        <v>0.82638888888888884</v>
      </c>
      <c r="D1703" t="s">
        <v>176</v>
      </c>
      <c r="E1703" t="s">
        <v>16</v>
      </c>
      <c r="F1703">
        <v>19</v>
      </c>
      <c r="G1703" t="s">
        <v>20</v>
      </c>
      <c r="H1703">
        <v>3</v>
      </c>
      <c r="I1703">
        <v>30</v>
      </c>
      <c r="J1703">
        <v>16.5</v>
      </c>
      <c r="K1703">
        <v>90</v>
      </c>
      <c r="L1703">
        <v>73.5</v>
      </c>
      <c r="M1703">
        <v>0.81666666666666665</v>
      </c>
      <c r="N1703" t="s">
        <v>31</v>
      </c>
    </row>
    <row r="1704" spans="1:14">
      <c r="A1704">
        <v>1173</v>
      </c>
      <c r="B1704" s="4">
        <v>44899</v>
      </c>
      <c r="C1704" s="5">
        <v>0.87708333333333333</v>
      </c>
      <c r="D1704" t="s">
        <v>144</v>
      </c>
      <c r="E1704" t="s">
        <v>16</v>
      </c>
      <c r="F1704">
        <v>64</v>
      </c>
      <c r="G1704" t="s">
        <v>30</v>
      </c>
      <c r="H1704">
        <v>4</v>
      </c>
      <c r="I1704">
        <v>30</v>
      </c>
      <c r="J1704">
        <v>15</v>
      </c>
      <c r="K1704">
        <v>120</v>
      </c>
      <c r="L1704">
        <v>105</v>
      </c>
      <c r="M1704">
        <v>0.875</v>
      </c>
      <c r="N1704" t="s">
        <v>28</v>
      </c>
    </row>
    <row r="1705" spans="1:14">
      <c r="A1705">
        <v>595</v>
      </c>
      <c r="B1705" s="4">
        <v>44849</v>
      </c>
      <c r="C1705" s="5">
        <v>0.89930555555555558</v>
      </c>
      <c r="D1705" t="s">
        <v>88</v>
      </c>
      <c r="E1705" t="s">
        <v>23</v>
      </c>
      <c r="F1705">
        <v>18</v>
      </c>
      <c r="G1705" t="s">
        <v>17</v>
      </c>
      <c r="H1705">
        <v>4</v>
      </c>
      <c r="I1705">
        <v>500</v>
      </c>
      <c r="J1705">
        <v>210</v>
      </c>
      <c r="K1705">
        <v>2000</v>
      </c>
      <c r="L1705">
        <v>1790</v>
      </c>
      <c r="M1705">
        <v>0.89500000000000002</v>
      </c>
      <c r="N1705" t="s">
        <v>31</v>
      </c>
    </row>
    <row r="1706" spans="1:14">
      <c r="A1706">
        <v>827</v>
      </c>
      <c r="B1706" s="4">
        <v>45227</v>
      </c>
      <c r="C1706" s="5">
        <v>0.80833333333333335</v>
      </c>
      <c r="D1706" t="s">
        <v>157</v>
      </c>
      <c r="E1706" t="s">
        <v>16</v>
      </c>
      <c r="F1706">
        <v>61</v>
      </c>
      <c r="G1706" t="s">
        <v>20</v>
      </c>
      <c r="H1706">
        <v>3</v>
      </c>
      <c r="I1706">
        <v>300</v>
      </c>
      <c r="J1706">
        <v>165</v>
      </c>
      <c r="K1706">
        <v>900</v>
      </c>
      <c r="L1706">
        <v>735</v>
      </c>
      <c r="M1706">
        <v>0.81666666666666665</v>
      </c>
      <c r="N1706" t="s">
        <v>28</v>
      </c>
    </row>
    <row r="1707" spans="1:14">
      <c r="A1707">
        <v>965</v>
      </c>
      <c r="B1707" s="4">
        <v>44892</v>
      </c>
      <c r="C1707" s="5">
        <v>0.90625</v>
      </c>
      <c r="D1707" t="s">
        <v>176</v>
      </c>
      <c r="E1707" t="s">
        <v>16</v>
      </c>
      <c r="F1707">
        <v>22</v>
      </c>
      <c r="G1707" t="s">
        <v>17</v>
      </c>
      <c r="H1707">
        <v>4</v>
      </c>
      <c r="I1707">
        <v>50</v>
      </c>
      <c r="J1707">
        <v>13</v>
      </c>
      <c r="K1707">
        <v>200</v>
      </c>
      <c r="L1707">
        <v>187</v>
      </c>
      <c r="M1707">
        <v>0.93500000000000005</v>
      </c>
      <c r="N1707" t="s">
        <v>31</v>
      </c>
    </row>
    <row r="1708" spans="1:14">
      <c r="A1708">
        <v>1595</v>
      </c>
      <c r="B1708" s="4">
        <v>45203</v>
      </c>
      <c r="C1708" s="5">
        <v>0.73888888888888893</v>
      </c>
      <c r="D1708" t="s">
        <v>63</v>
      </c>
      <c r="E1708" t="s">
        <v>23</v>
      </c>
      <c r="F1708">
        <v>18</v>
      </c>
      <c r="G1708" t="s">
        <v>17</v>
      </c>
      <c r="H1708">
        <v>4</v>
      </c>
      <c r="I1708">
        <v>500</v>
      </c>
      <c r="J1708">
        <v>255</v>
      </c>
      <c r="K1708">
        <v>2000</v>
      </c>
      <c r="L1708">
        <v>1745</v>
      </c>
      <c r="M1708">
        <v>0.87250000000000005</v>
      </c>
      <c r="N1708" t="s">
        <v>31</v>
      </c>
    </row>
    <row r="1709" spans="1:14">
      <c r="A1709">
        <v>1827</v>
      </c>
      <c r="B1709" s="4">
        <v>44874</v>
      </c>
      <c r="C1709" s="5">
        <v>0.83472222222222225</v>
      </c>
      <c r="D1709" t="s">
        <v>74</v>
      </c>
      <c r="E1709" t="s">
        <v>16</v>
      </c>
      <c r="F1709">
        <v>61</v>
      </c>
      <c r="G1709" t="s">
        <v>20</v>
      </c>
      <c r="H1709">
        <v>3</v>
      </c>
      <c r="I1709">
        <v>300</v>
      </c>
      <c r="J1709">
        <v>132</v>
      </c>
      <c r="K1709">
        <v>900</v>
      </c>
      <c r="L1709">
        <v>768</v>
      </c>
      <c r="M1709">
        <v>0.85333333333333339</v>
      </c>
      <c r="N1709" t="s">
        <v>28</v>
      </c>
    </row>
    <row r="1710" spans="1:14">
      <c r="A1710">
        <v>1965</v>
      </c>
      <c r="B1710" s="4">
        <v>44907</v>
      </c>
      <c r="C1710" s="5">
        <v>0.8354166666666667</v>
      </c>
      <c r="D1710" t="s">
        <v>134</v>
      </c>
      <c r="E1710" t="s">
        <v>16</v>
      </c>
      <c r="F1710">
        <v>22</v>
      </c>
      <c r="G1710" t="s">
        <v>17</v>
      </c>
      <c r="H1710">
        <v>4</v>
      </c>
      <c r="I1710">
        <v>50</v>
      </c>
      <c r="J1710">
        <v>21.5</v>
      </c>
      <c r="K1710">
        <v>200</v>
      </c>
      <c r="L1710">
        <v>178.5</v>
      </c>
      <c r="M1710">
        <v>0.89249999999999996</v>
      </c>
      <c r="N1710" t="s">
        <v>31</v>
      </c>
    </row>
    <row r="1711" spans="1:14">
      <c r="A1711">
        <v>388</v>
      </c>
      <c r="B1711" s="4">
        <v>44898</v>
      </c>
      <c r="C1711" s="5">
        <v>0.7944444444444444</v>
      </c>
      <c r="D1711" t="s">
        <v>137</v>
      </c>
      <c r="E1711" t="s">
        <v>16</v>
      </c>
      <c r="F1711">
        <v>50</v>
      </c>
      <c r="G1711" t="s">
        <v>30</v>
      </c>
      <c r="H1711">
        <v>1</v>
      </c>
      <c r="I1711">
        <v>25</v>
      </c>
      <c r="J1711">
        <v>12.25</v>
      </c>
      <c r="K1711">
        <v>25</v>
      </c>
      <c r="L1711">
        <v>12.75</v>
      </c>
      <c r="M1711">
        <v>0.51</v>
      </c>
      <c r="N1711" t="s">
        <v>21</v>
      </c>
    </row>
    <row r="1712" spans="1:14">
      <c r="A1712">
        <v>631</v>
      </c>
      <c r="B1712" s="4">
        <v>45221</v>
      </c>
      <c r="C1712" s="5">
        <v>0.9291666666666667</v>
      </c>
      <c r="D1712" t="s">
        <v>172</v>
      </c>
      <c r="E1712" t="s">
        <v>16</v>
      </c>
      <c r="F1712">
        <v>56</v>
      </c>
      <c r="G1712" t="s">
        <v>30</v>
      </c>
      <c r="H1712">
        <v>3</v>
      </c>
      <c r="I1712">
        <v>30</v>
      </c>
      <c r="J1712">
        <v>16.5</v>
      </c>
      <c r="K1712">
        <v>90</v>
      </c>
      <c r="L1712">
        <v>73.5</v>
      </c>
      <c r="M1712">
        <v>0.81666666666666665</v>
      </c>
      <c r="N1712" t="s">
        <v>28</v>
      </c>
    </row>
    <row r="1713" spans="1:14">
      <c r="A1713">
        <v>1388</v>
      </c>
      <c r="B1713" s="4">
        <v>45212</v>
      </c>
      <c r="C1713" s="5">
        <v>0.7583333333333333</v>
      </c>
      <c r="D1713" t="s">
        <v>53</v>
      </c>
      <c r="E1713" t="s">
        <v>16</v>
      </c>
      <c r="F1713">
        <v>50</v>
      </c>
      <c r="G1713" t="s">
        <v>30</v>
      </c>
      <c r="H1713">
        <v>1</v>
      </c>
      <c r="I1713">
        <v>25</v>
      </c>
      <c r="J1713">
        <v>6.75</v>
      </c>
      <c r="K1713">
        <v>25</v>
      </c>
      <c r="L1713">
        <v>18.25</v>
      </c>
      <c r="M1713">
        <v>0.73</v>
      </c>
      <c r="N1713" t="s">
        <v>21</v>
      </c>
    </row>
    <row r="1714" spans="1:14">
      <c r="A1714">
        <v>1631</v>
      </c>
      <c r="B1714" s="4">
        <v>44866</v>
      </c>
      <c r="C1714" s="5">
        <v>0.7993055555555556</v>
      </c>
      <c r="D1714" t="s">
        <v>82</v>
      </c>
      <c r="E1714" t="s">
        <v>16</v>
      </c>
      <c r="F1714">
        <v>56</v>
      </c>
      <c r="G1714" t="s">
        <v>30</v>
      </c>
      <c r="H1714">
        <v>3</v>
      </c>
      <c r="I1714">
        <v>30</v>
      </c>
      <c r="J1714">
        <v>12.3</v>
      </c>
      <c r="K1714">
        <v>90</v>
      </c>
      <c r="L1714">
        <v>77.7</v>
      </c>
      <c r="M1714">
        <v>0.8633333333333334</v>
      </c>
      <c r="N1714" t="s">
        <v>28</v>
      </c>
    </row>
    <row r="1715" spans="1:14">
      <c r="A1715">
        <v>554</v>
      </c>
      <c r="B1715" s="4">
        <v>44901</v>
      </c>
      <c r="C1715" s="5">
        <v>0.87777777777777777</v>
      </c>
      <c r="D1715" t="s">
        <v>56</v>
      </c>
      <c r="E1715" t="s">
        <v>23</v>
      </c>
      <c r="F1715">
        <v>46</v>
      </c>
      <c r="G1715" t="s">
        <v>20</v>
      </c>
      <c r="H1715">
        <v>3</v>
      </c>
      <c r="I1715">
        <v>50</v>
      </c>
      <c r="J1715">
        <v>13</v>
      </c>
      <c r="K1715">
        <v>150</v>
      </c>
      <c r="L1715">
        <v>137</v>
      </c>
      <c r="M1715">
        <v>0.91333333333333333</v>
      </c>
      <c r="N1715" t="s">
        <v>21</v>
      </c>
    </row>
    <row r="1716" spans="1:14">
      <c r="A1716">
        <v>812</v>
      </c>
      <c r="B1716" s="4">
        <v>45201</v>
      </c>
      <c r="C1716" s="5">
        <v>0.73958333333333337</v>
      </c>
      <c r="D1716" t="s">
        <v>53</v>
      </c>
      <c r="E1716" t="s">
        <v>16</v>
      </c>
      <c r="F1716">
        <v>19</v>
      </c>
      <c r="G1716" t="s">
        <v>30</v>
      </c>
      <c r="H1716">
        <v>3</v>
      </c>
      <c r="I1716">
        <v>25</v>
      </c>
      <c r="J1716">
        <v>11.25</v>
      </c>
      <c r="K1716">
        <v>75</v>
      </c>
      <c r="L1716">
        <v>63.75</v>
      </c>
      <c r="M1716">
        <v>0.85</v>
      </c>
      <c r="N1716" t="s">
        <v>31</v>
      </c>
    </row>
    <row r="1717" spans="1:14">
      <c r="A1717">
        <v>1554</v>
      </c>
      <c r="B1717" s="4">
        <v>45257</v>
      </c>
      <c r="C1717" s="5">
        <v>0.82986111111111116</v>
      </c>
      <c r="D1717" t="s">
        <v>174</v>
      </c>
      <c r="E1717" t="s">
        <v>23</v>
      </c>
      <c r="F1717">
        <v>46</v>
      </c>
      <c r="G1717" t="s">
        <v>20</v>
      </c>
      <c r="H1717">
        <v>3</v>
      </c>
      <c r="I1717">
        <v>50</v>
      </c>
      <c r="J1717">
        <v>15.5</v>
      </c>
      <c r="K1717">
        <v>150</v>
      </c>
      <c r="L1717">
        <v>134.5</v>
      </c>
      <c r="M1717">
        <v>0.89666666666666661</v>
      </c>
      <c r="N1717" t="s">
        <v>21</v>
      </c>
    </row>
    <row r="1718" spans="1:14">
      <c r="A1718">
        <v>1812</v>
      </c>
      <c r="B1718" s="4">
        <v>45224</v>
      </c>
      <c r="C1718" s="5">
        <v>0.92986111111111114</v>
      </c>
      <c r="D1718" t="s">
        <v>24</v>
      </c>
      <c r="E1718" t="s">
        <v>16</v>
      </c>
      <c r="F1718">
        <v>19</v>
      </c>
      <c r="G1718" t="s">
        <v>30</v>
      </c>
      <c r="H1718">
        <v>3</v>
      </c>
      <c r="I1718">
        <v>25</v>
      </c>
      <c r="J1718">
        <v>12</v>
      </c>
      <c r="K1718">
        <v>75</v>
      </c>
      <c r="L1718">
        <v>63</v>
      </c>
      <c r="M1718">
        <v>0.84</v>
      </c>
      <c r="N1718" t="s">
        <v>31</v>
      </c>
    </row>
    <row r="1719" spans="1:14">
      <c r="A1719">
        <v>58</v>
      </c>
      <c r="B1719" s="4">
        <v>45185</v>
      </c>
      <c r="C1719" s="5">
        <v>0.8041666666666667</v>
      </c>
      <c r="D1719" t="s">
        <v>158</v>
      </c>
      <c r="E1719" t="s">
        <v>16</v>
      </c>
      <c r="F1719">
        <v>18</v>
      </c>
      <c r="G1719" t="s">
        <v>17</v>
      </c>
      <c r="H1719">
        <v>4</v>
      </c>
      <c r="I1719">
        <v>300</v>
      </c>
      <c r="J1719">
        <v>75</v>
      </c>
      <c r="K1719">
        <v>1200</v>
      </c>
      <c r="L1719">
        <v>1125</v>
      </c>
      <c r="M1719">
        <v>0.9375</v>
      </c>
      <c r="N1719" t="s">
        <v>31</v>
      </c>
    </row>
    <row r="1720" spans="1:14">
      <c r="A1720">
        <v>952</v>
      </c>
      <c r="B1720" s="4">
        <v>44916</v>
      </c>
      <c r="C1720" s="5">
        <v>0.75624999999999998</v>
      </c>
      <c r="D1720" t="s">
        <v>95</v>
      </c>
      <c r="E1720" t="s">
        <v>23</v>
      </c>
      <c r="F1720">
        <v>57</v>
      </c>
      <c r="G1720" t="s">
        <v>17</v>
      </c>
      <c r="H1720">
        <v>1</v>
      </c>
      <c r="I1720">
        <v>25</v>
      </c>
      <c r="J1720">
        <v>13.25</v>
      </c>
      <c r="K1720">
        <v>25</v>
      </c>
      <c r="L1720">
        <v>11.75</v>
      </c>
      <c r="M1720">
        <v>0.47</v>
      </c>
      <c r="N1720" t="s">
        <v>28</v>
      </c>
    </row>
    <row r="1721" spans="1:14">
      <c r="A1721">
        <v>1058</v>
      </c>
      <c r="B1721" s="4">
        <v>44864</v>
      </c>
      <c r="C1721" s="5">
        <v>0.77152777777777781</v>
      </c>
      <c r="D1721" t="s">
        <v>177</v>
      </c>
      <c r="E1721" t="s">
        <v>16</v>
      </c>
      <c r="F1721">
        <v>18</v>
      </c>
      <c r="G1721" t="s">
        <v>17</v>
      </c>
      <c r="H1721">
        <v>4</v>
      </c>
      <c r="I1721">
        <v>300</v>
      </c>
      <c r="J1721">
        <v>153</v>
      </c>
      <c r="K1721">
        <v>1200</v>
      </c>
      <c r="L1721">
        <v>1047</v>
      </c>
      <c r="M1721">
        <v>0.87250000000000005</v>
      </c>
      <c r="N1721" t="s">
        <v>31</v>
      </c>
    </row>
    <row r="1722" spans="1:14">
      <c r="A1722">
        <v>1952</v>
      </c>
      <c r="B1722" s="4">
        <v>44912</v>
      </c>
      <c r="C1722" s="5">
        <v>0.92569444444444449</v>
      </c>
      <c r="D1722" t="s">
        <v>69</v>
      </c>
      <c r="E1722" t="s">
        <v>23</v>
      </c>
      <c r="F1722">
        <v>57</v>
      </c>
      <c r="G1722" t="s">
        <v>17</v>
      </c>
      <c r="H1722">
        <v>1</v>
      </c>
      <c r="I1722">
        <v>25</v>
      </c>
      <c r="J1722">
        <v>13.5</v>
      </c>
      <c r="K1722">
        <v>25</v>
      </c>
      <c r="L1722">
        <v>11.5</v>
      </c>
      <c r="M1722">
        <v>0.46</v>
      </c>
      <c r="N1722" t="s">
        <v>28</v>
      </c>
    </row>
    <row r="1723" spans="1:14">
      <c r="A1723">
        <v>345</v>
      </c>
      <c r="B1723" s="4">
        <v>44902</v>
      </c>
      <c r="C1723" s="5">
        <v>0.78888888888888886</v>
      </c>
      <c r="D1723" t="s">
        <v>100</v>
      </c>
      <c r="E1723" t="s">
        <v>16</v>
      </c>
      <c r="F1723">
        <v>62</v>
      </c>
      <c r="G1723" t="s">
        <v>30</v>
      </c>
      <c r="H1723">
        <v>1</v>
      </c>
      <c r="I1723">
        <v>30</v>
      </c>
      <c r="J1723">
        <v>13.5</v>
      </c>
      <c r="K1723">
        <v>30</v>
      </c>
      <c r="L1723">
        <v>16.5</v>
      </c>
      <c r="M1723">
        <v>0.55000000000000004</v>
      </c>
      <c r="N1723" t="s">
        <v>28</v>
      </c>
    </row>
    <row r="1724" spans="1:14">
      <c r="A1724">
        <v>458</v>
      </c>
      <c r="B1724" s="4">
        <v>45258</v>
      </c>
      <c r="C1724" s="5">
        <v>0.89930555555555558</v>
      </c>
      <c r="D1724" t="s">
        <v>166</v>
      </c>
      <c r="E1724" t="s">
        <v>23</v>
      </c>
      <c r="F1724">
        <v>39</v>
      </c>
      <c r="G1724" t="s">
        <v>30</v>
      </c>
      <c r="H1724">
        <v>4</v>
      </c>
      <c r="I1724">
        <v>25</v>
      </c>
      <c r="J1724">
        <v>7</v>
      </c>
      <c r="K1724">
        <v>100</v>
      </c>
      <c r="L1724">
        <v>93</v>
      </c>
      <c r="M1724">
        <v>0.93</v>
      </c>
      <c r="N1724" t="s">
        <v>18</v>
      </c>
    </row>
    <row r="1725" spans="1:14">
      <c r="A1725">
        <v>582</v>
      </c>
      <c r="B1725" s="4">
        <v>44834</v>
      </c>
      <c r="C1725" s="5">
        <v>0.90138888888888891</v>
      </c>
      <c r="D1725" t="s">
        <v>166</v>
      </c>
      <c r="E1725" t="s">
        <v>16</v>
      </c>
      <c r="F1725">
        <v>35</v>
      </c>
      <c r="G1725" t="s">
        <v>17</v>
      </c>
      <c r="H1725">
        <v>3</v>
      </c>
      <c r="I1725">
        <v>300</v>
      </c>
      <c r="J1725">
        <v>75</v>
      </c>
      <c r="K1725">
        <v>900</v>
      </c>
      <c r="L1725">
        <v>825</v>
      </c>
      <c r="M1725">
        <v>0.91666666666666663</v>
      </c>
      <c r="N1725" t="s">
        <v>39</v>
      </c>
    </row>
    <row r="1726" spans="1:14">
      <c r="A1726">
        <v>963</v>
      </c>
      <c r="B1726" s="4">
        <v>45218</v>
      </c>
      <c r="C1726" s="5">
        <v>0.76666666666666672</v>
      </c>
      <c r="D1726" t="s">
        <v>130</v>
      </c>
      <c r="E1726" t="s">
        <v>23</v>
      </c>
      <c r="F1726">
        <v>55</v>
      </c>
      <c r="G1726" t="s">
        <v>20</v>
      </c>
      <c r="H1726">
        <v>1</v>
      </c>
      <c r="I1726">
        <v>50</v>
      </c>
      <c r="J1726">
        <v>13</v>
      </c>
      <c r="K1726">
        <v>50</v>
      </c>
      <c r="L1726">
        <v>37</v>
      </c>
      <c r="M1726">
        <v>0.74</v>
      </c>
      <c r="N1726" t="s">
        <v>21</v>
      </c>
    </row>
    <row r="1727" spans="1:14">
      <c r="A1727">
        <v>1345</v>
      </c>
      <c r="B1727" s="4">
        <v>44833</v>
      </c>
      <c r="C1727" s="5">
        <v>0.74305555555555558</v>
      </c>
      <c r="D1727" t="s">
        <v>45</v>
      </c>
      <c r="E1727" t="s">
        <v>16</v>
      </c>
      <c r="F1727">
        <v>62</v>
      </c>
      <c r="G1727" t="s">
        <v>30</v>
      </c>
      <c r="H1727">
        <v>1</v>
      </c>
      <c r="I1727">
        <v>30</v>
      </c>
      <c r="J1727">
        <v>11.4</v>
      </c>
      <c r="K1727">
        <v>30</v>
      </c>
      <c r="L1727">
        <v>18.600000000000001</v>
      </c>
      <c r="M1727">
        <v>0.62</v>
      </c>
      <c r="N1727" t="s">
        <v>28</v>
      </c>
    </row>
    <row r="1728" spans="1:14">
      <c r="A1728">
        <v>1458</v>
      </c>
      <c r="B1728" s="4">
        <v>45208</v>
      </c>
      <c r="C1728" s="5">
        <v>0.80625000000000002</v>
      </c>
      <c r="D1728" t="s">
        <v>135</v>
      </c>
      <c r="E1728" t="s">
        <v>23</v>
      </c>
      <c r="F1728">
        <v>39</v>
      </c>
      <c r="G1728" t="s">
        <v>30</v>
      </c>
      <c r="H1728">
        <v>4</v>
      </c>
      <c r="I1728">
        <v>25</v>
      </c>
      <c r="J1728">
        <v>9.75</v>
      </c>
      <c r="K1728">
        <v>100</v>
      </c>
      <c r="L1728">
        <v>90.25</v>
      </c>
      <c r="M1728">
        <v>0.90249999999999997</v>
      </c>
      <c r="N1728" t="s">
        <v>18</v>
      </c>
    </row>
    <row r="1729" spans="1:14">
      <c r="A1729">
        <v>1582</v>
      </c>
      <c r="B1729" s="4">
        <v>45216</v>
      </c>
      <c r="C1729" s="5">
        <v>0.8</v>
      </c>
      <c r="D1729" t="s">
        <v>119</v>
      </c>
      <c r="E1729" t="s">
        <v>16</v>
      </c>
      <c r="F1729">
        <v>35</v>
      </c>
      <c r="G1729" t="s">
        <v>17</v>
      </c>
      <c r="H1729">
        <v>3</v>
      </c>
      <c r="I1729">
        <v>300</v>
      </c>
      <c r="J1729">
        <v>114</v>
      </c>
      <c r="K1729">
        <v>900</v>
      </c>
      <c r="L1729">
        <v>786</v>
      </c>
      <c r="M1729">
        <v>0.87333333333333329</v>
      </c>
      <c r="N1729" t="s">
        <v>39</v>
      </c>
    </row>
    <row r="1730" spans="1:14">
      <c r="A1730">
        <v>1963</v>
      </c>
      <c r="B1730" s="4">
        <v>44907</v>
      </c>
      <c r="C1730" s="5">
        <v>0.87222222222222223</v>
      </c>
      <c r="D1730" t="s">
        <v>63</v>
      </c>
      <c r="E1730" t="s">
        <v>23</v>
      </c>
      <c r="F1730">
        <v>55</v>
      </c>
      <c r="G1730" t="s">
        <v>20</v>
      </c>
      <c r="H1730">
        <v>1</v>
      </c>
      <c r="I1730">
        <v>50</v>
      </c>
      <c r="J1730">
        <v>20.5</v>
      </c>
      <c r="K1730">
        <v>50</v>
      </c>
      <c r="L1730">
        <v>29.5</v>
      </c>
      <c r="M1730">
        <v>0.59</v>
      </c>
      <c r="N1730" t="s">
        <v>21</v>
      </c>
    </row>
    <row r="1731" spans="1:14">
      <c r="A1731">
        <v>369</v>
      </c>
      <c r="B1731" s="4">
        <v>45273</v>
      </c>
      <c r="C1731" s="5">
        <v>0.8208333333333333</v>
      </c>
      <c r="D1731" t="s">
        <v>117</v>
      </c>
      <c r="E1731" t="s">
        <v>16</v>
      </c>
      <c r="F1731">
        <v>23</v>
      </c>
      <c r="G1731" t="s">
        <v>30</v>
      </c>
      <c r="H1731">
        <v>3</v>
      </c>
      <c r="I1731">
        <v>500</v>
      </c>
      <c r="J1731">
        <v>215</v>
      </c>
      <c r="K1731">
        <v>1500</v>
      </c>
      <c r="L1731">
        <v>1285</v>
      </c>
      <c r="M1731">
        <v>0.85666666666666669</v>
      </c>
      <c r="N1731" t="s">
        <v>31</v>
      </c>
    </row>
    <row r="1732" spans="1:14">
      <c r="A1732">
        <v>706</v>
      </c>
      <c r="B1732" s="4">
        <v>44808</v>
      </c>
      <c r="C1732" s="5">
        <v>0.92986111111111114</v>
      </c>
      <c r="D1732" t="s">
        <v>32</v>
      </c>
      <c r="E1732" t="s">
        <v>16</v>
      </c>
      <c r="F1732">
        <v>51</v>
      </c>
      <c r="G1732" t="s">
        <v>30</v>
      </c>
      <c r="H1732">
        <v>4</v>
      </c>
      <c r="I1732">
        <v>25</v>
      </c>
      <c r="J1732">
        <v>8</v>
      </c>
      <c r="K1732">
        <v>100</v>
      </c>
      <c r="L1732">
        <v>92</v>
      </c>
      <c r="M1732">
        <v>0.92</v>
      </c>
      <c r="N1732" t="s">
        <v>21</v>
      </c>
    </row>
    <row r="1733" spans="1:14">
      <c r="A1733">
        <v>747</v>
      </c>
      <c r="B1733" s="4">
        <v>44855</v>
      </c>
      <c r="C1733" s="5">
        <v>0.7583333333333333</v>
      </c>
      <c r="D1733" t="s">
        <v>97</v>
      </c>
      <c r="E1733" t="s">
        <v>16</v>
      </c>
      <c r="F1733">
        <v>23</v>
      </c>
      <c r="G1733" t="s">
        <v>20</v>
      </c>
      <c r="H1733">
        <v>1</v>
      </c>
      <c r="I1733">
        <v>30</v>
      </c>
      <c r="J1733">
        <v>9.3000000000000007</v>
      </c>
      <c r="K1733">
        <v>30</v>
      </c>
      <c r="L1733">
        <v>20.7</v>
      </c>
      <c r="M1733">
        <v>0.69</v>
      </c>
      <c r="N1733" t="s">
        <v>31</v>
      </c>
    </row>
    <row r="1734" spans="1:14">
      <c r="A1734">
        <v>1369</v>
      </c>
      <c r="B1734" s="4">
        <v>44844</v>
      </c>
      <c r="C1734" s="5">
        <v>0.88472222222222219</v>
      </c>
      <c r="D1734" t="s">
        <v>167</v>
      </c>
      <c r="E1734" t="s">
        <v>16</v>
      </c>
      <c r="F1734">
        <v>23</v>
      </c>
      <c r="G1734" t="s">
        <v>30</v>
      </c>
      <c r="H1734">
        <v>3</v>
      </c>
      <c r="I1734">
        <v>500</v>
      </c>
      <c r="J1734">
        <v>180</v>
      </c>
      <c r="K1734">
        <v>1500</v>
      </c>
      <c r="L1734">
        <v>1320</v>
      </c>
      <c r="M1734">
        <v>0.88</v>
      </c>
      <c r="N1734" t="s">
        <v>31</v>
      </c>
    </row>
    <row r="1735" spans="1:14">
      <c r="A1735">
        <v>1706</v>
      </c>
      <c r="B1735" s="4">
        <v>44850</v>
      </c>
      <c r="C1735" s="5">
        <v>0.75277777777777777</v>
      </c>
      <c r="D1735" t="s">
        <v>64</v>
      </c>
      <c r="E1735" t="s">
        <v>16</v>
      </c>
      <c r="F1735">
        <v>51</v>
      </c>
      <c r="G1735" t="s">
        <v>30</v>
      </c>
      <c r="H1735">
        <v>4</v>
      </c>
      <c r="I1735">
        <v>25</v>
      </c>
      <c r="J1735">
        <v>11.75</v>
      </c>
      <c r="K1735">
        <v>100</v>
      </c>
      <c r="L1735">
        <v>88.25</v>
      </c>
      <c r="M1735">
        <v>0.88249999999999995</v>
      </c>
      <c r="N1735" t="s">
        <v>21</v>
      </c>
    </row>
    <row r="1736" spans="1:14">
      <c r="A1736">
        <v>1747</v>
      </c>
      <c r="B1736" s="4">
        <v>45174</v>
      </c>
      <c r="C1736" s="5">
        <v>0.76527777777777772</v>
      </c>
      <c r="D1736" t="s">
        <v>116</v>
      </c>
      <c r="E1736" t="s">
        <v>16</v>
      </c>
      <c r="F1736">
        <v>23</v>
      </c>
      <c r="G1736" t="s">
        <v>20</v>
      </c>
      <c r="H1736">
        <v>1</v>
      </c>
      <c r="I1736">
        <v>30</v>
      </c>
      <c r="J1736">
        <v>16.2</v>
      </c>
      <c r="K1736">
        <v>30</v>
      </c>
      <c r="L1736">
        <v>13.8</v>
      </c>
      <c r="M1736">
        <v>0.46</v>
      </c>
      <c r="N1736" t="s">
        <v>31</v>
      </c>
    </row>
    <row r="1737" spans="1:14">
      <c r="A1737">
        <v>533</v>
      </c>
      <c r="B1737" s="4">
        <v>44878</v>
      </c>
      <c r="C1737" s="5">
        <v>0.72152777777777777</v>
      </c>
      <c r="D1737" t="s">
        <v>172</v>
      </c>
      <c r="E1737" t="s">
        <v>16</v>
      </c>
      <c r="F1737">
        <v>19</v>
      </c>
      <c r="G1737" t="s">
        <v>30</v>
      </c>
      <c r="H1737">
        <v>3</v>
      </c>
      <c r="I1737">
        <v>500</v>
      </c>
      <c r="J1737">
        <v>155</v>
      </c>
      <c r="K1737">
        <v>1500</v>
      </c>
      <c r="L1737">
        <v>1345</v>
      </c>
      <c r="M1737">
        <v>0.89666666666666661</v>
      </c>
      <c r="N1737" t="s">
        <v>31</v>
      </c>
    </row>
    <row r="1738" spans="1:14">
      <c r="A1738">
        <v>1533</v>
      </c>
      <c r="B1738" s="4">
        <v>44863</v>
      </c>
      <c r="C1738" s="5">
        <v>0.81597222222222221</v>
      </c>
      <c r="D1738" t="s">
        <v>52</v>
      </c>
      <c r="E1738" t="s">
        <v>16</v>
      </c>
      <c r="F1738">
        <v>19</v>
      </c>
      <c r="G1738" t="s">
        <v>30</v>
      </c>
      <c r="H1738">
        <v>3</v>
      </c>
      <c r="I1738">
        <v>500</v>
      </c>
      <c r="J1738">
        <v>255</v>
      </c>
      <c r="K1738">
        <v>1500</v>
      </c>
      <c r="L1738">
        <v>1245</v>
      </c>
      <c r="M1738">
        <v>0.83</v>
      </c>
      <c r="N1738" t="s">
        <v>31</v>
      </c>
    </row>
    <row r="1739" spans="1:14">
      <c r="A1739">
        <v>169</v>
      </c>
      <c r="B1739" s="4">
        <v>44893</v>
      </c>
      <c r="C1739" s="5">
        <v>0.78263888888888888</v>
      </c>
      <c r="D1739" t="s">
        <v>178</v>
      </c>
      <c r="E1739" t="s">
        <v>16</v>
      </c>
      <c r="F1739">
        <v>18</v>
      </c>
      <c r="G1739" t="s">
        <v>20</v>
      </c>
      <c r="H1739">
        <v>3</v>
      </c>
      <c r="I1739">
        <v>500</v>
      </c>
      <c r="J1739">
        <v>145</v>
      </c>
      <c r="K1739">
        <v>1500</v>
      </c>
      <c r="L1739">
        <v>1355</v>
      </c>
      <c r="M1739">
        <v>0.90333333333333332</v>
      </c>
      <c r="N1739" t="s">
        <v>31</v>
      </c>
    </row>
    <row r="1740" spans="1:14">
      <c r="A1740">
        <v>645</v>
      </c>
      <c r="B1740" s="4">
        <v>44909</v>
      </c>
      <c r="C1740" s="5">
        <v>0.9243055555555556</v>
      </c>
      <c r="D1740" t="s">
        <v>97</v>
      </c>
      <c r="E1740" t="s">
        <v>23</v>
      </c>
      <c r="F1740">
        <v>35</v>
      </c>
      <c r="G1740" t="s">
        <v>30</v>
      </c>
      <c r="H1740">
        <v>4</v>
      </c>
      <c r="I1740">
        <v>30</v>
      </c>
      <c r="J1740">
        <v>11.1</v>
      </c>
      <c r="K1740">
        <v>120</v>
      </c>
      <c r="L1740">
        <v>108.9</v>
      </c>
      <c r="M1740">
        <v>0.90750000000000008</v>
      </c>
      <c r="N1740" t="s">
        <v>39</v>
      </c>
    </row>
    <row r="1741" spans="1:14">
      <c r="A1741">
        <v>968</v>
      </c>
      <c r="B1741" s="4">
        <v>45278</v>
      </c>
      <c r="C1741" s="5">
        <v>0.8569444444444444</v>
      </c>
      <c r="D1741" t="s">
        <v>58</v>
      </c>
      <c r="E1741" t="s">
        <v>23</v>
      </c>
      <c r="F1741">
        <v>48</v>
      </c>
      <c r="G1741" t="s">
        <v>17</v>
      </c>
      <c r="H1741">
        <v>3</v>
      </c>
      <c r="I1741">
        <v>300</v>
      </c>
      <c r="J1741">
        <v>120</v>
      </c>
      <c r="K1741">
        <v>900</v>
      </c>
      <c r="L1741">
        <v>780</v>
      </c>
      <c r="M1741">
        <v>0.8666666666666667</v>
      </c>
      <c r="N1741" t="s">
        <v>21</v>
      </c>
    </row>
    <row r="1742" spans="1:14">
      <c r="A1742">
        <v>997</v>
      </c>
      <c r="B1742" s="4">
        <v>45200</v>
      </c>
      <c r="C1742" s="5">
        <v>0.85833333333333328</v>
      </c>
      <c r="D1742" t="s">
        <v>97</v>
      </c>
      <c r="E1742" t="s">
        <v>16</v>
      </c>
      <c r="F1742">
        <v>52</v>
      </c>
      <c r="G1742" t="s">
        <v>20</v>
      </c>
      <c r="H1742">
        <v>3</v>
      </c>
      <c r="I1742">
        <v>30</v>
      </c>
      <c r="J1742">
        <v>15</v>
      </c>
      <c r="K1742">
        <v>90</v>
      </c>
      <c r="L1742">
        <v>75</v>
      </c>
      <c r="M1742">
        <v>0.83333333333333337</v>
      </c>
      <c r="N1742" t="s">
        <v>21</v>
      </c>
    </row>
    <row r="1743" spans="1:14">
      <c r="A1743">
        <v>1169</v>
      </c>
      <c r="B1743" s="4">
        <v>44829</v>
      </c>
      <c r="C1743" s="5">
        <v>0.71666666666666667</v>
      </c>
      <c r="D1743" t="s">
        <v>58</v>
      </c>
      <c r="E1743" t="s">
        <v>16</v>
      </c>
      <c r="F1743">
        <v>18</v>
      </c>
      <c r="G1743" t="s">
        <v>20</v>
      </c>
      <c r="H1743">
        <v>3</v>
      </c>
      <c r="I1743">
        <v>500</v>
      </c>
      <c r="J1743">
        <v>255</v>
      </c>
      <c r="K1743">
        <v>1500</v>
      </c>
      <c r="L1743">
        <v>1245</v>
      </c>
      <c r="M1743">
        <v>0.83</v>
      </c>
      <c r="N1743" t="s">
        <v>31</v>
      </c>
    </row>
    <row r="1744" spans="1:14">
      <c r="A1744">
        <v>1645</v>
      </c>
      <c r="B1744" s="4">
        <v>45211</v>
      </c>
      <c r="C1744" s="5">
        <v>0.7270833333333333</v>
      </c>
      <c r="D1744" t="s">
        <v>162</v>
      </c>
      <c r="E1744" t="s">
        <v>23</v>
      </c>
      <c r="F1744">
        <v>35</v>
      </c>
      <c r="G1744" t="s">
        <v>30</v>
      </c>
      <c r="H1744">
        <v>4</v>
      </c>
      <c r="I1744">
        <v>30</v>
      </c>
      <c r="J1744">
        <v>9</v>
      </c>
      <c r="K1744">
        <v>120</v>
      </c>
      <c r="L1744">
        <v>111</v>
      </c>
      <c r="M1744">
        <v>0.92500000000000004</v>
      </c>
      <c r="N1744" t="s">
        <v>39</v>
      </c>
    </row>
    <row r="1745" spans="1:14">
      <c r="A1745">
        <v>1968</v>
      </c>
      <c r="B1745" s="4">
        <v>44825</v>
      </c>
      <c r="C1745" s="5">
        <v>0.79791666666666672</v>
      </c>
      <c r="D1745" t="s">
        <v>82</v>
      </c>
      <c r="E1745" t="s">
        <v>23</v>
      </c>
      <c r="F1745">
        <v>48</v>
      </c>
      <c r="G1745" t="s">
        <v>17</v>
      </c>
      <c r="H1745">
        <v>3</v>
      </c>
      <c r="I1745">
        <v>300</v>
      </c>
      <c r="J1745">
        <v>153</v>
      </c>
      <c r="K1745">
        <v>900</v>
      </c>
      <c r="L1745">
        <v>747</v>
      </c>
      <c r="M1745">
        <v>0.83</v>
      </c>
      <c r="N1745" t="s">
        <v>21</v>
      </c>
    </row>
    <row r="1746" spans="1:14">
      <c r="A1746">
        <v>1997</v>
      </c>
      <c r="B1746" s="4">
        <v>45228</v>
      </c>
      <c r="C1746" s="5">
        <v>0.88124999999999998</v>
      </c>
      <c r="D1746" t="s">
        <v>149</v>
      </c>
      <c r="E1746" t="s">
        <v>16</v>
      </c>
      <c r="F1746">
        <v>52</v>
      </c>
      <c r="G1746" t="s">
        <v>20</v>
      </c>
      <c r="H1746">
        <v>3</v>
      </c>
      <c r="I1746">
        <v>30</v>
      </c>
      <c r="J1746">
        <v>10.199999999999999</v>
      </c>
      <c r="K1746">
        <v>90</v>
      </c>
      <c r="L1746">
        <v>79.8</v>
      </c>
      <c r="M1746">
        <v>0.8866666666666666</v>
      </c>
      <c r="N1746" t="s">
        <v>21</v>
      </c>
    </row>
    <row r="1747" spans="1:14">
      <c r="A1747">
        <v>57</v>
      </c>
      <c r="B1747" s="4">
        <v>44845</v>
      </c>
      <c r="C1747" s="5">
        <v>0.84166666666666667</v>
      </c>
      <c r="D1747" t="s">
        <v>167</v>
      </c>
      <c r="E1747" t="s">
        <v>23</v>
      </c>
      <c r="F1747">
        <v>63</v>
      </c>
      <c r="G1747" t="s">
        <v>20</v>
      </c>
      <c r="H1747">
        <v>1</v>
      </c>
      <c r="I1747">
        <v>30</v>
      </c>
      <c r="J1747">
        <v>10.199999999999999</v>
      </c>
      <c r="K1747">
        <v>30</v>
      </c>
      <c r="L1747">
        <v>19.8</v>
      </c>
      <c r="M1747">
        <v>0.66</v>
      </c>
      <c r="N1747" t="s">
        <v>28</v>
      </c>
    </row>
    <row r="1748" spans="1:14">
      <c r="A1748">
        <v>137</v>
      </c>
      <c r="B1748" s="4">
        <v>44814</v>
      </c>
      <c r="C1748" s="5">
        <v>0.86250000000000004</v>
      </c>
      <c r="D1748" t="s">
        <v>32</v>
      </c>
      <c r="E1748" t="s">
        <v>16</v>
      </c>
      <c r="F1748">
        <v>46</v>
      </c>
      <c r="G1748" t="s">
        <v>20</v>
      </c>
      <c r="H1748">
        <v>2</v>
      </c>
      <c r="I1748">
        <v>500</v>
      </c>
      <c r="J1748">
        <v>125</v>
      </c>
      <c r="K1748">
        <v>1000</v>
      </c>
      <c r="L1748">
        <v>875</v>
      </c>
      <c r="M1748">
        <v>0.875</v>
      </c>
      <c r="N1748" t="s">
        <v>21</v>
      </c>
    </row>
    <row r="1749" spans="1:14">
      <c r="A1749">
        <v>778</v>
      </c>
      <c r="B1749" s="4">
        <v>45273</v>
      </c>
      <c r="C1749" s="5">
        <v>0.76944444444444449</v>
      </c>
      <c r="D1749" t="s">
        <v>127</v>
      </c>
      <c r="E1749" t="s">
        <v>23</v>
      </c>
      <c r="F1749">
        <v>47</v>
      </c>
      <c r="G1749" t="s">
        <v>20</v>
      </c>
      <c r="H1749">
        <v>4</v>
      </c>
      <c r="I1749">
        <v>25</v>
      </c>
      <c r="J1749">
        <v>13.75</v>
      </c>
      <c r="K1749">
        <v>100</v>
      </c>
      <c r="L1749">
        <v>86.25</v>
      </c>
      <c r="M1749">
        <v>0.86250000000000004</v>
      </c>
      <c r="N1749" t="s">
        <v>21</v>
      </c>
    </row>
    <row r="1750" spans="1:14">
      <c r="A1750">
        <v>1057</v>
      </c>
      <c r="B1750" s="4">
        <v>45188</v>
      </c>
      <c r="C1750" s="5">
        <v>0.93819444444444444</v>
      </c>
      <c r="D1750" t="s">
        <v>69</v>
      </c>
      <c r="E1750" t="s">
        <v>23</v>
      </c>
      <c r="F1750">
        <v>63</v>
      </c>
      <c r="G1750" t="s">
        <v>20</v>
      </c>
      <c r="H1750">
        <v>1</v>
      </c>
      <c r="I1750">
        <v>30</v>
      </c>
      <c r="J1750">
        <v>15.9</v>
      </c>
      <c r="K1750">
        <v>30</v>
      </c>
      <c r="L1750">
        <v>14.1</v>
      </c>
      <c r="M1750">
        <v>0.47</v>
      </c>
      <c r="N1750" t="s">
        <v>28</v>
      </c>
    </row>
    <row r="1751" spans="1:14">
      <c r="A1751">
        <v>1137</v>
      </c>
      <c r="B1751" s="4">
        <v>44870</v>
      </c>
      <c r="C1751" s="5">
        <v>0.94027777777777777</v>
      </c>
      <c r="D1751" t="s">
        <v>100</v>
      </c>
      <c r="E1751" t="s">
        <v>16</v>
      </c>
      <c r="F1751">
        <v>46</v>
      </c>
      <c r="G1751" t="s">
        <v>20</v>
      </c>
      <c r="H1751">
        <v>2</v>
      </c>
      <c r="I1751">
        <v>500</v>
      </c>
      <c r="J1751">
        <v>145</v>
      </c>
      <c r="K1751">
        <v>1000</v>
      </c>
      <c r="L1751">
        <v>855</v>
      </c>
      <c r="M1751">
        <v>0.85499999999999998</v>
      </c>
      <c r="N1751" t="s">
        <v>21</v>
      </c>
    </row>
    <row r="1752" spans="1:14">
      <c r="A1752">
        <v>1778</v>
      </c>
      <c r="B1752" s="4">
        <v>45290</v>
      </c>
      <c r="C1752" s="5">
        <v>0.83125000000000004</v>
      </c>
      <c r="D1752" t="s">
        <v>56</v>
      </c>
      <c r="E1752" t="s">
        <v>23</v>
      </c>
      <c r="F1752">
        <v>47</v>
      </c>
      <c r="G1752" t="s">
        <v>20</v>
      </c>
      <c r="H1752">
        <v>4</v>
      </c>
      <c r="I1752">
        <v>25</v>
      </c>
      <c r="J1752">
        <v>11.25</v>
      </c>
      <c r="K1752">
        <v>100</v>
      </c>
      <c r="L1752">
        <v>88.75</v>
      </c>
      <c r="M1752">
        <v>0.88749999999999996</v>
      </c>
      <c r="N1752" t="s">
        <v>21</v>
      </c>
    </row>
    <row r="1753" spans="1:14">
      <c r="A1753">
        <v>599</v>
      </c>
      <c r="B1753" s="4">
        <v>45270</v>
      </c>
      <c r="C1753" s="5">
        <v>0.79652777777777772</v>
      </c>
      <c r="D1753" t="s">
        <v>43</v>
      </c>
      <c r="E1753" t="s">
        <v>23</v>
      </c>
      <c r="F1753">
        <v>28</v>
      </c>
      <c r="G1753" t="s">
        <v>20</v>
      </c>
      <c r="H1753">
        <v>2</v>
      </c>
      <c r="I1753">
        <v>50</v>
      </c>
      <c r="J1753">
        <v>24.5</v>
      </c>
      <c r="K1753">
        <v>100</v>
      </c>
      <c r="L1753">
        <v>75.5</v>
      </c>
      <c r="M1753">
        <v>0.755</v>
      </c>
      <c r="N1753" t="s">
        <v>39</v>
      </c>
    </row>
    <row r="1754" spans="1:14">
      <c r="A1754">
        <v>938</v>
      </c>
      <c r="B1754" s="4">
        <v>44820</v>
      </c>
      <c r="C1754" s="5">
        <v>0.74652777777777779</v>
      </c>
      <c r="D1754" t="s">
        <v>165</v>
      </c>
      <c r="E1754" t="s">
        <v>16</v>
      </c>
      <c r="F1754">
        <v>49</v>
      </c>
      <c r="G1754" t="s">
        <v>17</v>
      </c>
      <c r="H1754">
        <v>4</v>
      </c>
      <c r="I1754">
        <v>50</v>
      </c>
      <c r="J1754">
        <v>23</v>
      </c>
      <c r="K1754">
        <v>200</v>
      </c>
      <c r="L1754">
        <v>177</v>
      </c>
      <c r="M1754">
        <v>0.88500000000000001</v>
      </c>
      <c r="N1754" t="s">
        <v>21</v>
      </c>
    </row>
    <row r="1755" spans="1:14">
      <c r="A1755">
        <v>1599</v>
      </c>
      <c r="B1755" s="4">
        <v>44858</v>
      </c>
      <c r="C1755" s="5">
        <v>0.72430555555555554</v>
      </c>
      <c r="D1755" t="s">
        <v>166</v>
      </c>
      <c r="E1755" t="s">
        <v>23</v>
      </c>
      <c r="F1755">
        <v>28</v>
      </c>
      <c r="G1755" t="s">
        <v>20</v>
      </c>
      <c r="H1755">
        <v>2</v>
      </c>
      <c r="I1755">
        <v>50</v>
      </c>
      <c r="J1755">
        <v>20.5</v>
      </c>
      <c r="K1755">
        <v>100</v>
      </c>
      <c r="L1755">
        <v>79.5</v>
      </c>
      <c r="M1755">
        <v>0.79500000000000004</v>
      </c>
      <c r="N1755" t="s">
        <v>39</v>
      </c>
    </row>
    <row r="1756" spans="1:14">
      <c r="A1756">
        <v>1938</v>
      </c>
      <c r="B1756" s="4">
        <v>44846</v>
      </c>
      <c r="C1756" s="5">
        <v>0.84375</v>
      </c>
      <c r="D1756" t="s">
        <v>130</v>
      </c>
      <c r="E1756" t="s">
        <v>16</v>
      </c>
      <c r="F1756">
        <v>49</v>
      </c>
      <c r="G1756" t="s">
        <v>17</v>
      </c>
      <c r="H1756">
        <v>4</v>
      </c>
      <c r="I1756">
        <v>50</v>
      </c>
      <c r="J1756">
        <v>13.5</v>
      </c>
      <c r="K1756">
        <v>200</v>
      </c>
      <c r="L1756">
        <v>186.5</v>
      </c>
      <c r="M1756">
        <v>0.9325</v>
      </c>
      <c r="N1756" t="s">
        <v>21</v>
      </c>
    </row>
    <row r="1757" spans="1:14">
      <c r="A1757">
        <v>234</v>
      </c>
      <c r="B1757" s="4">
        <v>45269</v>
      </c>
      <c r="C1757" s="5">
        <v>0.73750000000000004</v>
      </c>
      <c r="D1757" t="s">
        <v>167</v>
      </c>
      <c r="E1757" t="s">
        <v>23</v>
      </c>
      <c r="F1757">
        <v>62</v>
      </c>
      <c r="G1757" t="s">
        <v>30</v>
      </c>
      <c r="H1757">
        <v>2</v>
      </c>
      <c r="I1757">
        <v>25</v>
      </c>
      <c r="J1757">
        <v>13.75</v>
      </c>
      <c r="K1757">
        <v>50</v>
      </c>
      <c r="L1757">
        <v>36.25</v>
      </c>
      <c r="M1757">
        <v>0.72499999999999998</v>
      </c>
      <c r="N1757" t="s">
        <v>28</v>
      </c>
    </row>
    <row r="1758" spans="1:14">
      <c r="A1758">
        <v>1234</v>
      </c>
      <c r="B1758" s="4">
        <v>45176</v>
      </c>
      <c r="C1758" s="5">
        <v>0.74027777777777781</v>
      </c>
      <c r="D1758" t="s">
        <v>92</v>
      </c>
      <c r="E1758" t="s">
        <v>23</v>
      </c>
      <c r="F1758">
        <v>62</v>
      </c>
      <c r="G1758" t="s">
        <v>30</v>
      </c>
      <c r="H1758">
        <v>2</v>
      </c>
      <c r="I1758">
        <v>25</v>
      </c>
      <c r="J1758">
        <v>8.25</v>
      </c>
      <c r="K1758">
        <v>50</v>
      </c>
      <c r="L1758">
        <v>41.75</v>
      </c>
      <c r="M1758">
        <v>0.83499999999999996</v>
      </c>
      <c r="N1758" t="s">
        <v>28</v>
      </c>
    </row>
    <row r="1759" spans="1:14">
      <c r="A1759">
        <v>410</v>
      </c>
      <c r="B1759" s="4">
        <v>45230</v>
      </c>
      <c r="C1759" s="5">
        <v>0.82013888888888886</v>
      </c>
      <c r="D1759" t="s">
        <v>167</v>
      </c>
      <c r="E1759" t="s">
        <v>23</v>
      </c>
      <c r="F1759">
        <v>29</v>
      </c>
      <c r="G1759" t="s">
        <v>17</v>
      </c>
      <c r="H1759">
        <v>2</v>
      </c>
      <c r="I1759">
        <v>50</v>
      </c>
      <c r="J1759">
        <v>14.5</v>
      </c>
      <c r="K1759">
        <v>100</v>
      </c>
      <c r="L1759">
        <v>85.5</v>
      </c>
      <c r="M1759">
        <v>0.85499999999999998</v>
      </c>
      <c r="N1759" t="s">
        <v>39</v>
      </c>
    </row>
    <row r="1760" spans="1:14">
      <c r="A1760">
        <v>417</v>
      </c>
      <c r="B1760" s="4">
        <v>45200</v>
      </c>
      <c r="C1760" s="5">
        <v>0.91874999999999996</v>
      </c>
      <c r="D1760" t="s">
        <v>162</v>
      </c>
      <c r="E1760" t="s">
        <v>16</v>
      </c>
      <c r="F1760">
        <v>43</v>
      </c>
      <c r="G1760" t="s">
        <v>30</v>
      </c>
      <c r="H1760">
        <v>3</v>
      </c>
      <c r="I1760">
        <v>300</v>
      </c>
      <c r="J1760">
        <v>162</v>
      </c>
      <c r="K1760">
        <v>900</v>
      </c>
      <c r="L1760">
        <v>738</v>
      </c>
      <c r="M1760">
        <v>0.82</v>
      </c>
      <c r="N1760" t="s">
        <v>18</v>
      </c>
    </row>
    <row r="1761" spans="1:14">
      <c r="A1761">
        <v>581</v>
      </c>
      <c r="B1761" s="4">
        <v>44910</v>
      </c>
      <c r="C1761" s="5">
        <v>0.88611111111111107</v>
      </c>
      <c r="D1761" t="s">
        <v>165</v>
      </c>
      <c r="E1761" t="s">
        <v>23</v>
      </c>
      <c r="F1761">
        <v>48</v>
      </c>
      <c r="G1761" t="s">
        <v>20</v>
      </c>
      <c r="H1761">
        <v>2</v>
      </c>
      <c r="I1761">
        <v>30</v>
      </c>
      <c r="J1761">
        <v>13.8</v>
      </c>
      <c r="K1761">
        <v>60</v>
      </c>
      <c r="L1761">
        <v>46.2</v>
      </c>
      <c r="M1761">
        <v>0.77</v>
      </c>
      <c r="N1761" t="s">
        <v>21</v>
      </c>
    </row>
    <row r="1762" spans="1:14">
      <c r="A1762">
        <v>1410</v>
      </c>
      <c r="B1762" s="4">
        <v>44850</v>
      </c>
      <c r="C1762" s="5">
        <v>0.78263888888888888</v>
      </c>
      <c r="D1762" t="s">
        <v>62</v>
      </c>
      <c r="E1762" t="s">
        <v>23</v>
      </c>
      <c r="F1762">
        <v>29</v>
      </c>
      <c r="G1762" t="s">
        <v>17</v>
      </c>
      <c r="H1762">
        <v>2</v>
      </c>
      <c r="I1762">
        <v>50</v>
      </c>
      <c r="J1762">
        <v>22.5</v>
      </c>
      <c r="K1762">
        <v>100</v>
      </c>
      <c r="L1762">
        <v>77.5</v>
      </c>
      <c r="M1762">
        <v>0.77500000000000002</v>
      </c>
      <c r="N1762" t="s">
        <v>39</v>
      </c>
    </row>
    <row r="1763" spans="1:14">
      <c r="A1763">
        <v>1417</v>
      </c>
      <c r="B1763" s="4">
        <v>44921</v>
      </c>
      <c r="C1763" s="5">
        <v>0.73819444444444449</v>
      </c>
      <c r="D1763" t="s">
        <v>29</v>
      </c>
      <c r="E1763" t="s">
        <v>16</v>
      </c>
      <c r="F1763">
        <v>43</v>
      </c>
      <c r="G1763" t="s">
        <v>30</v>
      </c>
      <c r="H1763">
        <v>3</v>
      </c>
      <c r="I1763">
        <v>300</v>
      </c>
      <c r="J1763">
        <v>147</v>
      </c>
      <c r="K1763">
        <v>900</v>
      </c>
      <c r="L1763">
        <v>753</v>
      </c>
      <c r="M1763">
        <v>0.83666666666666667</v>
      </c>
      <c r="N1763" t="s">
        <v>18</v>
      </c>
    </row>
    <row r="1764" spans="1:14">
      <c r="A1764">
        <v>1581</v>
      </c>
      <c r="B1764" s="4">
        <v>44915</v>
      </c>
      <c r="C1764" s="5">
        <v>0.7895833333333333</v>
      </c>
      <c r="D1764" t="s">
        <v>171</v>
      </c>
      <c r="E1764" t="s">
        <v>23</v>
      </c>
      <c r="F1764">
        <v>48</v>
      </c>
      <c r="G1764" t="s">
        <v>20</v>
      </c>
      <c r="H1764">
        <v>2</v>
      </c>
      <c r="I1764">
        <v>30</v>
      </c>
      <c r="J1764">
        <v>9.9</v>
      </c>
      <c r="K1764">
        <v>60</v>
      </c>
      <c r="L1764">
        <v>50.1</v>
      </c>
      <c r="M1764">
        <v>0.83500000000000008</v>
      </c>
      <c r="N1764" t="s">
        <v>21</v>
      </c>
    </row>
    <row r="1765" spans="1:14">
      <c r="A1765">
        <v>74</v>
      </c>
      <c r="B1765" s="4">
        <v>45204</v>
      </c>
      <c r="C1765" s="5">
        <v>0.82638888888888884</v>
      </c>
      <c r="D1765" t="s">
        <v>119</v>
      </c>
      <c r="E1765" t="s">
        <v>23</v>
      </c>
      <c r="F1765">
        <v>18</v>
      </c>
      <c r="G1765" t="s">
        <v>20</v>
      </c>
      <c r="H1765">
        <v>4</v>
      </c>
      <c r="I1765">
        <v>500</v>
      </c>
      <c r="J1765">
        <v>205</v>
      </c>
      <c r="K1765">
        <v>2000</v>
      </c>
      <c r="L1765">
        <v>1795</v>
      </c>
      <c r="M1765">
        <v>0.89749999999999996</v>
      </c>
      <c r="N1765" t="s">
        <v>31</v>
      </c>
    </row>
    <row r="1766" spans="1:14">
      <c r="A1766">
        <v>87</v>
      </c>
      <c r="B1766" s="4">
        <v>44811</v>
      </c>
      <c r="C1766" s="5">
        <v>0.75624999999999998</v>
      </c>
      <c r="D1766" t="s">
        <v>100</v>
      </c>
      <c r="E1766" t="s">
        <v>23</v>
      </c>
      <c r="F1766">
        <v>28</v>
      </c>
      <c r="G1766" t="s">
        <v>20</v>
      </c>
      <c r="H1766">
        <v>2</v>
      </c>
      <c r="I1766">
        <v>50</v>
      </c>
      <c r="J1766">
        <v>15.5</v>
      </c>
      <c r="K1766">
        <v>100</v>
      </c>
      <c r="L1766">
        <v>84.5</v>
      </c>
      <c r="M1766">
        <v>0.84499999999999997</v>
      </c>
      <c r="N1766" t="s">
        <v>39</v>
      </c>
    </row>
    <row r="1767" spans="1:14">
      <c r="A1767">
        <v>803</v>
      </c>
      <c r="B1767" s="4">
        <v>44859</v>
      </c>
      <c r="C1767" s="5">
        <v>0.71944444444444444</v>
      </c>
      <c r="D1767" t="s">
        <v>137</v>
      </c>
      <c r="E1767" t="s">
        <v>16</v>
      </c>
      <c r="F1767">
        <v>39</v>
      </c>
      <c r="G1767" t="s">
        <v>17</v>
      </c>
      <c r="H1767">
        <v>4</v>
      </c>
      <c r="I1767">
        <v>25</v>
      </c>
      <c r="J1767">
        <v>6.75</v>
      </c>
      <c r="K1767">
        <v>100</v>
      </c>
      <c r="L1767">
        <v>93.25</v>
      </c>
      <c r="M1767">
        <v>0.9325</v>
      </c>
      <c r="N1767" t="s">
        <v>18</v>
      </c>
    </row>
    <row r="1768" spans="1:14">
      <c r="A1768">
        <v>1074</v>
      </c>
      <c r="B1768" s="4">
        <v>44838</v>
      </c>
      <c r="C1768" s="5">
        <v>0.84583333333333333</v>
      </c>
      <c r="D1768" t="s">
        <v>52</v>
      </c>
      <c r="E1768" t="s">
        <v>23</v>
      </c>
      <c r="F1768">
        <v>18</v>
      </c>
      <c r="G1768" t="s">
        <v>20</v>
      </c>
      <c r="H1768">
        <v>4</v>
      </c>
      <c r="I1768">
        <v>500</v>
      </c>
      <c r="J1768">
        <v>230</v>
      </c>
      <c r="K1768">
        <v>2000</v>
      </c>
      <c r="L1768">
        <v>1770</v>
      </c>
      <c r="M1768">
        <v>0.88500000000000001</v>
      </c>
      <c r="N1768" t="s">
        <v>31</v>
      </c>
    </row>
    <row r="1769" spans="1:14">
      <c r="A1769">
        <v>1087</v>
      </c>
      <c r="B1769" s="4">
        <v>44873</v>
      </c>
      <c r="C1769" s="5">
        <v>0.95833333333333337</v>
      </c>
      <c r="D1769" t="s">
        <v>107</v>
      </c>
      <c r="E1769" t="s">
        <v>23</v>
      </c>
      <c r="F1769">
        <v>28</v>
      </c>
      <c r="G1769" t="s">
        <v>20</v>
      </c>
      <c r="H1769">
        <v>2</v>
      </c>
      <c r="I1769">
        <v>50</v>
      </c>
      <c r="J1769">
        <v>15</v>
      </c>
      <c r="K1769">
        <v>100</v>
      </c>
      <c r="L1769">
        <v>85</v>
      </c>
      <c r="M1769">
        <v>0.85</v>
      </c>
      <c r="N1769" t="s">
        <v>39</v>
      </c>
    </row>
    <row r="1770" spans="1:14">
      <c r="A1770">
        <v>1803</v>
      </c>
      <c r="B1770" s="4">
        <v>45286</v>
      </c>
      <c r="C1770" s="5">
        <v>0.81666666666666665</v>
      </c>
      <c r="D1770" t="s">
        <v>58</v>
      </c>
      <c r="E1770" t="s">
        <v>16</v>
      </c>
      <c r="F1770">
        <v>39</v>
      </c>
      <c r="G1770" t="s">
        <v>17</v>
      </c>
      <c r="H1770">
        <v>4</v>
      </c>
      <c r="I1770">
        <v>25</v>
      </c>
      <c r="J1770">
        <v>8.5</v>
      </c>
      <c r="K1770">
        <v>100</v>
      </c>
      <c r="L1770">
        <v>91.5</v>
      </c>
      <c r="M1770">
        <v>0.91500000000000004</v>
      </c>
      <c r="N1770" t="s">
        <v>18</v>
      </c>
    </row>
    <row r="1771" spans="1:14">
      <c r="A1771">
        <v>424</v>
      </c>
      <c r="B1771" s="4">
        <v>45280</v>
      </c>
      <c r="C1771" s="5">
        <v>0.80625000000000002</v>
      </c>
      <c r="D1771" t="s">
        <v>58</v>
      </c>
      <c r="E1771" t="s">
        <v>16</v>
      </c>
      <c r="F1771">
        <v>57</v>
      </c>
      <c r="G1771" t="s">
        <v>20</v>
      </c>
      <c r="H1771">
        <v>4</v>
      </c>
      <c r="I1771">
        <v>300</v>
      </c>
      <c r="J1771">
        <v>147</v>
      </c>
      <c r="K1771">
        <v>1200</v>
      </c>
      <c r="L1771">
        <v>1053</v>
      </c>
      <c r="M1771">
        <v>0.87749999999999995</v>
      </c>
      <c r="N1771" t="s">
        <v>28</v>
      </c>
    </row>
    <row r="1772" spans="1:14">
      <c r="A1772">
        <v>641</v>
      </c>
      <c r="B1772" s="4">
        <v>45285</v>
      </c>
      <c r="C1772" s="5">
        <v>0.77083333333333337</v>
      </c>
      <c r="D1772" t="s">
        <v>127</v>
      </c>
      <c r="E1772" t="s">
        <v>23</v>
      </c>
      <c r="F1772">
        <v>40</v>
      </c>
      <c r="G1772" t="s">
        <v>30</v>
      </c>
      <c r="H1772">
        <v>1</v>
      </c>
      <c r="I1772">
        <v>300</v>
      </c>
      <c r="J1772">
        <v>144</v>
      </c>
      <c r="K1772">
        <v>300</v>
      </c>
      <c r="L1772">
        <v>156</v>
      </c>
      <c r="M1772">
        <v>0.52</v>
      </c>
      <c r="N1772" t="s">
        <v>18</v>
      </c>
    </row>
    <row r="1773" spans="1:14">
      <c r="A1773">
        <v>918</v>
      </c>
      <c r="B1773" s="4">
        <v>45212</v>
      </c>
      <c r="C1773" s="5">
        <v>0.91597222222222219</v>
      </c>
      <c r="D1773" t="s">
        <v>69</v>
      </c>
      <c r="E1773" t="s">
        <v>23</v>
      </c>
      <c r="F1773">
        <v>42</v>
      </c>
      <c r="G1773" t="s">
        <v>30</v>
      </c>
      <c r="H1773">
        <v>3</v>
      </c>
      <c r="I1773">
        <v>30</v>
      </c>
      <c r="J1773">
        <v>16.2</v>
      </c>
      <c r="K1773">
        <v>90</v>
      </c>
      <c r="L1773">
        <v>73.8</v>
      </c>
      <c r="M1773">
        <v>0.82</v>
      </c>
      <c r="N1773" t="s">
        <v>18</v>
      </c>
    </row>
    <row r="1774" spans="1:14">
      <c r="A1774">
        <v>1424</v>
      </c>
      <c r="B1774" s="4">
        <v>45174</v>
      </c>
      <c r="C1774" s="5">
        <v>0.89722222222222225</v>
      </c>
      <c r="D1774" t="s">
        <v>29</v>
      </c>
      <c r="E1774" t="s">
        <v>16</v>
      </c>
      <c r="F1774">
        <v>57</v>
      </c>
      <c r="G1774" t="s">
        <v>20</v>
      </c>
      <c r="H1774">
        <v>4</v>
      </c>
      <c r="I1774">
        <v>300</v>
      </c>
      <c r="J1774">
        <v>111</v>
      </c>
      <c r="K1774">
        <v>1200</v>
      </c>
      <c r="L1774">
        <v>1089</v>
      </c>
      <c r="M1774">
        <v>0.90749999999999997</v>
      </c>
      <c r="N1774" t="s">
        <v>28</v>
      </c>
    </row>
    <row r="1775" spans="1:14">
      <c r="A1775">
        <v>1641</v>
      </c>
      <c r="B1775" s="4">
        <v>44805</v>
      </c>
      <c r="C1775" s="5">
        <v>0.7368055555555556</v>
      </c>
      <c r="D1775" t="s">
        <v>88</v>
      </c>
      <c r="E1775" t="s">
        <v>23</v>
      </c>
      <c r="F1775">
        <v>40</v>
      </c>
      <c r="G1775" t="s">
        <v>30</v>
      </c>
      <c r="H1775">
        <v>1</v>
      </c>
      <c r="I1775">
        <v>300</v>
      </c>
      <c r="J1775">
        <v>165</v>
      </c>
      <c r="K1775">
        <v>300</v>
      </c>
      <c r="L1775">
        <v>135</v>
      </c>
      <c r="M1775">
        <v>0.45</v>
      </c>
      <c r="N1775" t="s">
        <v>18</v>
      </c>
    </row>
    <row r="1776" spans="1:14">
      <c r="A1776">
        <v>1918</v>
      </c>
      <c r="B1776" s="4">
        <v>44905</v>
      </c>
      <c r="C1776" s="5">
        <v>0.9145833333333333</v>
      </c>
      <c r="D1776" t="s">
        <v>119</v>
      </c>
      <c r="E1776" t="s">
        <v>23</v>
      </c>
      <c r="F1776">
        <v>42</v>
      </c>
      <c r="G1776" t="s">
        <v>30</v>
      </c>
      <c r="H1776">
        <v>3</v>
      </c>
      <c r="I1776">
        <v>30</v>
      </c>
      <c r="J1776">
        <v>13.2</v>
      </c>
      <c r="K1776">
        <v>90</v>
      </c>
      <c r="L1776">
        <v>76.8</v>
      </c>
      <c r="M1776">
        <v>0.85333333333333328</v>
      </c>
      <c r="N1776" t="s">
        <v>18</v>
      </c>
    </row>
    <row r="1777" spans="1:14">
      <c r="A1777">
        <v>1</v>
      </c>
      <c r="B1777" s="4">
        <v>44911</v>
      </c>
      <c r="C1777" s="5">
        <v>0.79861111111111116</v>
      </c>
      <c r="D1777" t="s">
        <v>42</v>
      </c>
      <c r="E1777" t="s">
        <v>16</v>
      </c>
      <c r="F1777">
        <v>34</v>
      </c>
      <c r="G1777" t="s">
        <v>20</v>
      </c>
      <c r="H1777">
        <v>3</v>
      </c>
      <c r="I1777">
        <v>50</v>
      </c>
      <c r="J1777">
        <v>16</v>
      </c>
      <c r="K1777">
        <v>150</v>
      </c>
      <c r="L1777">
        <v>134</v>
      </c>
      <c r="M1777">
        <v>0.89333333333333331</v>
      </c>
      <c r="N1777" t="s">
        <v>39</v>
      </c>
    </row>
    <row r="1778" spans="1:14">
      <c r="A1778">
        <v>95</v>
      </c>
      <c r="B1778" s="4">
        <v>44871</v>
      </c>
      <c r="C1778" s="5">
        <v>0.83125000000000004</v>
      </c>
      <c r="D1778" t="s">
        <v>165</v>
      </c>
      <c r="E1778" t="s">
        <v>23</v>
      </c>
      <c r="F1778">
        <v>32</v>
      </c>
      <c r="G1778" t="s">
        <v>17</v>
      </c>
      <c r="H1778">
        <v>2</v>
      </c>
      <c r="I1778">
        <v>30</v>
      </c>
      <c r="J1778">
        <v>7.5</v>
      </c>
      <c r="K1778">
        <v>60</v>
      </c>
      <c r="L1778">
        <v>52.5</v>
      </c>
      <c r="M1778">
        <v>0.875</v>
      </c>
      <c r="N1778" t="s">
        <v>39</v>
      </c>
    </row>
    <row r="1779" spans="1:14">
      <c r="A1779">
        <v>171</v>
      </c>
      <c r="B1779" s="4">
        <v>44848</v>
      </c>
      <c r="C1779" s="5">
        <v>0.84027777777777779</v>
      </c>
      <c r="D1779" t="s">
        <v>162</v>
      </c>
      <c r="E1779" t="s">
        <v>23</v>
      </c>
      <c r="F1779">
        <v>52</v>
      </c>
      <c r="G1779" t="s">
        <v>17</v>
      </c>
      <c r="H1779">
        <v>3</v>
      </c>
      <c r="I1779">
        <v>300</v>
      </c>
      <c r="J1779">
        <v>126</v>
      </c>
      <c r="K1779">
        <v>900</v>
      </c>
      <c r="L1779">
        <v>774</v>
      </c>
      <c r="M1779">
        <v>0.86</v>
      </c>
      <c r="N1779" t="s">
        <v>21</v>
      </c>
    </row>
    <row r="1780" spans="1:14">
      <c r="A1780">
        <v>1001</v>
      </c>
      <c r="B1780" s="4">
        <v>45170</v>
      </c>
      <c r="C1780" s="5">
        <v>0.84097222222222223</v>
      </c>
      <c r="D1780" t="s">
        <v>149</v>
      </c>
      <c r="E1780" t="s">
        <v>16</v>
      </c>
      <c r="F1780">
        <v>34</v>
      </c>
      <c r="G1780" t="s">
        <v>20</v>
      </c>
      <c r="H1780">
        <v>3</v>
      </c>
      <c r="I1780">
        <v>50</v>
      </c>
      <c r="J1780">
        <v>22</v>
      </c>
      <c r="K1780">
        <v>150</v>
      </c>
      <c r="L1780">
        <v>128</v>
      </c>
      <c r="M1780">
        <v>0.85333333333333339</v>
      </c>
      <c r="N1780" t="s">
        <v>39</v>
      </c>
    </row>
    <row r="1781" spans="1:14">
      <c r="A1781">
        <v>1095</v>
      </c>
      <c r="B1781" s="4">
        <v>44809</v>
      </c>
      <c r="C1781" s="5">
        <v>0.74722222222222223</v>
      </c>
      <c r="D1781" t="s">
        <v>119</v>
      </c>
      <c r="E1781" t="s">
        <v>23</v>
      </c>
      <c r="F1781">
        <v>32</v>
      </c>
      <c r="G1781" t="s">
        <v>17</v>
      </c>
      <c r="H1781">
        <v>2</v>
      </c>
      <c r="I1781">
        <v>30</v>
      </c>
      <c r="J1781">
        <v>9.9</v>
      </c>
      <c r="K1781">
        <v>60</v>
      </c>
      <c r="L1781">
        <v>50.1</v>
      </c>
      <c r="M1781">
        <v>0.83500000000000008</v>
      </c>
      <c r="N1781" t="s">
        <v>39</v>
      </c>
    </row>
    <row r="1782" spans="1:14">
      <c r="A1782">
        <v>1171</v>
      </c>
      <c r="B1782" s="4">
        <v>44839</v>
      </c>
      <c r="C1782" s="5">
        <v>0.87847222222222221</v>
      </c>
      <c r="D1782" t="s">
        <v>116</v>
      </c>
      <c r="E1782" t="s">
        <v>23</v>
      </c>
      <c r="F1782">
        <v>52</v>
      </c>
      <c r="G1782" t="s">
        <v>17</v>
      </c>
      <c r="H1782">
        <v>3</v>
      </c>
      <c r="I1782">
        <v>300</v>
      </c>
      <c r="J1782">
        <v>84</v>
      </c>
      <c r="K1782">
        <v>900</v>
      </c>
      <c r="L1782">
        <v>816</v>
      </c>
      <c r="M1782">
        <v>0.90666666666666662</v>
      </c>
      <c r="N1782" t="s">
        <v>21</v>
      </c>
    </row>
    <row r="1783" spans="1:14">
      <c r="A1783">
        <v>156</v>
      </c>
      <c r="B1783" s="4">
        <v>44897</v>
      </c>
      <c r="C1783" s="5">
        <v>0.81527777777777777</v>
      </c>
      <c r="D1783" t="s">
        <v>137</v>
      </c>
      <c r="E1783" t="s">
        <v>23</v>
      </c>
      <c r="F1783">
        <v>43</v>
      </c>
      <c r="G1783" t="s">
        <v>17</v>
      </c>
      <c r="H1783">
        <v>4</v>
      </c>
      <c r="I1783">
        <v>25</v>
      </c>
      <c r="J1783">
        <v>7</v>
      </c>
      <c r="K1783">
        <v>100</v>
      </c>
      <c r="L1783">
        <v>93</v>
      </c>
      <c r="M1783">
        <v>0.93</v>
      </c>
      <c r="N1783" t="s">
        <v>18</v>
      </c>
    </row>
    <row r="1784" spans="1:14">
      <c r="A1784">
        <v>493</v>
      </c>
      <c r="B1784" s="4">
        <v>44896</v>
      </c>
      <c r="C1784" s="5">
        <v>0.84027777777777779</v>
      </c>
      <c r="D1784" t="s">
        <v>135</v>
      </c>
      <c r="E1784" t="s">
        <v>16</v>
      </c>
      <c r="F1784">
        <v>41</v>
      </c>
      <c r="G1784" t="s">
        <v>20</v>
      </c>
      <c r="H1784">
        <v>2</v>
      </c>
      <c r="I1784">
        <v>25</v>
      </c>
      <c r="J1784">
        <v>7.75</v>
      </c>
      <c r="K1784">
        <v>50</v>
      </c>
      <c r="L1784">
        <v>42.25</v>
      </c>
      <c r="M1784">
        <v>0.84499999999999997</v>
      </c>
      <c r="N1784" t="s">
        <v>18</v>
      </c>
    </row>
    <row r="1785" spans="1:14">
      <c r="A1785">
        <v>1156</v>
      </c>
      <c r="B1785" s="4">
        <v>44921</v>
      </c>
      <c r="C1785" s="5">
        <v>0.88194444444444442</v>
      </c>
      <c r="D1785" t="s">
        <v>47</v>
      </c>
      <c r="E1785" t="s">
        <v>23</v>
      </c>
      <c r="F1785">
        <v>43</v>
      </c>
      <c r="G1785" t="s">
        <v>17</v>
      </c>
      <c r="H1785">
        <v>4</v>
      </c>
      <c r="I1785">
        <v>25</v>
      </c>
      <c r="J1785">
        <v>13.5</v>
      </c>
      <c r="K1785">
        <v>100</v>
      </c>
      <c r="L1785">
        <v>86.5</v>
      </c>
      <c r="M1785">
        <v>0.86499999999999999</v>
      </c>
      <c r="N1785" t="s">
        <v>18</v>
      </c>
    </row>
    <row r="1786" spans="1:14">
      <c r="A1786">
        <v>1493</v>
      </c>
      <c r="B1786" s="4">
        <v>45256</v>
      </c>
      <c r="C1786" s="5">
        <v>0.90902777777777777</v>
      </c>
      <c r="D1786" t="s">
        <v>35</v>
      </c>
      <c r="E1786" t="s">
        <v>16</v>
      </c>
      <c r="F1786">
        <v>41</v>
      </c>
      <c r="G1786" t="s">
        <v>20</v>
      </c>
      <c r="H1786">
        <v>2</v>
      </c>
      <c r="I1786">
        <v>25</v>
      </c>
      <c r="J1786">
        <v>6.75</v>
      </c>
      <c r="K1786">
        <v>50</v>
      </c>
      <c r="L1786">
        <v>43.25</v>
      </c>
      <c r="M1786">
        <v>0.86499999999999999</v>
      </c>
      <c r="N1786" t="s">
        <v>18</v>
      </c>
    </row>
    <row r="1787" spans="1:14">
      <c r="A1787">
        <v>115</v>
      </c>
      <c r="B1787" s="4">
        <v>44806</v>
      </c>
      <c r="C1787" s="5">
        <v>0.80625000000000002</v>
      </c>
      <c r="D1787" t="s">
        <v>52</v>
      </c>
      <c r="E1787" t="s">
        <v>16</v>
      </c>
      <c r="F1787">
        <v>51</v>
      </c>
      <c r="G1787" t="s">
        <v>17</v>
      </c>
      <c r="H1787">
        <v>3</v>
      </c>
      <c r="I1787">
        <v>500</v>
      </c>
      <c r="J1787">
        <v>255</v>
      </c>
      <c r="K1787">
        <v>1500</v>
      </c>
      <c r="L1787">
        <v>1245</v>
      </c>
      <c r="M1787">
        <v>0.83</v>
      </c>
      <c r="N1787" t="s">
        <v>21</v>
      </c>
    </row>
    <row r="1788" spans="1:14">
      <c r="A1788">
        <v>715</v>
      </c>
      <c r="B1788" s="4">
        <v>44845</v>
      </c>
      <c r="C1788" s="5">
        <v>0.87291666666666667</v>
      </c>
      <c r="D1788" t="s">
        <v>83</v>
      </c>
      <c r="E1788" t="s">
        <v>23</v>
      </c>
      <c r="F1788">
        <v>42</v>
      </c>
      <c r="G1788" t="s">
        <v>20</v>
      </c>
      <c r="H1788">
        <v>4</v>
      </c>
      <c r="I1788">
        <v>25</v>
      </c>
      <c r="J1788">
        <v>6.25</v>
      </c>
      <c r="K1788">
        <v>100</v>
      </c>
      <c r="L1788">
        <v>93.75</v>
      </c>
      <c r="M1788">
        <v>0.9375</v>
      </c>
      <c r="N1788" t="s">
        <v>18</v>
      </c>
    </row>
    <row r="1789" spans="1:14">
      <c r="A1789">
        <v>1115</v>
      </c>
      <c r="B1789" s="4">
        <v>45190</v>
      </c>
      <c r="C1789" s="5">
        <v>0.7368055555555556</v>
      </c>
      <c r="D1789" t="s">
        <v>149</v>
      </c>
      <c r="E1789" t="s">
        <v>16</v>
      </c>
      <c r="F1789">
        <v>51</v>
      </c>
      <c r="G1789" t="s">
        <v>17</v>
      </c>
      <c r="H1789">
        <v>3</v>
      </c>
      <c r="I1789">
        <v>500</v>
      </c>
      <c r="J1789">
        <v>180</v>
      </c>
      <c r="K1789">
        <v>1500</v>
      </c>
      <c r="L1789">
        <v>1320</v>
      </c>
      <c r="M1789">
        <v>0.88</v>
      </c>
      <c r="N1789" t="s">
        <v>21</v>
      </c>
    </row>
    <row r="1790" spans="1:14">
      <c r="A1790">
        <v>1715</v>
      </c>
      <c r="B1790" s="4">
        <v>44925</v>
      </c>
      <c r="C1790" s="5">
        <v>0.81597222222222221</v>
      </c>
      <c r="D1790" t="s">
        <v>53</v>
      </c>
      <c r="E1790" t="s">
        <v>23</v>
      </c>
      <c r="F1790">
        <v>42</v>
      </c>
      <c r="G1790" t="s">
        <v>20</v>
      </c>
      <c r="H1790">
        <v>4</v>
      </c>
      <c r="I1790">
        <v>25</v>
      </c>
      <c r="J1790">
        <v>9.75</v>
      </c>
      <c r="K1790">
        <v>100</v>
      </c>
      <c r="L1790">
        <v>90.25</v>
      </c>
      <c r="M1790">
        <v>0.90249999999999997</v>
      </c>
      <c r="N1790" t="s">
        <v>18</v>
      </c>
    </row>
    <row r="1791" spans="1:14">
      <c r="A1791">
        <v>267</v>
      </c>
      <c r="B1791" s="4">
        <v>44884</v>
      </c>
      <c r="C1791" s="5">
        <v>0.74513888888888891</v>
      </c>
      <c r="D1791" t="s">
        <v>176</v>
      </c>
      <c r="E1791" t="s">
        <v>23</v>
      </c>
      <c r="F1791">
        <v>32</v>
      </c>
      <c r="G1791" t="s">
        <v>20</v>
      </c>
      <c r="H1791">
        <v>3</v>
      </c>
      <c r="I1791">
        <v>30</v>
      </c>
      <c r="J1791">
        <v>12</v>
      </c>
      <c r="K1791">
        <v>90</v>
      </c>
      <c r="L1791">
        <v>78</v>
      </c>
      <c r="M1791">
        <v>0.8666666666666667</v>
      </c>
      <c r="N1791" t="s">
        <v>39</v>
      </c>
    </row>
    <row r="1792" spans="1:14">
      <c r="A1792">
        <v>362</v>
      </c>
      <c r="B1792" s="4">
        <v>45196</v>
      </c>
      <c r="C1792" s="5">
        <v>0.94652777777777775</v>
      </c>
      <c r="D1792" t="s">
        <v>58</v>
      </c>
      <c r="E1792" t="s">
        <v>16</v>
      </c>
      <c r="F1792">
        <v>50</v>
      </c>
      <c r="G1792" t="s">
        <v>17</v>
      </c>
      <c r="H1792">
        <v>1</v>
      </c>
      <c r="I1792">
        <v>25</v>
      </c>
      <c r="J1792">
        <v>10.25</v>
      </c>
      <c r="K1792">
        <v>25</v>
      </c>
      <c r="L1792">
        <v>14.75</v>
      </c>
      <c r="M1792">
        <v>0.59</v>
      </c>
      <c r="N1792" t="s">
        <v>21</v>
      </c>
    </row>
    <row r="1793" spans="1:14">
      <c r="A1793">
        <v>856</v>
      </c>
      <c r="B1793" s="4">
        <v>44870</v>
      </c>
      <c r="C1793" s="5">
        <v>0.73819444444444449</v>
      </c>
      <c r="D1793" t="s">
        <v>37</v>
      </c>
      <c r="E1793" t="s">
        <v>16</v>
      </c>
      <c r="F1793">
        <v>54</v>
      </c>
      <c r="G1793" t="s">
        <v>30</v>
      </c>
      <c r="H1793">
        <v>4</v>
      </c>
      <c r="I1793">
        <v>30</v>
      </c>
      <c r="J1793">
        <v>9.3000000000000007</v>
      </c>
      <c r="K1793">
        <v>120</v>
      </c>
      <c r="L1793">
        <v>110.7</v>
      </c>
      <c r="M1793">
        <v>0.92249999999999999</v>
      </c>
      <c r="N1793" t="s">
        <v>21</v>
      </c>
    </row>
    <row r="1794" spans="1:14">
      <c r="A1794">
        <v>1267</v>
      </c>
      <c r="B1794" s="4">
        <v>44918</v>
      </c>
      <c r="C1794" s="5">
        <v>0.87708333333333333</v>
      </c>
      <c r="D1794" t="s">
        <v>173</v>
      </c>
      <c r="E1794" t="s">
        <v>23</v>
      </c>
      <c r="F1794">
        <v>32</v>
      </c>
      <c r="G1794" t="s">
        <v>20</v>
      </c>
      <c r="H1794">
        <v>3</v>
      </c>
      <c r="I1794">
        <v>30</v>
      </c>
      <c r="J1794">
        <v>9.6</v>
      </c>
      <c r="K1794">
        <v>90</v>
      </c>
      <c r="L1794">
        <v>80.400000000000006</v>
      </c>
      <c r="M1794">
        <v>0.89333333333333342</v>
      </c>
      <c r="N1794" t="s">
        <v>39</v>
      </c>
    </row>
    <row r="1795" spans="1:14">
      <c r="A1795">
        <v>1362</v>
      </c>
      <c r="B1795" s="4">
        <v>45251</v>
      </c>
      <c r="C1795" s="5">
        <v>0.78680555555555554</v>
      </c>
      <c r="D1795" t="s">
        <v>100</v>
      </c>
      <c r="E1795" t="s">
        <v>16</v>
      </c>
      <c r="F1795">
        <v>50</v>
      </c>
      <c r="G1795" t="s">
        <v>17</v>
      </c>
      <c r="H1795">
        <v>1</v>
      </c>
      <c r="I1795">
        <v>25</v>
      </c>
      <c r="J1795">
        <v>11</v>
      </c>
      <c r="K1795">
        <v>25</v>
      </c>
      <c r="L1795">
        <v>14</v>
      </c>
      <c r="M1795">
        <v>0.56000000000000005</v>
      </c>
      <c r="N1795" t="s">
        <v>21</v>
      </c>
    </row>
    <row r="1796" spans="1:14">
      <c r="A1796">
        <v>1856</v>
      </c>
      <c r="B1796" s="4">
        <v>45280</v>
      </c>
      <c r="C1796" s="5">
        <v>0.89861111111111114</v>
      </c>
      <c r="D1796" t="s">
        <v>69</v>
      </c>
      <c r="E1796" t="s">
        <v>16</v>
      </c>
      <c r="F1796">
        <v>54</v>
      </c>
      <c r="G1796" t="s">
        <v>30</v>
      </c>
      <c r="H1796">
        <v>4</v>
      </c>
      <c r="I1796">
        <v>30</v>
      </c>
      <c r="J1796">
        <v>16.2</v>
      </c>
      <c r="K1796">
        <v>120</v>
      </c>
      <c r="L1796">
        <v>103.8</v>
      </c>
      <c r="M1796">
        <v>0.86499999999999999</v>
      </c>
      <c r="N1796" t="s">
        <v>21</v>
      </c>
    </row>
    <row r="1797" spans="1:14">
      <c r="A1797">
        <v>84</v>
      </c>
      <c r="B1797" s="4">
        <v>45240</v>
      </c>
      <c r="C1797" s="5">
        <v>0.72013888888888888</v>
      </c>
      <c r="D1797" t="s">
        <v>53</v>
      </c>
      <c r="E1797" t="s">
        <v>23</v>
      </c>
      <c r="F1797">
        <v>38</v>
      </c>
      <c r="G1797" t="s">
        <v>30</v>
      </c>
      <c r="H1797">
        <v>3</v>
      </c>
      <c r="I1797">
        <v>30</v>
      </c>
      <c r="J1797">
        <v>10.199999999999999</v>
      </c>
      <c r="K1797">
        <v>90</v>
      </c>
      <c r="L1797">
        <v>79.8</v>
      </c>
      <c r="M1797">
        <v>0.8866666666666666</v>
      </c>
      <c r="N1797" t="s">
        <v>18</v>
      </c>
    </row>
    <row r="1798" spans="1:14">
      <c r="A1798">
        <v>795</v>
      </c>
      <c r="B1798" s="4">
        <v>45202</v>
      </c>
      <c r="C1798" s="5">
        <v>0.82708333333333328</v>
      </c>
      <c r="D1798" t="s">
        <v>67</v>
      </c>
      <c r="E1798" t="s">
        <v>16</v>
      </c>
      <c r="F1798">
        <v>57</v>
      </c>
      <c r="G1798" t="s">
        <v>30</v>
      </c>
      <c r="H1798">
        <v>1</v>
      </c>
      <c r="I1798">
        <v>300</v>
      </c>
      <c r="J1798">
        <v>102</v>
      </c>
      <c r="K1798">
        <v>300</v>
      </c>
      <c r="L1798">
        <v>198</v>
      </c>
      <c r="M1798">
        <v>0.66</v>
      </c>
      <c r="N1798" t="s">
        <v>28</v>
      </c>
    </row>
    <row r="1799" spans="1:14">
      <c r="A1799">
        <v>1084</v>
      </c>
      <c r="B1799" s="4">
        <v>44857</v>
      </c>
      <c r="C1799" s="5">
        <v>0.85902777777777772</v>
      </c>
      <c r="D1799" t="s">
        <v>134</v>
      </c>
      <c r="E1799" t="s">
        <v>23</v>
      </c>
      <c r="F1799">
        <v>38</v>
      </c>
      <c r="G1799" t="s">
        <v>30</v>
      </c>
      <c r="H1799">
        <v>3</v>
      </c>
      <c r="I1799">
        <v>30</v>
      </c>
      <c r="J1799">
        <v>7.8</v>
      </c>
      <c r="K1799">
        <v>90</v>
      </c>
      <c r="L1799">
        <v>82.2</v>
      </c>
      <c r="M1799">
        <v>0.91333333333333333</v>
      </c>
      <c r="N1799" t="s">
        <v>18</v>
      </c>
    </row>
    <row r="1800" spans="1:14">
      <c r="A1800">
        <v>1795</v>
      </c>
      <c r="B1800" s="4">
        <v>45289</v>
      </c>
      <c r="C1800" s="5">
        <v>0.78472222222222221</v>
      </c>
      <c r="D1800" t="s">
        <v>93</v>
      </c>
      <c r="E1800" t="s">
        <v>16</v>
      </c>
      <c r="F1800">
        <v>57</v>
      </c>
      <c r="G1800" t="s">
        <v>30</v>
      </c>
      <c r="H1800">
        <v>1</v>
      </c>
      <c r="I1800">
        <v>300</v>
      </c>
      <c r="J1800">
        <v>105</v>
      </c>
      <c r="K1800">
        <v>300</v>
      </c>
      <c r="L1800">
        <v>195</v>
      </c>
      <c r="M1800">
        <v>0.65</v>
      </c>
      <c r="N1800" t="s">
        <v>28</v>
      </c>
    </row>
    <row r="1801" spans="1:14">
      <c r="A1801">
        <v>24</v>
      </c>
      <c r="B1801" s="4">
        <v>45274</v>
      </c>
      <c r="C1801" s="5">
        <v>0.95763888888888893</v>
      </c>
      <c r="D1801" t="s">
        <v>36</v>
      </c>
      <c r="E1801" t="s">
        <v>23</v>
      </c>
      <c r="F1801">
        <v>49</v>
      </c>
      <c r="G1801" t="s">
        <v>17</v>
      </c>
      <c r="H1801">
        <v>1</v>
      </c>
      <c r="I1801">
        <v>300</v>
      </c>
      <c r="J1801">
        <v>87</v>
      </c>
      <c r="K1801">
        <v>300</v>
      </c>
      <c r="L1801">
        <v>213</v>
      </c>
      <c r="M1801">
        <v>0.71</v>
      </c>
      <c r="N1801" t="s">
        <v>21</v>
      </c>
    </row>
    <row r="1802" spans="1:14">
      <c r="A1802">
        <v>215</v>
      </c>
      <c r="B1802" s="4">
        <v>44837</v>
      </c>
      <c r="C1802" s="5">
        <v>0.88888888888888884</v>
      </c>
      <c r="D1802" t="s">
        <v>58</v>
      </c>
      <c r="E1802" t="s">
        <v>16</v>
      </c>
      <c r="F1802">
        <v>58</v>
      </c>
      <c r="G1802" t="s">
        <v>17</v>
      </c>
      <c r="H1802">
        <v>3</v>
      </c>
      <c r="I1802">
        <v>500</v>
      </c>
      <c r="J1802">
        <v>145</v>
      </c>
      <c r="K1802">
        <v>1500</v>
      </c>
      <c r="L1802">
        <v>1355</v>
      </c>
      <c r="M1802">
        <v>0.90333333333333332</v>
      </c>
      <c r="N1802" t="s">
        <v>28</v>
      </c>
    </row>
    <row r="1803" spans="1:14">
      <c r="A1803">
        <v>739</v>
      </c>
      <c r="B1803" s="4">
        <v>45213</v>
      </c>
      <c r="C1803" s="5">
        <v>0.71458333333333335</v>
      </c>
      <c r="D1803" t="s">
        <v>64</v>
      </c>
      <c r="E1803" t="s">
        <v>16</v>
      </c>
      <c r="F1803">
        <v>36</v>
      </c>
      <c r="G1803" t="s">
        <v>20</v>
      </c>
      <c r="H1803">
        <v>1</v>
      </c>
      <c r="I1803">
        <v>25</v>
      </c>
      <c r="J1803">
        <v>10.25</v>
      </c>
      <c r="K1803">
        <v>25</v>
      </c>
      <c r="L1803">
        <v>14.75</v>
      </c>
      <c r="M1803">
        <v>0.59</v>
      </c>
      <c r="N1803" t="s">
        <v>18</v>
      </c>
    </row>
    <row r="1804" spans="1:14">
      <c r="A1804">
        <v>1024</v>
      </c>
      <c r="B1804" s="4">
        <v>45263</v>
      </c>
      <c r="C1804" s="5">
        <v>0.91041666666666665</v>
      </c>
      <c r="D1804" t="s">
        <v>62</v>
      </c>
      <c r="E1804" t="s">
        <v>23</v>
      </c>
      <c r="F1804">
        <v>49</v>
      </c>
      <c r="G1804" t="s">
        <v>17</v>
      </c>
      <c r="H1804">
        <v>1</v>
      </c>
      <c r="I1804">
        <v>300</v>
      </c>
      <c r="J1804">
        <v>126</v>
      </c>
      <c r="K1804">
        <v>300</v>
      </c>
      <c r="L1804">
        <v>174</v>
      </c>
      <c r="M1804">
        <v>0.57999999999999996</v>
      </c>
      <c r="N1804" t="s">
        <v>21</v>
      </c>
    </row>
    <row r="1805" spans="1:14">
      <c r="A1805">
        <v>1215</v>
      </c>
      <c r="B1805" s="4">
        <v>44884</v>
      </c>
      <c r="C1805" s="5">
        <v>0.86388888888888893</v>
      </c>
      <c r="D1805" t="s">
        <v>148</v>
      </c>
      <c r="E1805" t="s">
        <v>16</v>
      </c>
      <c r="F1805">
        <v>58</v>
      </c>
      <c r="G1805" t="s">
        <v>17</v>
      </c>
      <c r="H1805">
        <v>3</v>
      </c>
      <c r="I1805">
        <v>500</v>
      </c>
      <c r="J1805">
        <v>130</v>
      </c>
      <c r="K1805">
        <v>1500</v>
      </c>
      <c r="L1805">
        <v>1370</v>
      </c>
      <c r="M1805">
        <v>0.91333333333333333</v>
      </c>
      <c r="N1805" t="s">
        <v>28</v>
      </c>
    </row>
    <row r="1806" spans="1:14">
      <c r="A1806">
        <v>1739</v>
      </c>
      <c r="B1806" s="4">
        <v>45224</v>
      </c>
      <c r="C1806" s="5">
        <v>0.74444444444444446</v>
      </c>
      <c r="D1806" t="s">
        <v>52</v>
      </c>
      <c r="E1806" t="s">
        <v>16</v>
      </c>
      <c r="F1806">
        <v>36</v>
      </c>
      <c r="G1806" t="s">
        <v>20</v>
      </c>
      <c r="H1806">
        <v>1</v>
      </c>
      <c r="I1806">
        <v>25</v>
      </c>
      <c r="J1806">
        <v>11.25</v>
      </c>
      <c r="K1806">
        <v>25</v>
      </c>
      <c r="L1806">
        <v>13.75</v>
      </c>
      <c r="M1806">
        <v>0.55000000000000004</v>
      </c>
      <c r="N1806" t="s">
        <v>18</v>
      </c>
    </row>
    <row r="1807" spans="1:14">
      <c r="A1807">
        <v>289</v>
      </c>
      <c r="B1807" s="4">
        <v>45178</v>
      </c>
      <c r="C1807" s="5">
        <v>0.85347222222222219</v>
      </c>
      <c r="D1807" t="s">
        <v>148</v>
      </c>
      <c r="E1807" t="s">
        <v>16</v>
      </c>
      <c r="F1807">
        <v>53</v>
      </c>
      <c r="G1807" t="s">
        <v>30</v>
      </c>
      <c r="H1807">
        <v>2</v>
      </c>
      <c r="I1807">
        <v>30</v>
      </c>
      <c r="J1807">
        <v>8.1</v>
      </c>
      <c r="K1807">
        <v>60</v>
      </c>
      <c r="L1807">
        <v>51.9</v>
      </c>
      <c r="M1807">
        <v>0.86499999999999999</v>
      </c>
      <c r="N1807" t="s">
        <v>21</v>
      </c>
    </row>
    <row r="1808" spans="1:14">
      <c r="A1808">
        <v>741</v>
      </c>
      <c r="B1808" s="4">
        <v>44919</v>
      </c>
      <c r="C1808" s="5">
        <v>0.9375</v>
      </c>
      <c r="D1808" t="s">
        <v>158</v>
      </c>
      <c r="E1808" t="s">
        <v>16</v>
      </c>
      <c r="F1808">
        <v>48</v>
      </c>
      <c r="G1808" t="s">
        <v>17</v>
      </c>
      <c r="H1808">
        <v>1</v>
      </c>
      <c r="I1808">
        <v>300</v>
      </c>
      <c r="J1808">
        <v>141</v>
      </c>
      <c r="K1808">
        <v>300</v>
      </c>
      <c r="L1808">
        <v>159</v>
      </c>
      <c r="M1808">
        <v>0.53</v>
      </c>
      <c r="N1808" t="s">
        <v>21</v>
      </c>
    </row>
    <row r="1809" spans="1:14">
      <c r="A1809">
        <v>810</v>
      </c>
      <c r="B1809" s="4">
        <v>44896</v>
      </c>
      <c r="C1809" s="5">
        <v>0.75277777777777777</v>
      </c>
      <c r="D1809" t="s">
        <v>130</v>
      </c>
      <c r="E1809" t="s">
        <v>16</v>
      </c>
      <c r="F1809">
        <v>59</v>
      </c>
      <c r="G1809" t="s">
        <v>30</v>
      </c>
      <c r="H1809">
        <v>4</v>
      </c>
      <c r="I1809">
        <v>25</v>
      </c>
      <c r="J1809">
        <v>13.75</v>
      </c>
      <c r="K1809">
        <v>100</v>
      </c>
      <c r="L1809">
        <v>86.25</v>
      </c>
      <c r="M1809">
        <v>0.86250000000000004</v>
      </c>
      <c r="N1809" t="s">
        <v>28</v>
      </c>
    </row>
    <row r="1810" spans="1:14">
      <c r="A1810">
        <v>1289</v>
      </c>
      <c r="B1810" s="4">
        <v>45209</v>
      </c>
      <c r="C1810" s="5">
        <v>0.81597222222222221</v>
      </c>
      <c r="D1810" t="s">
        <v>174</v>
      </c>
      <c r="E1810" t="s">
        <v>16</v>
      </c>
      <c r="F1810">
        <v>53</v>
      </c>
      <c r="G1810" t="s">
        <v>30</v>
      </c>
      <c r="H1810">
        <v>2</v>
      </c>
      <c r="I1810">
        <v>30</v>
      </c>
      <c r="J1810">
        <v>16.2</v>
      </c>
      <c r="K1810">
        <v>60</v>
      </c>
      <c r="L1810">
        <v>43.8</v>
      </c>
      <c r="M1810">
        <v>0.73</v>
      </c>
      <c r="N1810" t="s">
        <v>21</v>
      </c>
    </row>
    <row r="1811" spans="1:14">
      <c r="A1811">
        <v>1741</v>
      </c>
      <c r="B1811" s="4">
        <v>45171</v>
      </c>
      <c r="C1811" s="5">
        <v>0.86597222222222225</v>
      </c>
      <c r="D1811" t="s">
        <v>144</v>
      </c>
      <c r="E1811" t="s">
        <v>16</v>
      </c>
      <c r="F1811">
        <v>48</v>
      </c>
      <c r="G1811" t="s">
        <v>17</v>
      </c>
      <c r="H1811">
        <v>1</v>
      </c>
      <c r="I1811">
        <v>300</v>
      </c>
      <c r="J1811">
        <v>132</v>
      </c>
      <c r="K1811">
        <v>300</v>
      </c>
      <c r="L1811">
        <v>168</v>
      </c>
      <c r="M1811">
        <v>0.56000000000000005</v>
      </c>
      <c r="N1811" t="s">
        <v>21</v>
      </c>
    </row>
    <row r="1812" spans="1:14">
      <c r="A1812">
        <v>1810</v>
      </c>
      <c r="B1812" s="4">
        <v>45191</v>
      </c>
      <c r="C1812" s="5">
        <v>0.77013888888888893</v>
      </c>
      <c r="D1812" t="s">
        <v>109</v>
      </c>
      <c r="E1812" t="s">
        <v>16</v>
      </c>
      <c r="F1812">
        <v>59</v>
      </c>
      <c r="G1812" t="s">
        <v>30</v>
      </c>
      <c r="H1812">
        <v>4</v>
      </c>
      <c r="I1812">
        <v>25</v>
      </c>
      <c r="J1812">
        <v>13.5</v>
      </c>
      <c r="K1812">
        <v>100</v>
      </c>
      <c r="L1812">
        <v>86.5</v>
      </c>
      <c r="M1812">
        <v>0.86499999999999999</v>
      </c>
      <c r="N1812" t="s">
        <v>28</v>
      </c>
    </row>
    <row r="1813" spans="1:14">
      <c r="A1813">
        <v>266</v>
      </c>
      <c r="B1813" s="4">
        <v>44816</v>
      </c>
      <c r="C1813" s="5">
        <v>0.7680555555555556</v>
      </c>
      <c r="D1813" t="s">
        <v>32</v>
      </c>
      <c r="E1813" t="s">
        <v>23</v>
      </c>
      <c r="F1813">
        <v>19</v>
      </c>
      <c r="G1813" t="s">
        <v>30</v>
      </c>
      <c r="H1813">
        <v>2</v>
      </c>
      <c r="I1813">
        <v>30</v>
      </c>
      <c r="J1813">
        <v>14.4</v>
      </c>
      <c r="K1813">
        <v>60</v>
      </c>
      <c r="L1813">
        <v>45.6</v>
      </c>
      <c r="M1813">
        <v>0.76</v>
      </c>
      <c r="N1813" t="s">
        <v>31</v>
      </c>
    </row>
    <row r="1814" spans="1:14">
      <c r="A1814">
        <v>389</v>
      </c>
      <c r="B1814" s="4">
        <v>44876</v>
      </c>
      <c r="C1814" s="5">
        <v>0.79583333333333328</v>
      </c>
      <c r="D1814" t="s">
        <v>162</v>
      </c>
      <c r="E1814" t="s">
        <v>16</v>
      </c>
      <c r="F1814">
        <v>21</v>
      </c>
      <c r="G1814" t="s">
        <v>17</v>
      </c>
      <c r="H1814">
        <v>2</v>
      </c>
      <c r="I1814">
        <v>25</v>
      </c>
      <c r="J1814">
        <v>12.25</v>
      </c>
      <c r="K1814">
        <v>50</v>
      </c>
      <c r="L1814">
        <v>37.75</v>
      </c>
      <c r="M1814">
        <v>0.755</v>
      </c>
      <c r="N1814" t="s">
        <v>31</v>
      </c>
    </row>
    <row r="1815" spans="1:14">
      <c r="A1815">
        <v>1266</v>
      </c>
      <c r="B1815" s="4">
        <v>45172</v>
      </c>
      <c r="C1815" s="5">
        <v>0.83888888888888891</v>
      </c>
      <c r="D1815" t="s">
        <v>180</v>
      </c>
      <c r="E1815" t="s">
        <v>23</v>
      </c>
      <c r="F1815">
        <v>19</v>
      </c>
      <c r="G1815" t="s">
        <v>30</v>
      </c>
      <c r="H1815">
        <v>2</v>
      </c>
      <c r="I1815">
        <v>30</v>
      </c>
      <c r="J1815">
        <v>15.6</v>
      </c>
      <c r="K1815">
        <v>60</v>
      </c>
      <c r="L1815">
        <v>44.4</v>
      </c>
      <c r="M1815">
        <v>0.74</v>
      </c>
      <c r="N1815" t="s">
        <v>31</v>
      </c>
    </row>
    <row r="1816" spans="1:14">
      <c r="A1816">
        <v>1389</v>
      </c>
      <c r="B1816" s="4">
        <v>45196</v>
      </c>
      <c r="C1816" s="5">
        <v>0.75763888888888886</v>
      </c>
      <c r="D1816" t="s">
        <v>137</v>
      </c>
      <c r="E1816" t="s">
        <v>16</v>
      </c>
      <c r="F1816">
        <v>21</v>
      </c>
      <c r="G1816" t="s">
        <v>17</v>
      </c>
      <c r="H1816">
        <v>2</v>
      </c>
      <c r="I1816">
        <v>25</v>
      </c>
      <c r="J1816">
        <v>9.5</v>
      </c>
      <c r="K1816">
        <v>50</v>
      </c>
      <c r="L1816">
        <v>40.5</v>
      </c>
      <c r="M1816">
        <v>0.81</v>
      </c>
      <c r="N1816" t="s">
        <v>31</v>
      </c>
    </row>
    <row r="1817" spans="1:14">
      <c r="A1817">
        <v>112</v>
      </c>
      <c r="B1817" s="4">
        <v>45285</v>
      </c>
      <c r="C1817" s="5">
        <v>0.78055555555555556</v>
      </c>
      <c r="D1817" t="s">
        <v>64</v>
      </c>
      <c r="E1817" t="s">
        <v>16</v>
      </c>
      <c r="F1817">
        <v>37</v>
      </c>
      <c r="G1817" t="s">
        <v>17</v>
      </c>
      <c r="H1817">
        <v>3</v>
      </c>
      <c r="I1817">
        <v>500</v>
      </c>
      <c r="J1817">
        <v>165</v>
      </c>
      <c r="K1817">
        <v>1500</v>
      </c>
      <c r="L1817">
        <v>1335</v>
      </c>
      <c r="M1817">
        <v>0.89</v>
      </c>
      <c r="N1817" t="s">
        <v>18</v>
      </c>
    </row>
    <row r="1818" spans="1:14">
      <c r="A1818">
        <v>566</v>
      </c>
      <c r="B1818" s="4">
        <v>44891</v>
      </c>
      <c r="C1818" s="5">
        <v>0.80208333333333337</v>
      </c>
      <c r="D1818" t="s">
        <v>109</v>
      </c>
      <c r="E1818" t="s">
        <v>23</v>
      </c>
      <c r="F1818">
        <v>64</v>
      </c>
      <c r="G1818" t="s">
        <v>17</v>
      </c>
      <c r="H1818">
        <v>1</v>
      </c>
      <c r="I1818">
        <v>30</v>
      </c>
      <c r="J1818">
        <v>8.4</v>
      </c>
      <c r="K1818">
        <v>30</v>
      </c>
      <c r="L1818">
        <v>21.6</v>
      </c>
      <c r="M1818">
        <v>0.72000000000000008</v>
      </c>
      <c r="N1818" t="s">
        <v>28</v>
      </c>
    </row>
    <row r="1819" spans="1:14">
      <c r="A1819">
        <v>608</v>
      </c>
      <c r="B1819" s="4">
        <v>44902</v>
      </c>
      <c r="C1819" s="5">
        <v>0.92986111111111114</v>
      </c>
      <c r="D1819" t="s">
        <v>142</v>
      </c>
      <c r="E1819" t="s">
        <v>23</v>
      </c>
      <c r="F1819">
        <v>55</v>
      </c>
      <c r="G1819" t="s">
        <v>30</v>
      </c>
      <c r="H1819">
        <v>3</v>
      </c>
      <c r="I1819">
        <v>500</v>
      </c>
      <c r="J1819">
        <v>200</v>
      </c>
      <c r="K1819">
        <v>1500</v>
      </c>
      <c r="L1819">
        <v>1300</v>
      </c>
      <c r="M1819">
        <v>0.8666666666666667</v>
      </c>
      <c r="N1819" t="s">
        <v>21</v>
      </c>
    </row>
    <row r="1820" spans="1:14">
      <c r="A1820">
        <v>1112</v>
      </c>
      <c r="B1820" s="4">
        <v>44917</v>
      </c>
      <c r="C1820" s="5">
        <v>0.71597222222222223</v>
      </c>
      <c r="D1820" t="s">
        <v>56</v>
      </c>
      <c r="E1820" t="s">
        <v>16</v>
      </c>
      <c r="F1820">
        <v>37</v>
      </c>
      <c r="G1820" t="s">
        <v>17</v>
      </c>
      <c r="H1820">
        <v>3</v>
      </c>
      <c r="I1820">
        <v>500</v>
      </c>
      <c r="J1820">
        <v>180</v>
      </c>
      <c r="K1820">
        <v>1500</v>
      </c>
      <c r="L1820">
        <v>1320</v>
      </c>
      <c r="M1820">
        <v>0.88</v>
      </c>
      <c r="N1820" t="s">
        <v>18</v>
      </c>
    </row>
    <row r="1821" spans="1:14">
      <c r="A1821">
        <v>1566</v>
      </c>
      <c r="B1821" s="4">
        <v>44837</v>
      </c>
      <c r="C1821" s="5">
        <v>0.76180555555555551</v>
      </c>
      <c r="D1821" t="s">
        <v>119</v>
      </c>
      <c r="E1821" t="s">
        <v>23</v>
      </c>
      <c r="F1821">
        <v>64</v>
      </c>
      <c r="G1821" t="s">
        <v>17</v>
      </c>
      <c r="H1821">
        <v>1</v>
      </c>
      <c r="I1821">
        <v>30</v>
      </c>
      <c r="J1821">
        <v>15.6</v>
      </c>
      <c r="K1821">
        <v>30</v>
      </c>
      <c r="L1821">
        <v>14.4</v>
      </c>
      <c r="M1821">
        <v>0.48000000000000004</v>
      </c>
      <c r="N1821" t="s">
        <v>28</v>
      </c>
    </row>
    <row r="1822" spans="1:14">
      <c r="A1822">
        <v>1608</v>
      </c>
      <c r="B1822" s="4">
        <v>45195</v>
      </c>
      <c r="C1822" s="5">
        <v>0.87569444444444444</v>
      </c>
      <c r="D1822" t="s">
        <v>116</v>
      </c>
      <c r="E1822" t="s">
        <v>23</v>
      </c>
      <c r="F1822">
        <v>55</v>
      </c>
      <c r="G1822" t="s">
        <v>30</v>
      </c>
      <c r="H1822">
        <v>3</v>
      </c>
      <c r="I1822">
        <v>500</v>
      </c>
      <c r="J1822">
        <v>265</v>
      </c>
      <c r="K1822">
        <v>1500</v>
      </c>
      <c r="L1822">
        <v>1235</v>
      </c>
      <c r="M1822">
        <v>0.82333333333333336</v>
      </c>
      <c r="N1822" t="s">
        <v>21</v>
      </c>
    </row>
    <row r="1823" spans="1:14">
      <c r="A1823">
        <v>348</v>
      </c>
      <c r="B1823" s="4">
        <v>44851</v>
      </c>
      <c r="C1823" s="5">
        <v>0.84722222222222221</v>
      </c>
      <c r="D1823" t="s">
        <v>174</v>
      </c>
      <c r="E1823" t="s">
        <v>23</v>
      </c>
      <c r="F1823">
        <v>35</v>
      </c>
      <c r="G1823" t="s">
        <v>30</v>
      </c>
      <c r="H1823">
        <v>2</v>
      </c>
      <c r="I1823">
        <v>300</v>
      </c>
      <c r="J1823">
        <v>147</v>
      </c>
      <c r="K1823">
        <v>600</v>
      </c>
      <c r="L1823">
        <v>453</v>
      </c>
      <c r="M1823">
        <v>0.755</v>
      </c>
      <c r="N1823" t="s">
        <v>39</v>
      </c>
    </row>
    <row r="1824" spans="1:14">
      <c r="A1824">
        <v>1348</v>
      </c>
      <c r="B1824" s="4">
        <v>45224</v>
      </c>
      <c r="C1824" s="5">
        <v>0.72291666666666665</v>
      </c>
      <c r="D1824" t="s">
        <v>180</v>
      </c>
      <c r="E1824" t="s">
        <v>23</v>
      </c>
      <c r="F1824">
        <v>35</v>
      </c>
      <c r="G1824" t="s">
        <v>30</v>
      </c>
      <c r="H1824">
        <v>2</v>
      </c>
      <c r="I1824">
        <v>300</v>
      </c>
      <c r="J1824">
        <v>87</v>
      </c>
      <c r="K1824">
        <v>600</v>
      </c>
      <c r="L1824">
        <v>513</v>
      </c>
      <c r="M1824">
        <v>0.85499999999999998</v>
      </c>
      <c r="N1824" t="s">
        <v>39</v>
      </c>
    </row>
    <row r="1825" spans="1:14">
      <c r="A1825">
        <v>199</v>
      </c>
      <c r="B1825" s="4">
        <v>45225</v>
      </c>
      <c r="C1825" s="5">
        <v>0.89861111111111114</v>
      </c>
      <c r="D1825" t="s">
        <v>158</v>
      </c>
      <c r="E1825" t="s">
        <v>16</v>
      </c>
      <c r="F1825">
        <v>45</v>
      </c>
      <c r="G1825" t="s">
        <v>20</v>
      </c>
      <c r="H1825">
        <v>3</v>
      </c>
      <c r="I1825">
        <v>500</v>
      </c>
      <c r="J1825">
        <v>135</v>
      </c>
      <c r="K1825">
        <v>1500</v>
      </c>
      <c r="L1825">
        <v>1365</v>
      </c>
      <c r="M1825">
        <v>0.91</v>
      </c>
      <c r="N1825" t="s">
        <v>18</v>
      </c>
    </row>
    <row r="1826" spans="1:14">
      <c r="A1826">
        <v>258</v>
      </c>
      <c r="B1826" s="4">
        <v>45289</v>
      </c>
      <c r="C1826" s="5">
        <v>0.73611111111111116</v>
      </c>
      <c r="D1826" t="s">
        <v>162</v>
      </c>
      <c r="E1826" t="s">
        <v>23</v>
      </c>
      <c r="F1826">
        <v>37</v>
      </c>
      <c r="G1826" t="s">
        <v>17</v>
      </c>
      <c r="H1826">
        <v>1</v>
      </c>
      <c r="I1826">
        <v>50</v>
      </c>
      <c r="J1826">
        <v>22</v>
      </c>
      <c r="K1826">
        <v>50</v>
      </c>
      <c r="L1826">
        <v>28</v>
      </c>
      <c r="M1826">
        <v>0.56000000000000005</v>
      </c>
      <c r="N1826" t="s">
        <v>18</v>
      </c>
    </row>
    <row r="1827" spans="1:14">
      <c r="A1827">
        <v>485</v>
      </c>
      <c r="B1827" s="4">
        <v>44873</v>
      </c>
      <c r="C1827" s="5">
        <v>0.72916666666666663</v>
      </c>
      <c r="D1827" t="s">
        <v>58</v>
      </c>
      <c r="E1827" t="s">
        <v>16</v>
      </c>
      <c r="F1827">
        <v>24</v>
      </c>
      <c r="G1827" t="s">
        <v>30</v>
      </c>
      <c r="H1827">
        <v>1</v>
      </c>
      <c r="I1827">
        <v>30</v>
      </c>
      <c r="J1827">
        <v>11.4</v>
      </c>
      <c r="K1827">
        <v>30</v>
      </c>
      <c r="L1827">
        <v>18.600000000000001</v>
      </c>
      <c r="M1827">
        <v>0.62</v>
      </c>
      <c r="N1827" t="s">
        <v>31</v>
      </c>
    </row>
    <row r="1828" spans="1:14">
      <c r="A1828">
        <v>576</v>
      </c>
      <c r="B1828" s="4">
        <v>45285</v>
      </c>
      <c r="C1828" s="5">
        <v>0.72916666666666663</v>
      </c>
      <c r="D1828" t="s">
        <v>156</v>
      </c>
      <c r="E1828" t="s">
        <v>23</v>
      </c>
      <c r="F1828">
        <v>33</v>
      </c>
      <c r="G1828" t="s">
        <v>20</v>
      </c>
      <c r="H1828">
        <v>3</v>
      </c>
      <c r="I1828">
        <v>50</v>
      </c>
      <c r="J1828">
        <v>20</v>
      </c>
      <c r="K1828">
        <v>150</v>
      </c>
      <c r="L1828">
        <v>130</v>
      </c>
      <c r="M1828">
        <v>0.8666666666666667</v>
      </c>
      <c r="N1828" t="s">
        <v>39</v>
      </c>
    </row>
    <row r="1829" spans="1:14">
      <c r="A1829">
        <v>1199</v>
      </c>
      <c r="B1829" s="4">
        <v>45276</v>
      </c>
      <c r="C1829" s="5">
        <v>0.74027777777777781</v>
      </c>
      <c r="D1829" t="s">
        <v>166</v>
      </c>
      <c r="E1829" t="s">
        <v>16</v>
      </c>
      <c r="F1829">
        <v>45</v>
      </c>
      <c r="G1829" t="s">
        <v>20</v>
      </c>
      <c r="H1829">
        <v>3</v>
      </c>
      <c r="I1829">
        <v>500</v>
      </c>
      <c r="J1829">
        <v>190</v>
      </c>
      <c r="K1829">
        <v>1500</v>
      </c>
      <c r="L1829">
        <v>1310</v>
      </c>
      <c r="M1829">
        <v>0.87333333333333329</v>
      </c>
      <c r="N1829" t="s">
        <v>18</v>
      </c>
    </row>
    <row r="1830" spans="1:14">
      <c r="A1830">
        <v>1258</v>
      </c>
      <c r="B1830" s="4">
        <v>44898</v>
      </c>
      <c r="C1830" s="5">
        <v>0.8520833333333333</v>
      </c>
      <c r="D1830" t="s">
        <v>167</v>
      </c>
      <c r="E1830" t="s">
        <v>23</v>
      </c>
      <c r="F1830">
        <v>37</v>
      </c>
      <c r="G1830" t="s">
        <v>17</v>
      </c>
      <c r="H1830">
        <v>1</v>
      </c>
      <c r="I1830">
        <v>50</v>
      </c>
      <c r="J1830">
        <v>21.5</v>
      </c>
      <c r="K1830">
        <v>50</v>
      </c>
      <c r="L1830">
        <v>28.5</v>
      </c>
      <c r="M1830">
        <v>0.56999999999999995</v>
      </c>
      <c r="N1830" t="s">
        <v>18</v>
      </c>
    </row>
    <row r="1831" spans="1:14">
      <c r="A1831">
        <v>1485</v>
      </c>
      <c r="B1831" s="4">
        <v>44828</v>
      </c>
      <c r="C1831" s="5">
        <v>0.77013888888888893</v>
      </c>
      <c r="D1831" t="s">
        <v>32</v>
      </c>
      <c r="E1831" t="s">
        <v>16</v>
      </c>
      <c r="F1831">
        <v>24</v>
      </c>
      <c r="G1831" t="s">
        <v>30</v>
      </c>
      <c r="H1831">
        <v>1</v>
      </c>
      <c r="I1831">
        <v>30</v>
      </c>
      <c r="J1831">
        <v>15.6</v>
      </c>
      <c r="K1831">
        <v>30</v>
      </c>
      <c r="L1831">
        <v>14.4</v>
      </c>
      <c r="M1831">
        <v>0.48000000000000004</v>
      </c>
      <c r="N1831" t="s">
        <v>31</v>
      </c>
    </row>
    <row r="1832" spans="1:14">
      <c r="A1832">
        <v>1576</v>
      </c>
      <c r="B1832" s="4">
        <v>44909</v>
      </c>
      <c r="C1832" s="5">
        <v>0.77361111111111114</v>
      </c>
      <c r="D1832" t="s">
        <v>171</v>
      </c>
      <c r="E1832" t="s">
        <v>23</v>
      </c>
      <c r="F1832">
        <v>33</v>
      </c>
      <c r="G1832" t="s">
        <v>20</v>
      </c>
      <c r="H1832">
        <v>3</v>
      </c>
      <c r="I1832">
        <v>50</v>
      </c>
      <c r="J1832">
        <v>27.5</v>
      </c>
      <c r="K1832">
        <v>150</v>
      </c>
      <c r="L1832">
        <v>122.5</v>
      </c>
      <c r="M1832">
        <v>0.81666666666666665</v>
      </c>
      <c r="N1832" t="s">
        <v>39</v>
      </c>
    </row>
    <row r="1833" spans="1:14">
      <c r="A1833">
        <v>65</v>
      </c>
      <c r="B1833" s="4">
        <v>44906</v>
      </c>
      <c r="C1833" s="5">
        <v>0.8354166666666667</v>
      </c>
      <c r="D1833" t="s">
        <v>176</v>
      </c>
      <c r="E1833" t="s">
        <v>16</v>
      </c>
      <c r="F1833">
        <v>51</v>
      </c>
      <c r="G1833" t="s">
        <v>30</v>
      </c>
      <c r="H1833">
        <v>4</v>
      </c>
      <c r="I1833">
        <v>500</v>
      </c>
      <c r="J1833">
        <v>160</v>
      </c>
      <c r="K1833">
        <v>2000</v>
      </c>
      <c r="L1833">
        <v>1840</v>
      </c>
      <c r="M1833">
        <v>0.92</v>
      </c>
      <c r="N1833" t="s">
        <v>21</v>
      </c>
    </row>
    <row r="1834" spans="1:14">
      <c r="A1834">
        <v>311</v>
      </c>
      <c r="B1834" s="4">
        <v>45250</v>
      </c>
      <c r="C1834" s="5">
        <v>0.87569444444444444</v>
      </c>
      <c r="D1834" t="s">
        <v>89</v>
      </c>
      <c r="E1834" t="s">
        <v>23</v>
      </c>
      <c r="F1834">
        <v>32</v>
      </c>
      <c r="G1834" t="s">
        <v>20</v>
      </c>
      <c r="H1834">
        <v>4</v>
      </c>
      <c r="I1834">
        <v>25</v>
      </c>
      <c r="J1834">
        <v>9.75</v>
      </c>
      <c r="K1834">
        <v>100</v>
      </c>
      <c r="L1834">
        <v>90.25</v>
      </c>
      <c r="M1834">
        <v>0.90249999999999997</v>
      </c>
      <c r="N1834" t="s">
        <v>39</v>
      </c>
    </row>
    <row r="1835" spans="1:14">
      <c r="A1835">
        <v>791</v>
      </c>
      <c r="B1835" s="4">
        <v>44808</v>
      </c>
      <c r="C1835" s="5">
        <v>0.68611111111111112</v>
      </c>
      <c r="D1835" t="s">
        <v>109</v>
      </c>
      <c r="E1835" t="s">
        <v>23</v>
      </c>
      <c r="F1835">
        <v>51</v>
      </c>
      <c r="G1835" t="s">
        <v>20</v>
      </c>
      <c r="H1835">
        <v>1</v>
      </c>
      <c r="I1835">
        <v>25</v>
      </c>
      <c r="J1835">
        <v>11.75</v>
      </c>
      <c r="K1835">
        <v>25</v>
      </c>
      <c r="L1835">
        <v>13.25</v>
      </c>
      <c r="M1835">
        <v>0.53</v>
      </c>
      <c r="N1835" t="s">
        <v>21</v>
      </c>
    </row>
    <row r="1836" spans="1:14">
      <c r="A1836">
        <v>971</v>
      </c>
      <c r="B1836" s="4">
        <v>45290</v>
      </c>
      <c r="C1836" s="5">
        <v>0.70138888888888884</v>
      </c>
      <c r="D1836" t="s">
        <v>167</v>
      </c>
      <c r="E1836" t="s">
        <v>23</v>
      </c>
      <c r="F1836">
        <v>27</v>
      </c>
      <c r="G1836" t="s">
        <v>30</v>
      </c>
      <c r="H1836">
        <v>4</v>
      </c>
      <c r="I1836">
        <v>50</v>
      </c>
      <c r="J1836">
        <v>26.5</v>
      </c>
      <c r="K1836">
        <v>200</v>
      </c>
      <c r="L1836">
        <v>173.5</v>
      </c>
      <c r="M1836">
        <v>0.86750000000000005</v>
      </c>
      <c r="N1836" t="s">
        <v>39</v>
      </c>
    </row>
    <row r="1837" spans="1:14">
      <c r="A1837">
        <v>999</v>
      </c>
      <c r="B1837" s="4">
        <v>44909</v>
      </c>
      <c r="C1837" s="5">
        <v>0.69791666666666663</v>
      </c>
      <c r="D1837" t="s">
        <v>166</v>
      </c>
      <c r="E1837" t="s">
        <v>23</v>
      </c>
      <c r="F1837">
        <v>36</v>
      </c>
      <c r="G1837" t="s">
        <v>30</v>
      </c>
      <c r="H1837">
        <v>3</v>
      </c>
      <c r="I1837">
        <v>50</v>
      </c>
      <c r="J1837">
        <v>21.5</v>
      </c>
      <c r="K1837">
        <v>150</v>
      </c>
      <c r="L1837">
        <v>128.5</v>
      </c>
      <c r="M1837">
        <v>0.85666666666666669</v>
      </c>
      <c r="N1837" t="s">
        <v>18</v>
      </c>
    </row>
    <row r="1838" spans="1:14">
      <c r="A1838">
        <v>1065</v>
      </c>
      <c r="B1838" s="4">
        <v>45223</v>
      </c>
      <c r="C1838" s="5">
        <v>0.63611111111111107</v>
      </c>
      <c r="D1838" t="s">
        <v>130</v>
      </c>
      <c r="E1838" t="s">
        <v>16</v>
      </c>
      <c r="F1838">
        <v>51</v>
      </c>
      <c r="G1838" t="s">
        <v>30</v>
      </c>
      <c r="H1838">
        <v>4</v>
      </c>
      <c r="I1838">
        <v>500</v>
      </c>
      <c r="J1838">
        <v>175</v>
      </c>
      <c r="K1838">
        <v>2000</v>
      </c>
      <c r="L1838">
        <v>1825</v>
      </c>
      <c r="M1838">
        <v>0.91249999999999998</v>
      </c>
      <c r="N1838" t="s">
        <v>21</v>
      </c>
    </row>
    <row r="1839" spans="1:14">
      <c r="A1839">
        <v>1311</v>
      </c>
      <c r="B1839" s="4">
        <v>45254</v>
      </c>
      <c r="C1839" s="5">
        <v>0.64027777777777772</v>
      </c>
      <c r="D1839" t="s">
        <v>176</v>
      </c>
      <c r="E1839" t="s">
        <v>23</v>
      </c>
      <c r="F1839">
        <v>32</v>
      </c>
      <c r="G1839" t="s">
        <v>20</v>
      </c>
      <c r="H1839">
        <v>4</v>
      </c>
      <c r="I1839">
        <v>25</v>
      </c>
      <c r="J1839">
        <v>9.25</v>
      </c>
      <c r="K1839">
        <v>100</v>
      </c>
      <c r="L1839">
        <v>90.75</v>
      </c>
      <c r="M1839">
        <v>0.90749999999999997</v>
      </c>
      <c r="N1839" t="s">
        <v>39</v>
      </c>
    </row>
    <row r="1840" spans="1:14">
      <c r="A1840">
        <v>1791</v>
      </c>
      <c r="B1840" s="4">
        <v>44840</v>
      </c>
      <c r="C1840" s="5">
        <v>0.61944444444444446</v>
      </c>
      <c r="D1840" t="s">
        <v>116</v>
      </c>
      <c r="E1840" t="s">
        <v>23</v>
      </c>
      <c r="F1840">
        <v>51</v>
      </c>
      <c r="G1840" t="s">
        <v>20</v>
      </c>
      <c r="H1840">
        <v>1</v>
      </c>
      <c r="I1840">
        <v>25</v>
      </c>
      <c r="J1840">
        <v>7</v>
      </c>
      <c r="K1840">
        <v>25</v>
      </c>
      <c r="L1840">
        <v>18</v>
      </c>
      <c r="M1840">
        <v>0.72</v>
      </c>
      <c r="N1840" t="s">
        <v>21</v>
      </c>
    </row>
    <row r="1841" spans="1:14">
      <c r="A1841">
        <v>1971</v>
      </c>
      <c r="B1841" s="4">
        <v>44816</v>
      </c>
      <c r="C1841" s="5">
        <v>0.67986111111111114</v>
      </c>
      <c r="D1841" t="s">
        <v>78</v>
      </c>
      <c r="E1841" t="s">
        <v>23</v>
      </c>
      <c r="F1841">
        <v>27</v>
      </c>
      <c r="G1841" t="s">
        <v>30</v>
      </c>
      <c r="H1841">
        <v>4</v>
      </c>
      <c r="I1841">
        <v>50</v>
      </c>
      <c r="J1841">
        <v>19</v>
      </c>
      <c r="K1841">
        <v>200</v>
      </c>
      <c r="L1841">
        <v>181</v>
      </c>
      <c r="M1841">
        <v>0.90500000000000003</v>
      </c>
      <c r="N1841" t="s">
        <v>39</v>
      </c>
    </row>
    <row r="1842" spans="1:14">
      <c r="A1842">
        <v>1999</v>
      </c>
      <c r="B1842" s="4">
        <v>44877</v>
      </c>
      <c r="C1842" s="5">
        <v>0.54583333333333328</v>
      </c>
      <c r="D1842" t="s">
        <v>89</v>
      </c>
      <c r="E1842" t="s">
        <v>23</v>
      </c>
      <c r="F1842">
        <v>36</v>
      </c>
      <c r="G1842" t="s">
        <v>30</v>
      </c>
      <c r="H1842">
        <v>3</v>
      </c>
      <c r="I1842">
        <v>50</v>
      </c>
      <c r="J1842">
        <v>13</v>
      </c>
      <c r="K1842">
        <v>150</v>
      </c>
      <c r="L1842">
        <v>137</v>
      </c>
      <c r="M1842">
        <v>0.91333333333333333</v>
      </c>
      <c r="N1842" t="s">
        <v>18</v>
      </c>
    </row>
    <row r="1843" spans="1:14">
      <c r="A1843">
        <v>395</v>
      </c>
      <c r="B1843" s="4">
        <v>44896</v>
      </c>
      <c r="C1843" s="5">
        <v>0.625</v>
      </c>
      <c r="D1843" t="s">
        <v>130</v>
      </c>
      <c r="E1843" t="s">
        <v>16</v>
      </c>
      <c r="F1843">
        <v>50</v>
      </c>
      <c r="G1843" t="s">
        <v>30</v>
      </c>
      <c r="H1843">
        <v>2</v>
      </c>
      <c r="I1843">
        <v>500</v>
      </c>
      <c r="J1843">
        <v>175</v>
      </c>
      <c r="K1843">
        <v>1000</v>
      </c>
      <c r="L1843">
        <v>825</v>
      </c>
      <c r="M1843">
        <v>0.82499999999999996</v>
      </c>
      <c r="N1843" t="s">
        <v>21</v>
      </c>
    </row>
    <row r="1844" spans="1:14">
      <c r="A1844">
        <v>535</v>
      </c>
      <c r="B1844" s="4">
        <v>45250</v>
      </c>
      <c r="C1844" s="5">
        <v>0.57361111111111107</v>
      </c>
      <c r="D1844" t="s">
        <v>36</v>
      </c>
      <c r="E1844" t="s">
        <v>16</v>
      </c>
      <c r="F1844">
        <v>47</v>
      </c>
      <c r="G1844" t="s">
        <v>20</v>
      </c>
      <c r="H1844">
        <v>3</v>
      </c>
      <c r="I1844">
        <v>30</v>
      </c>
      <c r="J1844">
        <v>16.2</v>
      </c>
      <c r="K1844">
        <v>90</v>
      </c>
      <c r="L1844">
        <v>73.8</v>
      </c>
      <c r="M1844">
        <v>0.82</v>
      </c>
      <c r="N1844" t="s">
        <v>21</v>
      </c>
    </row>
    <row r="1845" spans="1:14">
      <c r="A1845">
        <v>580</v>
      </c>
      <c r="B1845" s="4">
        <v>44879</v>
      </c>
      <c r="C1845" s="5">
        <v>0.61388888888888893</v>
      </c>
      <c r="D1845" t="s">
        <v>100</v>
      </c>
      <c r="E1845" t="s">
        <v>23</v>
      </c>
      <c r="F1845">
        <v>31</v>
      </c>
      <c r="G1845" t="s">
        <v>17</v>
      </c>
      <c r="H1845">
        <v>3</v>
      </c>
      <c r="I1845">
        <v>500</v>
      </c>
      <c r="J1845">
        <v>200</v>
      </c>
      <c r="K1845">
        <v>1500</v>
      </c>
      <c r="L1845">
        <v>1300</v>
      </c>
      <c r="M1845">
        <v>0.8666666666666667</v>
      </c>
      <c r="N1845" t="s">
        <v>39</v>
      </c>
    </row>
    <row r="1846" spans="1:14">
      <c r="A1846">
        <v>712</v>
      </c>
      <c r="B1846" s="4">
        <v>45181</v>
      </c>
      <c r="C1846" s="5">
        <v>0.59375</v>
      </c>
      <c r="D1846" t="s">
        <v>171</v>
      </c>
      <c r="E1846" t="s">
        <v>23</v>
      </c>
      <c r="F1846">
        <v>57</v>
      </c>
      <c r="G1846" t="s">
        <v>20</v>
      </c>
      <c r="H1846">
        <v>2</v>
      </c>
      <c r="I1846">
        <v>25</v>
      </c>
      <c r="J1846">
        <v>11.5</v>
      </c>
      <c r="K1846">
        <v>50</v>
      </c>
      <c r="L1846">
        <v>38.5</v>
      </c>
      <c r="M1846">
        <v>0.77</v>
      </c>
      <c r="N1846" t="s">
        <v>28</v>
      </c>
    </row>
    <row r="1847" spans="1:14">
      <c r="A1847">
        <v>868</v>
      </c>
      <c r="B1847" s="4">
        <v>45264</v>
      </c>
      <c r="C1847" s="5">
        <v>0.56874999999999998</v>
      </c>
      <c r="D1847" t="s">
        <v>166</v>
      </c>
      <c r="E1847" t="s">
        <v>23</v>
      </c>
      <c r="F1847">
        <v>25</v>
      </c>
      <c r="G1847" t="s">
        <v>30</v>
      </c>
      <c r="H1847">
        <v>1</v>
      </c>
      <c r="I1847">
        <v>300</v>
      </c>
      <c r="J1847">
        <v>111</v>
      </c>
      <c r="K1847">
        <v>300</v>
      </c>
      <c r="L1847">
        <v>189</v>
      </c>
      <c r="M1847">
        <v>0.63</v>
      </c>
      <c r="N1847" t="s">
        <v>31</v>
      </c>
    </row>
    <row r="1848" spans="1:14">
      <c r="A1848">
        <v>1395</v>
      </c>
      <c r="B1848" s="4">
        <v>45179</v>
      </c>
      <c r="C1848" s="5">
        <v>0.59583333333333333</v>
      </c>
      <c r="D1848" t="s">
        <v>173</v>
      </c>
      <c r="E1848" t="s">
        <v>16</v>
      </c>
      <c r="F1848">
        <v>50</v>
      </c>
      <c r="G1848" t="s">
        <v>30</v>
      </c>
      <c r="H1848">
        <v>2</v>
      </c>
      <c r="I1848">
        <v>500</v>
      </c>
      <c r="J1848">
        <v>130</v>
      </c>
      <c r="K1848">
        <v>1000</v>
      </c>
      <c r="L1848">
        <v>870</v>
      </c>
      <c r="M1848">
        <v>0.87</v>
      </c>
      <c r="N1848" t="s">
        <v>21</v>
      </c>
    </row>
    <row r="1849" spans="1:14">
      <c r="A1849">
        <v>1535</v>
      </c>
      <c r="B1849" s="4">
        <v>45278</v>
      </c>
      <c r="C1849" s="5">
        <v>0.64652777777777781</v>
      </c>
      <c r="D1849" t="s">
        <v>19</v>
      </c>
      <c r="E1849" t="s">
        <v>16</v>
      </c>
      <c r="F1849">
        <v>47</v>
      </c>
      <c r="G1849" t="s">
        <v>20</v>
      </c>
      <c r="H1849">
        <v>3</v>
      </c>
      <c r="I1849">
        <v>30</v>
      </c>
      <c r="J1849">
        <v>9.9</v>
      </c>
      <c r="K1849">
        <v>90</v>
      </c>
      <c r="L1849">
        <v>80.099999999999994</v>
      </c>
      <c r="M1849">
        <v>0.8899999999999999</v>
      </c>
      <c r="N1849" t="s">
        <v>21</v>
      </c>
    </row>
    <row r="1850" spans="1:14">
      <c r="A1850">
        <v>1580</v>
      </c>
      <c r="B1850" s="4">
        <v>45190</v>
      </c>
      <c r="C1850" s="5">
        <v>0.65763888888888888</v>
      </c>
      <c r="D1850" t="s">
        <v>127</v>
      </c>
      <c r="E1850" t="s">
        <v>23</v>
      </c>
      <c r="F1850">
        <v>31</v>
      </c>
      <c r="G1850" t="s">
        <v>17</v>
      </c>
      <c r="H1850">
        <v>3</v>
      </c>
      <c r="I1850">
        <v>500</v>
      </c>
      <c r="J1850">
        <v>250</v>
      </c>
      <c r="K1850">
        <v>1500</v>
      </c>
      <c r="L1850">
        <v>1250</v>
      </c>
      <c r="M1850">
        <v>0.83333333333333337</v>
      </c>
      <c r="N1850" t="s">
        <v>39</v>
      </c>
    </row>
    <row r="1851" spans="1:14">
      <c r="A1851">
        <v>1712</v>
      </c>
      <c r="B1851" s="4">
        <v>45255</v>
      </c>
      <c r="C1851" s="5">
        <v>0.69236111111111109</v>
      </c>
      <c r="D1851" t="s">
        <v>172</v>
      </c>
      <c r="E1851" t="s">
        <v>23</v>
      </c>
      <c r="F1851">
        <v>57</v>
      </c>
      <c r="G1851" t="s">
        <v>20</v>
      </c>
      <c r="H1851">
        <v>2</v>
      </c>
      <c r="I1851">
        <v>25</v>
      </c>
      <c r="J1851">
        <v>8.75</v>
      </c>
      <c r="K1851">
        <v>50</v>
      </c>
      <c r="L1851">
        <v>41.25</v>
      </c>
      <c r="M1851">
        <v>0.82499999999999996</v>
      </c>
      <c r="N1851" t="s">
        <v>28</v>
      </c>
    </row>
    <row r="1852" spans="1:14">
      <c r="A1852">
        <v>1868</v>
      </c>
      <c r="B1852" s="4">
        <v>44901</v>
      </c>
      <c r="C1852" s="5">
        <v>0.68263888888888891</v>
      </c>
      <c r="D1852" t="s">
        <v>92</v>
      </c>
      <c r="E1852" t="s">
        <v>23</v>
      </c>
      <c r="F1852">
        <v>25</v>
      </c>
      <c r="G1852" t="s">
        <v>30</v>
      </c>
      <c r="H1852">
        <v>1</v>
      </c>
      <c r="I1852">
        <v>300</v>
      </c>
      <c r="J1852">
        <v>138</v>
      </c>
      <c r="K1852">
        <v>300</v>
      </c>
      <c r="L1852">
        <v>162</v>
      </c>
      <c r="M1852">
        <v>0.54</v>
      </c>
      <c r="N1852" t="s">
        <v>31</v>
      </c>
    </row>
    <row r="1853" spans="1:14">
      <c r="A1853">
        <v>531</v>
      </c>
      <c r="B1853" s="4">
        <v>44842</v>
      </c>
      <c r="C1853" s="5">
        <v>0.52083333333333337</v>
      </c>
      <c r="D1853" t="s">
        <v>127</v>
      </c>
      <c r="E1853" t="s">
        <v>16</v>
      </c>
      <c r="F1853">
        <v>31</v>
      </c>
      <c r="G1853" t="s">
        <v>30</v>
      </c>
      <c r="H1853">
        <v>1</v>
      </c>
      <c r="I1853">
        <v>500</v>
      </c>
      <c r="J1853">
        <v>275</v>
      </c>
      <c r="K1853">
        <v>500</v>
      </c>
      <c r="L1853">
        <v>225</v>
      </c>
      <c r="M1853">
        <v>0.45</v>
      </c>
      <c r="N1853" t="s">
        <v>39</v>
      </c>
    </row>
    <row r="1854" spans="1:14">
      <c r="A1854">
        <v>550</v>
      </c>
      <c r="B1854" s="4">
        <v>45196</v>
      </c>
      <c r="C1854" s="5">
        <v>0.70694444444444449</v>
      </c>
      <c r="D1854" t="s">
        <v>72</v>
      </c>
      <c r="E1854" t="s">
        <v>16</v>
      </c>
      <c r="F1854">
        <v>40</v>
      </c>
      <c r="G1854" t="s">
        <v>17</v>
      </c>
      <c r="H1854">
        <v>3</v>
      </c>
      <c r="I1854">
        <v>300</v>
      </c>
      <c r="J1854">
        <v>90</v>
      </c>
      <c r="K1854">
        <v>900</v>
      </c>
      <c r="L1854">
        <v>810</v>
      </c>
      <c r="M1854">
        <v>0.9</v>
      </c>
      <c r="N1854" t="s">
        <v>18</v>
      </c>
    </row>
    <row r="1855" spans="1:14">
      <c r="A1855">
        <v>1531</v>
      </c>
      <c r="B1855" s="4">
        <v>44826</v>
      </c>
      <c r="C1855" s="5">
        <v>0.55486111111111114</v>
      </c>
      <c r="D1855" t="s">
        <v>119</v>
      </c>
      <c r="E1855" t="s">
        <v>16</v>
      </c>
      <c r="F1855">
        <v>31</v>
      </c>
      <c r="G1855" t="s">
        <v>30</v>
      </c>
      <c r="H1855">
        <v>1</v>
      </c>
      <c r="I1855">
        <v>500</v>
      </c>
      <c r="J1855">
        <v>250</v>
      </c>
      <c r="K1855">
        <v>500</v>
      </c>
      <c r="L1855">
        <v>250</v>
      </c>
      <c r="M1855">
        <v>0.5</v>
      </c>
      <c r="N1855" t="s">
        <v>39</v>
      </c>
    </row>
    <row r="1856" spans="1:14">
      <c r="A1856">
        <v>1550</v>
      </c>
      <c r="B1856" s="4">
        <v>44834</v>
      </c>
      <c r="C1856" s="5">
        <v>0.5493055555555556</v>
      </c>
      <c r="D1856" t="s">
        <v>178</v>
      </c>
      <c r="E1856" t="s">
        <v>16</v>
      </c>
      <c r="F1856">
        <v>40</v>
      </c>
      <c r="G1856" t="s">
        <v>17</v>
      </c>
      <c r="H1856">
        <v>3</v>
      </c>
      <c r="I1856">
        <v>300</v>
      </c>
      <c r="J1856">
        <v>147</v>
      </c>
      <c r="K1856">
        <v>900</v>
      </c>
      <c r="L1856">
        <v>753</v>
      </c>
      <c r="M1856">
        <v>0.83666666666666667</v>
      </c>
      <c r="N1856" t="s">
        <v>18</v>
      </c>
    </row>
    <row r="1857" spans="1:14">
      <c r="A1857">
        <v>392</v>
      </c>
      <c r="B1857" s="4">
        <v>44916</v>
      </c>
      <c r="C1857" s="5">
        <v>0.5493055555555556</v>
      </c>
      <c r="D1857" t="s">
        <v>55</v>
      </c>
      <c r="E1857" t="s">
        <v>16</v>
      </c>
      <c r="F1857">
        <v>27</v>
      </c>
      <c r="G1857" t="s">
        <v>17</v>
      </c>
      <c r="H1857">
        <v>2</v>
      </c>
      <c r="I1857">
        <v>300</v>
      </c>
      <c r="J1857">
        <v>78</v>
      </c>
      <c r="K1857">
        <v>600</v>
      </c>
      <c r="L1857">
        <v>522</v>
      </c>
      <c r="M1857">
        <v>0.87</v>
      </c>
      <c r="N1857" t="s">
        <v>39</v>
      </c>
    </row>
    <row r="1858" spans="1:14">
      <c r="A1858">
        <v>453</v>
      </c>
      <c r="B1858" s="4">
        <v>44848</v>
      </c>
      <c r="C1858" s="5">
        <v>0.61458333333333337</v>
      </c>
      <c r="D1858" t="s">
        <v>78</v>
      </c>
      <c r="E1858" t="s">
        <v>23</v>
      </c>
      <c r="F1858">
        <v>26</v>
      </c>
      <c r="G1858" t="s">
        <v>17</v>
      </c>
      <c r="H1858">
        <v>2</v>
      </c>
      <c r="I1858">
        <v>500</v>
      </c>
      <c r="J1858">
        <v>265</v>
      </c>
      <c r="K1858">
        <v>1000</v>
      </c>
      <c r="L1858">
        <v>735</v>
      </c>
      <c r="M1858">
        <v>0.73499999999999999</v>
      </c>
      <c r="N1858" t="s">
        <v>39</v>
      </c>
    </row>
    <row r="1859" spans="1:14">
      <c r="A1859">
        <v>540</v>
      </c>
      <c r="B1859" s="4">
        <v>44917</v>
      </c>
      <c r="C1859" s="5">
        <v>0.67847222222222225</v>
      </c>
      <c r="D1859" t="s">
        <v>180</v>
      </c>
      <c r="E1859" t="s">
        <v>23</v>
      </c>
      <c r="F1859">
        <v>46</v>
      </c>
      <c r="G1859" t="s">
        <v>30</v>
      </c>
      <c r="H1859">
        <v>3</v>
      </c>
      <c r="I1859">
        <v>300</v>
      </c>
      <c r="J1859">
        <v>87</v>
      </c>
      <c r="K1859">
        <v>900</v>
      </c>
      <c r="L1859">
        <v>813</v>
      </c>
      <c r="M1859">
        <v>0.90333333333333332</v>
      </c>
      <c r="N1859" t="s">
        <v>21</v>
      </c>
    </row>
    <row r="1860" spans="1:14">
      <c r="A1860">
        <v>625</v>
      </c>
      <c r="B1860" s="4">
        <v>44920</v>
      </c>
      <c r="C1860" s="5">
        <v>0.56666666666666665</v>
      </c>
      <c r="D1860" t="s">
        <v>47</v>
      </c>
      <c r="E1860" t="s">
        <v>16</v>
      </c>
      <c r="F1860">
        <v>31</v>
      </c>
      <c r="G1860" t="s">
        <v>17</v>
      </c>
      <c r="H1860">
        <v>1</v>
      </c>
      <c r="I1860">
        <v>300</v>
      </c>
      <c r="J1860">
        <v>123</v>
      </c>
      <c r="K1860">
        <v>300</v>
      </c>
      <c r="L1860">
        <v>177</v>
      </c>
      <c r="M1860">
        <v>0.59</v>
      </c>
      <c r="N1860" t="s">
        <v>39</v>
      </c>
    </row>
    <row r="1861" spans="1:14">
      <c r="A1861">
        <v>1392</v>
      </c>
      <c r="B1861" s="4">
        <v>44816</v>
      </c>
      <c r="C1861" s="5">
        <v>0.51944444444444449</v>
      </c>
      <c r="D1861" t="s">
        <v>144</v>
      </c>
      <c r="E1861" t="s">
        <v>16</v>
      </c>
      <c r="F1861">
        <v>27</v>
      </c>
      <c r="G1861" t="s">
        <v>17</v>
      </c>
      <c r="H1861">
        <v>2</v>
      </c>
      <c r="I1861">
        <v>300</v>
      </c>
      <c r="J1861">
        <v>90</v>
      </c>
      <c r="K1861">
        <v>600</v>
      </c>
      <c r="L1861">
        <v>510</v>
      </c>
      <c r="M1861">
        <v>0.85</v>
      </c>
      <c r="N1861" t="s">
        <v>39</v>
      </c>
    </row>
    <row r="1862" spans="1:14">
      <c r="A1862">
        <v>1453</v>
      </c>
      <c r="B1862" s="4">
        <v>45213</v>
      </c>
      <c r="C1862" s="5">
        <v>0.55833333333333335</v>
      </c>
      <c r="D1862" t="s">
        <v>156</v>
      </c>
      <c r="E1862" t="s">
        <v>23</v>
      </c>
      <c r="F1862">
        <v>26</v>
      </c>
      <c r="G1862" t="s">
        <v>17</v>
      </c>
      <c r="H1862">
        <v>2</v>
      </c>
      <c r="I1862">
        <v>500</v>
      </c>
      <c r="J1862">
        <v>205</v>
      </c>
      <c r="K1862">
        <v>1000</v>
      </c>
      <c r="L1862">
        <v>795</v>
      </c>
      <c r="M1862">
        <v>0.79500000000000004</v>
      </c>
      <c r="N1862" t="s">
        <v>39</v>
      </c>
    </row>
    <row r="1863" spans="1:14">
      <c r="A1863">
        <v>1540</v>
      </c>
      <c r="B1863" s="4">
        <v>45211</v>
      </c>
      <c r="C1863" s="5">
        <v>0.70208333333333328</v>
      </c>
      <c r="D1863" t="s">
        <v>63</v>
      </c>
      <c r="E1863" t="s">
        <v>23</v>
      </c>
      <c r="F1863">
        <v>46</v>
      </c>
      <c r="G1863" t="s">
        <v>30</v>
      </c>
      <c r="H1863">
        <v>3</v>
      </c>
      <c r="I1863">
        <v>300</v>
      </c>
      <c r="J1863">
        <v>147</v>
      </c>
      <c r="K1863">
        <v>900</v>
      </c>
      <c r="L1863">
        <v>753</v>
      </c>
      <c r="M1863">
        <v>0.83666666666666667</v>
      </c>
      <c r="N1863" t="s">
        <v>21</v>
      </c>
    </row>
    <row r="1864" spans="1:14">
      <c r="A1864">
        <v>1625</v>
      </c>
      <c r="B1864" s="4">
        <v>45196</v>
      </c>
      <c r="C1864" s="5">
        <v>0.69166666666666665</v>
      </c>
      <c r="D1864" t="s">
        <v>19</v>
      </c>
      <c r="E1864" t="s">
        <v>16</v>
      </c>
      <c r="F1864">
        <v>31</v>
      </c>
      <c r="G1864" t="s">
        <v>17</v>
      </c>
      <c r="H1864">
        <v>1</v>
      </c>
      <c r="I1864">
        <v>300</v>
      </c>
      <c r="J1864">
        <v>147</v>
      </c>
      <c r="K1864">
        <v>300</v>
      </c>
      <c r="L1864">
        <v>153</v>
      </c>
      <c r="M1864">
        <v>0.51</v>
      </c>
      <c r="N1864" t="s">
        <v>39</v>
      </c>
    </row>
    <row r="1865" spans="1:14">
      <c r="A1865">
        <v>244</v>
      </c>
      <c r="B1865" s="4">
        <v>45183</v>
      </c>
      <c r="C1865" s="5">
        <v>0.58125000000000004</v>
      </c>
      <c r="D1865" t="s">
        <v>58</v>
      </c>
      <c r="E1865" t="s">
        <v>16</v>
      </c>
      <c r="F1865">
        <v>28</v>
      </c>
      <c r="G1865" t="s">
        <v>20</v>
      </c>
      <c r="H1865">
        <v>2</v>
      </c>
      <c r="I1865">
        <v>50</v>
      </c>
      <c r="J1865">
        <v>20.5</v>
      </c>
      <c r="K1865">
        <v>100</v>
      </c>
      <c r="L1865">
        <v>79.5</v>
      </c>
      <c r="M1865">
        <v>0.79500000000000004</v>
      </c>
      <c r="N1865" t="s">
        <v>39</v>
      </c>
    </row>
    <row r="1866" spans="1:14">
      <c r="A1866">
        <v>355</v>
      </c>
      <c r="B1866" s="4">
        <v>44827</v>
      </c>
      <c r="C1866" s="5">
        <v>0.5708333333333333</v>
      </c>
      <c r="D1866" t="s">
        <v>157</v>
      </c>
      <c r="E1866" t="s">
        <v>23</v>
      </c>
      <c r="F1866">
        <v>55</v>
      </c>
      <c r="G1866" t="s">
        <v>30</v>
      </c>
      <c r="H1866">
        <v>1</v>
      </c>
      <c r="I1866">
        <v>500</v>
      </c>
      <c r="J1866">
        <v>260</v>
      </c>
      <c r="K1866">
        <v>500</v>
      </c>
      <c r="L1866">
        <v>240</v>
      </c>
      <c r="M1866">
        <v>0.48</v>
      </c>
      <c r="N1866" t="s">
        <v>21</v>
      </c>
    </row>
    <row r="1867" spans="1:14">
      <c r="A1867">
        <v>468</v>
      </c>
      <c r="B1867" s="4">
        <v>44900</v>
      </c>
      <c r="C1867" s="5">
        <v>0.60555555555555551</v>
      </c>
      <c r="D1867" t="s">
        <v>93</v>
      </c>
      <c r="E1867" t="s">
        <v>16</v>
      </c>
      <c r="F1867">
        <v>40</v>
      </c>
      <c r="G1867" t="s">
        <v>30</v>
      </c>
      <c r="H1867">
        <v>1</v>
      </c>
      <c r="I1867">
        <v>25</v>
      </c>
      <c r="J1867">
        <v>12.25</v>
      </c>
      <c r="K1867">
        <v>25</v>
      </c>
      <c r="L1867">
        <v>12.75</v>
      </c>
      <c r="M1867">
        <v>0.51</v>
      </c>
      <c r="N1867" t="s">
        <v>18</v>
      </c>
    </row>
    <row r="1868" spans="1:14">
      <c r="A1868">
        <v>700</v>
      </c>
      <c r="B1868" s="4">
        <v>44805</v>
      </c>
      <c r="C1868" s="5">
        <v>0.62986111111111109</v>
      </c>
      <c r="D1868" t="s">
        <v>89</v>
      </c>
      <c r="E1868" t="s">
        <v>16</v>
      </c>
      <c r="F1868">
        <v>36</v>
      </c>
      <c r="G1868" t="s">
        <v>30</v>
      </c>
      <c r="H1868">
        <v>4</v>
      </c>
      <c r="I1868">
        <v>500</v>
      </c>
      <c r="J1868">
        <v>250</v>
      </c>
      <c r="K1868">
        <v>2000</v>
      </c>
      <c r="L1868">
        <v>1750</v>
      </c>
      <c r="M1868">
        <v>0.875</v>
      </c>
      <c r="N1868" t="s">
        <v>18</v>
      </c>
    </row>
    <row r="1869" spans="1:14">
      <c r="A1869">
        <v>752</v>
      </c>
      <c r="B1869" s="4">
        <v>45189</v>
      </c>
      <c r="C1869" s="5">
        <v>0.67083333333333328</v>
      </c>
      <c r="D1869" t="s">
        <v>180</v>
      </c>
      <c r="E1869" t="s">
        <v>16</v>
      </c>
      <c r="F1869">
        <v>29</v>
      </c>
      <c r="G1869" t="s">
        <v>17</v>
      </c>
      <c r="H1869">
        <v>2</v>
      </c>
      <c r="I1869">
        <v>50</v>
      </c>
      <c r="J1869">
        <v>13</v>
      </c>
      <c r="K1869">
        <v>100</v>
      </c>
      <c r="L1869">
        <v>87</v>
      </c>
      <c r="M1869">
        <v>0.87</v>
      </c>
      <c r="N1869" t="s">
        <v>39</v>
      </c>
    </row>
    <row r="1870" spans="1:14">
      <c r="A1870">
        <v>828</v>
      </c>
      <c r="B1870" s="4">
        <v>44889</v>
      </c>
      <c r="C1870" s="5">
        <v>0.66249999999999998</v>
      </c>
      <c r="D1870" t="s">
        <v>130</v>
      </c>
      <c r="E1870" t="s">
        <v>23</v>
      </c>
      <c r="F1870">
        <v>33</v>
      </c>
      <c r="G1870" t="s">
        <v>30</v>
      </c>
      <c r="H1870">
        <v>4</v>
      </c>
      <c r="I1870">
        <v>300</v>
      </c>
      <c r="J1870">
        <v>132</v>
      </c>
      <c r="K1870">
        <v>1200</v>
      </c>
      <c r="L1870">
        <v>1068</v>
      </c>
      <c r="M1870">
        <v>0.89</v>
      </c>
      <c r="N1870" t="s">
        <v>39</v>
      </c>
    </row>
    <row r="1871" spans="1:14">
      <c r="A1871">
        <v>1244</v>
      </c>
      <c r="B1871" s="4">
        <v>44906</v>
      </c>
      <c r="C1871" s="5">
        <v>0.69930555555555551</v>
      </c>
      <c r="D1871" t="s">
        <v>177</v>
      </c>
      <c r="E1871" t="s">
        <v>16</v>
      </c>
      <c r="F1871">
        <v>28</v>
      </c>
      <c r="G1871" t="s">
        <v>20</v>
      </c>
      <c r="H1871">
        <v>2</v>
      </c>
      <c r="I1871">
        <v>50</v>
      </c>
      <c r="J1871">
        <v>19.5</v>
      </c>
      <c r="K1871">
        <v>100</v>
      </c>
      <c r="L1871">
        <v>80.5</v>
      </c>
      <c r="M1871">
        <v>0.80500000000000005</v>
      </c>
      <c r="N1871" t="s">
        <v>39</v>
      </c>
    </row>
    <row r="1872" spans="1:14">
      <c r="A1872">
        <v>1355</v>
      </c>
      <c r="B1872" s="4">
        <v>45186</v>
      </c>
      <c r="C1872" s="5">
        <v>0.55486111111111114</v>
      </c>
      <c r="D1872" t="s">
        <v>148</v>
      </c>
      <c r="E1872" t="s">
        <v>23</v>
      </c>
      <c r="F1872">
        <v>55</v>
      </c>
      <c r="G1872" t="s">
        <v>30</v>
      </c>
      <c r="H1872">
        <v>1</v>
      </c>
      <c r="I1872">
        <v>500</v>
      </c>
      <c r="J1872">
        <v>155</v>
      </c>
      <c r="K1872">
        <v>500</v>
      </c>
      <c r="L1872">
        <v>345</v>
      </c>
      <c r="M1872">
        <v>0.69</v>
      </c>
      <c r="N1872" t="s">
        <v>21</v>
      </c>
    </row>
    <row r="1873" spans="1:14">
      <c r="A1873">
        <v>1468</v>
      </c>
      <c r="B1873" s="4">
        <v>45238</v>
      </c>
      <c r="C1873" s="5">
        <v>0.55138888888888893</v>
      </c>
      <c r="D1873" t="s">
        <v>178</v>
      </c>
      <c r="E1873" t="s">
        <v>16</v>
      </c>
      <c r="F1873">
        <v>40</v>
      </c>
      <c r="G1873" t="s">
        <v>30</v>
      </c>
      <c r="H1873">
        <v>1</v>
      </c>
      <c r="I1873">
        <v>25</v>
      </c>
      <c r="J1873">
        <v>9.75</v>
      </c>
      <c r="K1873">
        <v>25</v>
      </c>
      <c r="L1873">
        <v>15.25</v>
      </c>
      <c r="M1873">
        <v>0.61</v>
      </c>
      <c r="N1873" t="s">
        <v>18</v>
      </c>
    </row>
    <row r="1874" spans="1:14">
      <c r="A1874">
        <v>1700</v>
      </c>
      <c r="B1874" s="4">
        <v>45196</v>
      </c>
      <c r="C1874" s="5">
        <v>0.67361111111111116</v>
      </c>
      <c r="D1874" t="s">
        <v>116</v>
      </c>
      <c r="E1874" t="s">
        <v>16</v>
      </c>
      <c r="F1874">
        <v>36</v>
      </c>
      <c r="G1874" t="s">
        <v>30</v>
      </c>
      <c r="H1874">
        <v>4</v>
      </c>
      <c r="I1874">
        <v>500</v>
      </c>
      <c r="J1874">
        <v>210</v>
      </c>
      <c r="K1874">
        <v>2000</v>
      </c>
      <c r="L1874">
        <v>1790</v>
      </c>
      <c r="M1874">
        <v>0.89500000000000002</v>
      </c>
      <c r="N1874" t="s">
        <v>18</v>
      </c>
    </row>
    <row r="1875" spans="1:14">
      <c r="A1875">
        <v>1752</v>
      </c>
      <c r="B1875" s="4">
        <v>45220</v>
      </c>
      <c r="C1875" s="5">
        <v>0.54236111111111107</v>
      </c>
      <c r="D1875" t="s">
        <v>180</v>
      </c>
      <c r="E1875" t="s">
        <v>16</v>
      </c>
      <c r="F1875">
        <v>29</v>
      </c>
      <c r="G1875" t="s">
        <v>17</v>
      </c>
      <c r="H1875">
        <v>2</v>
      </c>
      <c r="I1875">
        <v>50</v>
      </c>
      <c r="J1875">
        <v>14.5</v>
      </c>
      <c r="K1875">
        <v>100</v>
      </c>
      <c r="L1875">
        <v>85.5</v>
      </c>
      <c r="M1875">
        <v>0.85499999999999998</v>
      </c>
      <c r="N1875" t="s">
        <v>39</v>
      </c>
    </row>
    <row r="1876" spans="1:14">
      <c r="A1876">
        <v>1828</v>
      </c>
      <c r="B1876" s="4">
        <v>44848</v>
      </c>
      <c r="C1876" s="5">
        <v>0.59305555555555556</v>
      </c>
      <c r="D1876" t="s">
        <v>149</v>
      </c>
      <c r="E1876" t="s">
        <v>23</v>
      </c>
      <c r="F1876">
        <v>33</v>
      </c>
      <c r="G1876" t="s">
        <v>30</v>
      </c>
      <c r="H1876">
        <v>4</v>
      </c>
      <c r="I1876">
        <v>300</v>
      </c>
      <c r="J1876">
        <v>165</v>
      </c>
      <c r="K1876">
        <v>1200</v>
      </c>
      <c r="L1876">
        <v>1035</v>
      </c>
      <c r="M1876">
        <v>0.86250000000000004</v>
      </c>
      <c r="N1876" t="s">
        <v>39</v>
      </c>
    </row>
    <row r="1877" spans="1:14">
      <c r="A1877">
        <v>80</v>
      </c>
      <c r="B1877" s="4">
        <v>45221</v>
      </c>
      <c r="C1877" s="5">
        <v>0.70208333333333328</v>
      </c>
      <c r="D1877" t="s">
        <v>43</v>
      </c>
      <c r="E1877" t="s">
        <v>23</v>
      </c>
      <c r="F1877">
        <v>64</v>
      </c>
      <c r="G1877" t="s">
        <v>17</v>
      </c>
      <c r="H1877">
        <v>2</v>
      </c>
      <c r="I1877">
        <v>30</v>
      </c>
      <c r="J1877">
        <v>12.3</v>
      </c>
      <c r="K1877">
        <v>60</v>
      </c>
      <c r="L1877">
        <v>47.7</v>
      </c>
      <c r="M1877">
        <v>0.79500000000000004</v>
      </c>
      <c r="N1877" t="s">
        <v>28</v>
      </c>
    </row>
    <row r="1878" spans="1:14">
      <c r="A1878">
        <v>214</v>
      </c>
      <c r="B1878" s="4">
        <v>44870</v>
      </c>
      <c r="C1878" s="5">
        <v>0.68819444444444444</v>
      </c>
      <c r="D1878" t="s">
        <v>158</v>
      </c>
      <c r="E1878" t="s">
        <v>16</v>
      </c>
      <c r="F1878">
        <v>20</v>
      </c>
      <c r="G1878" t="s">
        <v>20</v>
      </c>
      <c r="H1878">
        <v>2</v>
      </c>
      <c r="I1878">
        <v>30</v>
      </c>
      <c r="J1878">
        <v>8.1</v>
      </c>
      <c r="K1878">
        <v>60</v>
      </c>
      <c r="L1878">
        <v>51.9</v>
      </c>
      <c r="M1878">
        <v>0.86499999999999999</v>
      </c>
      <c r="N1878" t="s">
        <v>31</v>
      </c>
    </row>
    <row r="1879" spans="1:14">
      <c r="A1879">
        <v>361</v>
      </c>
      <c r="B1879" s="4">
        <v>44816</v>
      </c>
      <c r="C1879" s="5">
        <v>0.69236111111111109</v>
      </c>
      <c r="D1879" t="s">
        <v>142</v>
      </c>
      <c r="E1879" t="s">
        <v>23</v>
      </c>
      <c r="F1879">
        <v>34</v>
      </c>
      <c r="G1879" t="s">
        <v>30</v>
      </c>
      <c r="H1879">
        <v>4</v>
      </c>
      <c r="I1879">
        <v>300</v>
      </c>
      <c r="J1879">
        <v>81</v>
      </c>
      <c r="K1879">
        <v>1200</v>
      </c>
      <c r="L1879">
        <v>1119</v>
      </c>
      <c r="M1879">
        <v>0.9325</v>
      </c>
      <c r="N1879" t="s">
        <v>39</v>
      </c>
    </row>
    <row r="1880" spans="1:14">
      <c r="A1880">
        <v>526</v>
      </c>
      <c r="B1880" s="4">
        <v>44884</v>
      </c>
      <c r="C1880" s="5">
        <v>0.53263888888888888</v>
      </c>
      <c r="D1880" t="s">
        <v>88</v>
      </c>
      <c r="E1880" t="s">
        <v>16</v>
      </c>
      <c r="F1880">
        <v>33</v>
      </c>
      <c r="G1880" t="s">
        <v>17</v>
      </c>
      <c r="H1880">
        <v>2</v>
      </c>
      <c r="I1880">
        <v>50</v>
      </c>
      <c r="J1880">
        <v>19.5</v>
      </c>
      <c r="K1880">
        <v>100</v>
      </c>
      <c r="L1880">
        <v>80.5</v>
      </c>
      <c r="M1880">
        <v>0.80500000000000005</v>
      </c>
      <c r="N1880" t="s">
        <v>39</v>
      </c>
    </row>
    <row r="1881" spans="1:14">
      <c r="A1881">
        <v>1080</v>
      </c>
      <c r="B1881" s="4">
        <v>44903</v>
      </c>
      <c r="C1881" s="5">
        <v>0.56319444444444444</v>
      </c>
      <c r="D1881" t="s">
        <v>144</v>
      </c>
      <c r="E1881" t="s">
        <v>23</v>
      </c>
      <c r="F1881">
        <v>64</v>
      </c>
      <c r="G1881" t="s">
        <v>17</v>
      </c>
      <c r="H1881">
        <v>2</v>
      </c>
      <c r="I1881">
        <v>30</v>
      </c>
      <c r="J1881">
        <v>13.2</v>
      </c>
      <c r="K1881">
        <v>60</v>
      </c>
      <c r="L1881">
        <v>46.8</v>
      </c>
      <c r="M1881">
        <v>0.77999999999999992</v>
      </c>
      <c r="N1881" t="s">
        <v>28</v>
      </c>
    </row>
    <row r="1882" spans="1:14">
      <c r="A1882">
        <v>1214</v>
      </c>
      <c r="B1882" s="4">
        <v>45248</v>
      </c>
      <c r="C1882" s="5">
        <v>0.6</v>
      </c>
      <c r="D1882" t="s">
        <v>42</v>
      </c>
      <c r="E1882" t="s">
        <v>16</v>
      </c>
      <c r="F1882">
        <v>20</v>
      </c>
      <c r="G1882" t="s">
        <v>20</v>
      </c>
      <c r="H1882">
        <v>2</v>
      </c>
      <c r="I1882">
        <v>30</v>
      </c>
      <c r="J1882">
        <v>11.1</v>
      </c>
      <c r="K1882">
        <v>60</v>
      </c>
      <c r="L1882">
        <v>48.9</v>
      </c>
      <c r="M1882">
        <v>0.81499999999999995</v>
      </c>
      <c r="N1882" t="s">
        <v>31</v>
      </c>
    </row>
    <row r="1883" spans="1:14">
      <c r="A1883">
        <v>1361</v>
      </c>
      <c r="B1883" s="4">
        <v>45181</v>
      </c>
      <c r="C1883" s="5">
        <v>0.66666666666666663</v>
      </c>
      <c r="D1883" t="s">
        <v>53</v>
      </c>
      <c r="E1883" t="s">
        <v>23</v>
      </c>
      <c r="F1883">
        <v>34</v>
      </c>
      <c r="G1883" t="s">
        <v>30</v>
      </c>
      <c r="H1883">
        <v>4</v>
      </c>
      <c r="I1883">
        <v>300</v>
      </c>
      <c r="J1883">
        <v>153</v>
      </c>
      <c r="K1883">
        <v>1200</v>
      </c>
      <c r="L1883">
        <v>1047</v>
      </c>
      <c r="M1883">
        <v>0.87250000000000005</v>
      </c>
      <c r="N1883" t="s">
        <v>39</v>
      </c>
    </row>
    <row r="1884" spans="1:14">
      <c r="A1884">
        <v>1526</v>
      </c>
      <c r="B1884" s="4">
        <v>44829</v>
      </c>
      <c r="C1884" s="5">
        <v>0.62916666666666665</v>
      </c>
      <c r="D1884" t="s">
        <v>176</v>
      </c>
      <c r="E1884" t="s">
        <v>16</v>
      </c>
      <c r="F1884">
        <v>33</v>
      </c>
      <c r="G1884" t="s">
        <v>17</v>
      </c>
      <c r="H1884">
        <v>2</v>
      </c>
      <c r="I1884">
        <v>50</v>
      </c>
      <c r="J1884">
        <v>26.5</v>
      </c>
      <c r="K1884">
        <v>100</v>
      </c>
      <c r="L1884">
        <v>73.5</v>
      </c>
      <c r="M1884">
        <v>0.73499999999999999</v>
      </c>
      <c r="N1884" t="s">
        <v>39</v>
      </c>
    </row>
    <row r="1885" spans="1:14">
      <c r="A1885">
        <v>265</v>
      </c>
      <c r="B1885" s="4">
        <v>44889</v>
      </c>
      <c r="C1885" s="5">
        <v>0.5083333333333333</v>
      </c>
      <c r="D1885" t="s">
        <v>72</v>
      </c>
      <c r="E1885" t="s">
        <v>16</v>
      </c>
      <c r="F1885">
        <v>55</v>
      </c>
      <c r="G1885" t="s">
        <v>17</v>
      </c>
      <c r="H1885">
        <v>3</v>
      </c>
      <c r="I1885">
        <v>300</v>
      </c>
      <c r="J1885">
        <v>132</v>
      </c>
      <c r="K1885">
        <v>900</v>
      </c>
      <c r="L1885">
        <v>768</v>
      </c>
      <c r="M1885">
        <v>0.85333333333333339</v>
      </c>
      <c r="N1885" t="s">
        <v>21</v>
      </c>
    </row>
    <row r="1886" spans="1:14">
      <c r="A1886">
        <v>586</v>
      </c>
      <c r="B1886" s="4">
        <v>45280</v>
      </c>
      <c r="C1886" s="5">
        <v>0.62291666666666667</v>
      </c>
      <c r="D1886" t="s">
        <v>176</v>
      </c>
      <c r="E1886" t="s">
        <v>16</v>
      </c>
      <c r="F1886">
        <v>50</v>
      </c>
      <c r="G1886" t="s">
        <v>30</v>
      </c>
      <c r="H1886">
        <v>1</v>
      </c>
      <c r="I1886">
        <v>50</v>
      </c>
      <c r="J1886">
        <v>21.5</v>
      </c>
      <c r="K1886">
        <v>50</v>
      </c>
      <c r="L1886">
        <v>28.5</v>
      </c>
      <c r="M1886">
        <v>0.56999999999999995</v>
      </c>
      <c r="N1886" t="s">
        <v>21</v>
      </c>
    </row>
    <row r="1887" spans="1:14">
      <c r="A1887">
        <v>1265</v>
      </c>
      <c r="B1887" s="4">
        <v>44870</v>
      </c>
      <c r="C1887" s="5">
        <v>0.60763888888888884</v>
      </c>
      <c r="D1887" t="s">
        <v>93</v>
      </c>
      <c r="E1887" t="s">
        <v>16</v>
      </c>
      <c r="F1887">
        <v>55</v>
      </c>
      <c r="G1887" t="s">
        <v>17</v>
      </c>
      <c r="H1887">
        <v>3</v>
      </c>
      <c r="I1887">
        <v>300</v>
      </c>
      <c r="J1887">
        <v>111</v>
      </c>
      <c r="K1887">
        <v>900</v>
      </c>
      <c r="L1887">
        <v>789</v>
      </c>
      <c r="M1887">
        <v>0.87666666666666671</v>
      </c>
      <c r="N1887" t="s">
        <v>21</v>
      </c>
    </row>
    <row r="1888" spans="1:14">
      <c r="A1888">
        <v>1586</v>
      </c>
      <c r="B1888" s="4">
        <v>44869</v>
      </c>
      <c r="C1888" s="5">
        <v>0.68402777777777779</v>
      </c>
      <c r="D1888" t="s">
        <v>36</v>
      </c>
      <c r="E1888" t="s">
        <v>16</v>
      </c>
      <c r="F1888">
        <v>50</v>
      </c>
      <c r="G1888" t="s">
        <v>30</v>
      </c>
      <c r="H1888">
        <v>1</v>
      </c>
      <c r="I1888">
        <v>50</v>
      </c>
      <c r="J1888">
        <v>14</v>
      </c>
      <c r="K1888">
        <v>50</v>
      </c>
      <c r="L1888">
        <v>36</v>
      </c>
      <c r="M1888">
        <v>0.72</v>
      </c>
      <c r="N1888" t="s">
        <v>21</v>
      </c>
    </row>
    <row r="1889" spans="1:14">
      <c r="A1889">
        <v>336</v>
      </c>
      <c r="B1889" s="4">
        <v>45234</v>
      </c>
      <c r="C1889" s="5">
        <v>0.54513888888888884</v>
      </c>
      <c r="D1889" t="s">
        <v>52</v>
      </c>
      <c r="E1889" t="s">
        <v>23</v>
      </c>
      <c r="F1889">
        <v>52</v>
      </c>
      <c r="G1889" t="s">
        <v>20</v>
      </c>
      <c r="H1889">
        <v>3</v>
      </c>
      <c r="I1889">
        <v>50</v>
      </c>
      <c r="J1889">
        <v>25</v>
      </c>
      <c r="K1889">
        <v>150</v>
      </c>
      <c r="L1889">
        <v>125</v>
      </c>
      <c r="M1889">
        <v>0.83333333333333337</v>
      </c>
      <c r="N1889" t="s">
        <v>21</v>
      </c>
    </row>
    <row r="1890" spans="1:14">
      <c r="A1890">
        <v>571</v>
      </c>
      <c r="B1890" s="4">
        <v>44854</v>
      </c>
      <c r="C1890" s="5">
        <v>0.53541666666666665</v>
      </c>
      <c r="D1890" t="s">
        <v>116</v>
      </c>
      <c r="E1890" t="s">
        <v>23</v>
      </c>
      <c r="F1890">
        <v>41</v>
      </c>
      <c r="G1890" t="s">
        <v>30</v>
      </c>
      <c r="H1890">
        <v>1</v>
      </c>
      <c r="I1890">
        <v>50</v>
      </c>
      <c r="J1890">
        <v>16</v>
      </c>
      <c r="K1890">
        <v>50</v>
      </c>
      <c r="L1890">
        <v>34</v>
      </c>
      <c r="M1890">
        <v>0.68</v>
      </c>
      <c r="N1890" t="s">
        <v>18</v>
      </c>
    </row>
    <row r="1891" spans="1:14">
      <c r="A1891">
        <v>1336</v>
      </c>
      <c r="B1891" s="4">
        <v>44827</v>
      </c>
      <c r="C1891" s="5">
        <v>0.56041666666666667</v>
      </c>
      <c r="D1891" t="s">
        <v>145</v>
      </c>
      <c r="E1891" t="s">
        <v>23</v>
      </c>
      <c r="F1891">
        <v>52</v>
      </c>
      <c r="G1891" t="s">
        <v>20</v>
      </c>
      <c r="H1891">
        <v>3</v>
      </c>
      <c r="I1891">
        <v>50</v>
      </c>
      <c r="J1891">
        <v>21.5</v>
      </c>
      <c r="K1891">
        <v>150</v>
      </c>
      <c r="L1891">
        <v>128.5</v>
      </c>
      <c r="M1891">
        <v>0.85666666666666669</v>
      </c>
      <c r="N1891" t="s">
        <v>21</v>
      </c>
    </row>
    <row r="1892" spans="1:14">
      <c r="A1892">
        <v>1571</v>
      </c>
      <c r="B1892" s="4">
        <v>44873</v>
      </c>
      <c r="C1892" s="5">
        <v>0.62152777777777779</v>
      </c>
      <c r="D1892" t="s">
        <v>127</v>
      </c>
      <c r="E1892" t="s">
        <v>23</v>
      </c>
      <c r="F1892">
        <v>41</v>
      </c>
      <c r="G1892" t="s">
        <v>30</v>
      </c>
      <c r="H1892">
        <v>1</v>
      </c>
      <c r="I1892">
        <v>50</v>
      </c>
      <c r="J1892">
        <v>25</v>
      </c>
      <c r="K1892">
        <v>50</v>
      </c>
      <c r="L1892">
        <v>25</v>
      </c>
      <c r="M1892">
        <v>0.5</v>
      </c>
      <c r="N1892" t="s">
        <v>18</v>
      </c>
    </row>
    <row r="1893" spans="1:14">
      <c r="A1893">
        <v>9</v>
      </c>
      <c r="B1893" s="4">
        <v>44897</v>
      </c>
      <c r="C1893" s="5">
        <v>0.55000000000000004</v>
      </c>
      <c r="D1893" t="s">
        <v>24</v>
      </c>
      <c r="E1893" t="s">
        <v>16</v>
      </c>
      <c r="F1893">
        <v>63</v>
      </c>
      <c r="G1893" t="s">
        <v>30</v>
      </c>
      <c r="H1893">
        <v>2</v>
      </c>
      <c r="I1893">
        <v>300</v>
      </c>
      <c r="J1893">
        <v>78</v>
      </c>
      <c r="K1893">
        <v>600</v>
      </c>
      <c r="L1893">
        <v>522</v>
      </c>
      <c r="M1893">
        <v>0.87</v>
      </c>
      <c r="N1893" t="s">
        <v>28</v>
      </c>
    </row>
    <row r="1894" spans="1:14">
      <c r="A1894">
        <v>552</v>
      </c>
      <c r="B1894" s="4">
        <v>44863</v>
      </c>
      <c r="C1894" s="5">
        <v>0.56388888888888888</v>
      </c>
      <c r="D1894" t="s">
        <v>24</v>
      </c>
      <c r="E1894" t="s">
        <v>23</v>
      </c>
      <c r="F1894">
        <v>49</v>
      </c>
      <c r="G1894" t="s">
        <v>30</v>
      </c>
      <c r="H1894">
        <v>3</v>
      </c>
      <c r="I1894">
        <v>25</v>
      </c>
      <c r="J1894">
        <v>9.75</v>
      </c>
      <c r="K1894">
        <v>75</v>
      </c>
      <c r="L1894">
        <v>65.25</v>
      </c>
      <c r="M1894">
        <v>0.87</v>
      </c>
      <c r="N1894" t="s">
        <v>21</v>
      </c>
    </row>
    <row r="1895" spans="1:14">
      <c r="A1895">
        <v>771</v>
      </c>
      <c r="B1895" s="4">
        <v>45284</v>
      </c>
      <c r="C1895" s="5">
        <v>0.51597222222222228</v>
      </c>
      <c r="D1895" t="s">
        <v>144</v>
      </c>
      <c r="E1895" t="s">
        <v>16</v>
      </c>
      <c r="F1895">
        <v>24</v>
      </c>
      <c r="G1895" t="s">
        <v>30</v>
      </c>
      <c r="H1895">
        <v>2</v>
      </c>
      <c r="I1895">
        <v>25</v>
      </c>
      <c r="J1895">
        <v>11.75</v>
      </c>
      <c r="K1895">
        <v>50</v>
      </c>
      <c r="L1895">
        <v>38.25</v>
      </c>
      <c r="M1895">
        <v>0.76500000000000001</v>
      </c>
      <c r="N1895" t="s">
        <v>31</v>
      </c>
    </row>
    <row r="1896" spans="1:14">
      <c r="A1896">
        <v>1009</v>
      </c>
      <c r="B1896" s="4">
        <v>45191</v>
      </c>
      <c r="C1896" s="5">
        <v>0.59583333333333333</v>
      </c>
      <c r="D1896" t="s">
        <v>68</v>
      </c>
      <c r="E1896" t="s">
        <v>16</v>
      </c>
      <c r="F1896">
        <v>63</v>
      </c>
      <c r="G1896" t="s">
        <v>30</v>
      </c>
      <c r="H1896">
        <v>2</v>
      </c>
      <c r="I1896">
        <v>300</v>
      </c>
      <c r="J1896">
        <v>78</v>
      </c>
      <c r="K1896">
        <v>600</v>
      </c>
      <c r="L1896">
        <v>522</v>
      </c>
      <c r="M1896">
        <v>0.87</v>
      </c>
      <c r="N1896" t="s">
        <v>28</v>
      </c>
    </row>
    <row r="1897" spans="1:14">
      <c r="A1897">
        <v>1552</v>
      </c>
      <c r="B1897" s="4">
        <v>44829</v>
      </c>
      <c r="C1897" s="5">
        <v>0.50763888888888886</v>
      </c>
      <c r="D1897" t="s">
        <v>83</v>
      </c>
      <c r="E1897" t="s">
        <v>23</v>
      </c>
      <c r="F1897">
        <v>49</v>
      </c>
      <c r="G1897" t="s">
        <v>30</v>
      </c>
      <c r="H1897">
        <v>3</v>
      </c>
      <c r="I1897">
        <v>25</v>
      </c>
      <c r="J1897">
        <v>13</v>
      </c>
      <c r="K1897">
        <v>75</v>
      </c>
      <c r="L1897">
        <v>62</v>
      </c>
      <c r="M1897">
        <v>0.82666666666666666</v>
      </c>
      <c r="N1897" t="s">
        <v>21</v>
      </c>
    </row>
    <row r="1898" spans="1:14">
      <c r="A1898">
        <v>1771</v>
      </c>
      <c r="B1898" s="4">
        <v>45182</v>
      </c>
      <c r="C1898" s="5">
        <v>0.57013888888888886</v>
      </c>
      <c r="D1898" t="s">
        <v>171</v>
      </c>
      <c r="E1898" t="s">
        <v>16</v>
      </c>
      <c r="F1898">
        <v>24</v>
      </c>
      <c r="G1898" t="s">
        <v>30</v>
      </c>
      <c r="H1898">
        <v>2</v>
      </c>
      <c r="I1898">
        <v>25</v>
      </c>
      <c r="J1898">
        <v>10.75</v>
      </c>
      <c r="K1898">
        <v>50</v>
      </c>
      <c r="L1898">
        <v>39.25</v>
      </c>
      <c r="M1898">
        <v>0.78500000000000003</v>
      </c>
      <c r="N1898" t="s">
        <v>31</v>
      </c>
    </row>
    <row r="1899" spans="1:14">
      <c r="A1899">
        <v>496</v>
      </c>
      <c r="B1899" s="4">
        <v>44907</v>
      </c>
      <c r="C1899" s="5">
        <v>0.54652777777777772</v>
      </c>
      <c r="D1899" t="s">
        <v>173</v>
      </c>
      <c r="E1899" t="s">
        <v>16</v>
      </c>
      <c r="F1899">
        <v>23</v>
      </c>
      <c r="G1899" t="s">
        <v>17</v>
      </c>
      <c r="H1899">
        <v>2</v>
      </c>
      <c r="I1899">
        <v>300</v>
      </c>
      <c r="J1899">
        <v>141</v>
      </c>
      <c r="K1899">
        <v>600</v>
      </c>
      <c r="L1899">
        <v>459</v>
      </c>
      <c r="M1899">
        <v>0.76500000000000001</v>
      </c>
      <c r="N1899" t="s">
        <v>31</v>
      </c>
    </row>
    <row r="1900" spans="1:14">
      <c r="A1900">
        <v>701</v>
      </c>
      <c r="B1900" s="4">
        <v>45259</v>
      </c>
      <c r="C1900" s="5">
        <v>0.68958333333333333</v>
      </c>
      <c r="D1900" t="s">
        <v>134</v>
      </c>
      <c r="E1900" t="s">
        <v>23</v>
      </c>
      <c r="F1900">
        <v>52</v>
      </c>
      <c r="G1900" t="s">
        <v>20</v>
      </c>
      <c r="H1900">
        <v>2</v>
      </c>
      <c r="I1900">
        <v>30</v>
      </c>
      <c r="J1900">
        <v>14.1</v>
      </c>
      <c r="K1900">
        <v>60</v>
      </c>
      <c r="L1900">
        <v>45.9</v>
      </c>
      <c r="M1900">
        <v>0.76500000000000001</v>
      </c>
      <c r="N1900" t="s">
        <v>21</v>
      </c>
    </row>
    <row r="1901" spans="1:14">
      <c r="A1901">
        <v>1496</v>
      </c>
      <c r="B1901" s="4">
        <v>44807</v>
      </c>
      <c r="C1901" s="5">
        <v>0.62847222222222221</v>
      </c>
      <c r="D1901" t="s">
        <v>166</v>
      </c>
      <c r="E1901" t="s">
        <v>16</v>
      </c>
      <c r="F1901">
        <v>23</v>
      </c>
      <c r="G1901" t="s">
        <v>17</v>
      </c>
      <c r="H1901">
        <v>2</v>
      </c>
      <c r="I1901">
        <v>300</v>
      </c>
      <c r="J1901">
        <v>120</v>
      </c>
      <c r="K1901">
        <v>600</v>
      </c>
      <c r="L1901">
        <v>480</v>
      </c>
      <c r="M1901">
        <v>0.8</v>
      </c>
      <c r="N1901" t="s">
        <v>31</v>
      </c>
    </row>
    <row r="1902" spans="1:14">
      <c r="A1902">
        <v>1701</v>
      </c>
      <c r="B1902" s="4">
        <v>45212</v>
      </c>
      <c r="C1902" s="5">
        <v>0.63124999999999998</v>
      </c>
      <c r="D1902" t="s">
        <v>74</v>
      </c>
      <c r="E1902" t="s">
        <v>23</v>
      </c>
      <c r="F1902">
        <v>52</v>
      </c>
      <c r="G1902" t="s">
        <v>20</v>
      </c>
      <c r="H1902">
        <v>2</v>
      </c>
      <c r="I1902">
        <v>30</v>
      </c>
      <c r="J1902">
        <v>15.9</v>
      </c>
      <c r="K1902">
        <v>60</v>
      </c>
      <c r="L1902">
        <v>44.1</v>
      </c>
      <c r="M1902">
        <v>0.73499999999999999</v>
      </c>
      <c r="N1902" t="s">
        <v>21</v>
      </c>
    </row>
    <row r="1903" spans="1:14">
      <c r="A1903">
        <v>139</v>
      </c>
      <c r="B1903" s="4">
        <v>45184</v>
      </c>
      <c r="C1903" s="5">
        <v>0.5854166666666667</v>
      </c>
      <c r="D1903" t="s">
        <v>156</v>
      </c>
      <c r="E1903" t="s">
        <v>16</v>
      </c>
      <c r="F1903">
        <v>36</v>
      </c>
      <c r="G1903" t="s">
        <v>20</v>
      </c>
      <c r="H1903">
        <v>4</v>
      </c>
      <c r="I1903">
        <v>500</v>
      </c>
      <c r="J1903">
        <v>230</v>
      </c>
      <c r="K1903">
        <v>2000</v>
      </c>
      <c r="L1903">
        <v>1770</v>
      </c>
      <c r="M1903">
        <v>0.88500000000000001</v>
      </c>
      <c r="N1903" t="s">
        <v>18</v>
      </c>
    </row>
    <row r="1904" spans="1:14">
      <c r="A1904">
        <v>151</v>
      </c>
      <c r="B1904" s="4">
        <v>45211</v>
      </c>
      <c r="C1904" s="5">
        <v>0.65902777777777777</v>
      </c>
      <c r="D1904" t="s">
        <v>171</v>
      </c>
      <c r="E1904" t="s">
        <v>16</v>
      </c>
      <c r="F1904">
        <v>29</v>
      </c>
      <c r="G1904" t="s">
        <v>17</v>
      </c>
      <c r="H1904">
        <v>1</v>
      </c>
      <c r="I1904">
        <v>50</v>
      </c>
      <c r="J1904">
        <v>18</v>
      </c>
      <c r="K1904">
        <v>50</v>
      </c>
      <c r="L1904">
        <v>32</v>
      </c>
      <c r="M1904">
        <v>0.64</v>
      </c>
      <c r="N1904" t="s">
        <v>39</v>
      </c>
    </row>
    <row r="1905" spans="1:14">
      <c r="A1905">
        <v>1139</v>
      </c>
      <c r="B1905" s="4">
        <v>45281</v>
      </c>
      <c r="C1905" s="5">
        <v>0.59930555555555554</v>
      </c>
      <c r="D1905" t="s">
        <v>116</v>
      </c>
      <c r="E1905" t="s">
        <v>16</v>
      </c>
      <c r="F1905">
        <v>36</v>
      </c>
      <c r="G1905" t="s">
        <v>20</v>
      </c>
      <c r="H1905">
        <v>4</v>
      </c>
      <c r="I1905">
        <v>500</v>
      </c>
      <c r="J1905">
        <v>230</v>
      </c>
      <c r="K1905">
        <v>2000</v>
      </c>
      <c r="L1905">
        <v>1770</v>
      </c>
      <c r="M1905">
        <v>0.88500000000000001</v>
      </c>
      <c r="N1905" t="s">
        <v>18</v>
      </c>
    </row>
    <row r="1906" spans="1:14">
      <c r="A1906">
        <v>1151</v>
      </c>
      <c r="B1906" s="4">
        <v>44907</v>
      </c>
      <c r="C1906" s="5">
        <v>0.6166666666666667</v>
      </c>
      <c r="D1906" t="s">
        <v>149</v>
      </c>
      <c r="E1906" t="s">
        <v>16</v>
      </c>
      <c r="F1906">
        <v>29</v>
      </c>
      <c r="G1906" t="s">
        <v>17</v>
      </c>
      <c r="H1906">
        <v>1</v>
      </c>
      <c r="I1906">
        <v>50</v>
      </c>
      <c r="J1906">
        <v>26</v>
      </c>
      <c r="K1906">
        <v>50</v>
      </c>
      <c r="L1906">
        <v>24</v>
      </c>
      <c r="M1906">
        <v>0.48</v>
      </c>
      <c r="N1906" t="s">
        <v>39</v>
      </c>
    </row>
    <row r="1907" spans="1:14">
      <c r="A1907">
        <v>83</v>
      </c>
      <c r="B1907" s="4">
        <v>44892</v>
      </c>
      <c r="C1907" s="5">
        <v>0.6645833333333333</v>
      </c>
      <c r="D1907" t="s">
        <v>119</v>
      </c>
      <c r="E1907" t="s">
        <v>16</v>
      </c>
      <c r="F1907">
        <v>54</v>
      </c>
      <c r="G1907" t="s">
        <v>30</v>
      </c>
      <c r="H1907">
        <v>2</v>
      </c>
      <c r="I1907">
        <v>50</v>
      </c>
      <c r="J1907">
        <v>16.5</v>
      </c>
      <c r="K1907">
        <v>100</v>
      </c>
      <c r="L1907">
        <v>83.5</v>
      </c>
      <c r="M1907">
        <v>0.83499999999999996</v>
      </c>
      <c r="N1907" t="s">
        <v>21</v>
      </c>
    </row>
    <row r="1908" spans="1:14">
      <c r="A1908">
        <v>153</v>
      </c>
      <c r="B1908" s="4">
        <v>45249</v>
      </c>
      <c r="C1908" s="5">
        <v>0.66111111111111109</v>
      </c>
      <c r="D1908" t="s">
        <v>74</v>
      </c>
      <c r="E1908" t="s">
        <v>16</v>
      </c>
      <c r="F1908">
        <v>63</v>
      </c>
      <c r="G1908" t="s">
        <v>30</v>
      </c>
      <c r="H1908">
        <v>2</v>
      </c>
      <c r="I1908">
        <v>500</v>
      </c>
      <c r="J1908">
        <v>195</v>
      </c>
      <c r="K1908">
        <v>1000</v>
      </c>
      <c r="L1908">
        <v>805</v>
      </c>
      <c r="M1908">
        <v>0.80500000000000005</v>
      </c>
      <c r="N1908" t="s">
        <v>28</v>
      </c>
    </row>
    <row r="1909" spans="1:14">
      <c r="A1909">
        <v>451</v>
      </c>
      <c r="B1909" s="4">
        <v>45208</v>
      </c>
      <c r="C1909" s="5">
        <v>0.65138888888888891</v>
      </c>
      <c r="D1909" t="s">
        <v>145</v>
      </c>
      <c r="E1909" t="s">
        <v>23</v>
      </c>
      <c r="F1909">
        <v>45</v>
      </c>
      <c r="G1909" t="s">
        <v>30</v>
      </c>
      <c r="H1909">
        <v>1</v>
      </c>
      <c r="I1909">
        <v>30</v>
      </c>
      <c r="J1909">
        <v>13.5</v>
      </c>
      <c r="K1909">
        <v>30</v>
      </c>
      <c r="L1909">
        <v>16.5</v>
      </c>
      <c r="M1909">
        <v>0.55000000000000004</v>
      </c>
      <c r="N1909" t="s">
        <v>18</v>
      </c>
    </row>
    <row r="1910" spans="1:14">
      <c r="A1910">
        <v>1083</v>
      </c>
      <c r="B1910" s="4">
        <v>44834</v>
      </c>
      <c r="C1910" s="5">
        <v>0.65694444444444444</v>
      </c>
      <c r="D1910" t="s">
        <v>149</v>
      </c>
      <c r="E1910" t="s">
        <v>16</v>
      </c>
      <c r="F1910">
        <v>54</v>
      </c>
      <c r="G1910" t="s">
        <v>30</v>
      </c>
      <c r="H1910">
        <v>2</v>
      </c>
      <c r="I1910">
        <v>50</v>
      </c>
      <c r="J1910">
        <v>17.5</v>
      </c>
      <c r="K1910">
        <v>100</v>
      </c>
      <c r="L1910">
        <v>82.5</v>
      </c>
      <c r="M1910">
        <v>0.82499999999999996</v>
      </c>
      <c r="N1910" t="s">
        <v>21</v>
      </c>
    </row>
    <row r="1911" spans="1:14">
      <c r="A1911">
        <v>1153</v>
      </c>
      <c r="B1911" s="4">
        <v>44828</v>
      </c>
      <c r="C1911" s="5">
        <v>0.52083333333333337</v>
      </c>
      <c r="D1911" t="s">
        <v>173</v>
      </c>
      <c r="E1911" t="s">
        <v>16</v>
      </c>
      <c r="F1911">
        <v>63</v>
      </c>
      <c r="G1911" t="s">
        <v>30</v>
      </c>
      <c r="H1911">
        <v>2</v>
      </c>
      <c r="I1911">
        <v>500</v>
      </c>
      <c r="J1911">
        <v>265</v>
      </c>
      <c r="K1911">
        <v>1000</v>
      </c>
      <c r="L1911">
        <v>735</v>
      </c>
      <c r="M1911">
        <v>0.73499999999999999</v>
      </c>
      <c r="N1911" t="s">
        <v>28</v>
      </c>
    </row>
    <row r="1912" spans="1:14">
      <c r="A1912">
        <v>1451</v>
      </c>
      <c r="B1912" s="4">
        <v>44827</v>
      </c>
      <c r="C1912" s="5">
        <v>0.50694444444444442</v>
      </c>
      <c r="D1912" t="s">
        <v>56</v>
      </c>
      <c r="E1912" t="s">
        <v>23</v>
      </c>
      <c r="F1912">
        <v>45</v>
      </c>
      <c r="G1912" t="s">
        <v>30</v>
      </c>
      <c r="H1912">
        <v>1</v>
      </c>
      <c r="I1912">
        <v>30</v>
      </c>
      <c r="J1912">
        <v>13.2</v>
      </c>
      <c r="K1912">
        <v>30</v>
      </c>
      <c r="L1912">
        <v>16.8</v>
      </c>
      <c r="M1912">
        <v>0.56000000000000005</v>
      </c>
      <c r="N1912" t="s">
        <v>18</v>
      </c>
    </row>
    <row r="1913" spans="1:14">
      <c r="A1913">
        <v>99</v>
      </c>
      <c r="B1913" s="4">
        <v>45249</v>
      </c>
      <c r="C1913" s="5">
        <v>0.6333333333333333</v>
      </c>
      <c r="D1913" t="s">
        <v>67</v>
      </c>
      <c r="E1913" t="s">
        <v>23</v>
      </c>
      <c r="F1913">
        <v>50</v>
      </c>
      <c r="G1913" t="s">
        <v>30</v>
      </c>
      <c r="H1913">
        <v>4</v>
      </c>
      <c r="I1913">
        <v>300</v>
      </c>
      <c r="J1913">
        <v>132</v>
      </c>
      <c r="K1913">
        <v>1200</v>
      </c>
      <c r="L1913">
        <v>1068</v>
      </c>
      <c r="M1913">
        <v>0.89</v>
      </c>
      <c r="N1913" t="s">
        <v>21</v>
      </c>
    </row>
    <row r="1914" spans="1:14">
      <c r="A1914">
        <v>783</v>
      </c>
      <c r="B1914" s="4">
        <v>44876</v>
      </c>
      <c r="C1914" s="5">
        <v>0.65069444444444446</v>
      </c>
      <c r="D1914" t="s">
        <v>173</v>
      </c>
      <c r="E1914" t="s">
        <v>23</v>
      </c>
      <c r="F1914">
        <v>56</v>
      </c>
      <c r="G1914" t="s">
        <v>17</v>
      </c>
      <c r="H1914">
        <v>1</v>
      </c>
      <c r="I1914">
        <v>300</v>
      </c>
      <c r="J1914">
        <v>150</v>
      </c>
      <c r="K1914">
        <v>300</v>
      </c>
      <c r="L1914">
        <v>150</v>
      </c>
      <c r="M1914">
        <v>0.5</v>
      </c>
      <c r="N1914" t="s">
        <v>28</v>
      </c>
    </row>
    <row r="1915" spans="1:14">
      <c r="A1915">
        <v>1099</v>
      </c>
      <c r="B1915" s="4">
        <v>44919</v>
      </c>
      <c r="C1915" s="5">
        <v>0.52847222222222223</v>
      </c>
      <c r="D1915" t="s">
        <v>119</v>
      </c>
      <c r="E1915" t="s">
        <v>23</v>
      </c>
      <c r="F1915">
        <v>50</v>
      </c>
      <c r="G1915" t="s">
        <v>30</v>
      </c>
      <c r="H1915">
        <v>4</v>
      </c>
      <c r="I1915">
        <v>300</v>
      </c>
      <c r="J1915">
        <v>162</v>
      </c>
      <c r="K1915">
        <v>1200</v>
      </c>
      <c r="L1915">
        <v>1038</v>
      </c>
      <c r="M1915">
        <v>0.86499999999999999</v>
      </c>
      <c r="N1915" t="s">
        <v>21</v>
      </c>
    </row>
    <row r="1916" spans="1:14">
      <c r="A1916">
        <v>1783</v>
      </c>
      <c r="B1916" s="4">
        <v>45174</v>
      </c>
      <c r="C1916" s="5">
        <v>0.69236111111111109</v>
      </c>
      <c r="D1916" t="s">
        <v>19</v>
      </c>
      <c r="E1916" t="s">
        <v>23</v>
      </c>
      <c r="F1916">
        <v>56</v>
      </c>
      <c r="G1916" t="s">
        <v>17</v>
      </c>
      <c r="H1916">
        <v>1</v>
      </c>
      <c r="I1916">
        <v>300</v>
      </c>
      <c r="J1916">
        <v>135</v>
      </c>
      <c r="K1916">
        <v>300</v>
      </c>
      <c r="L1916">
        <v>165</v>
      </c>
      <c r="M1916">
        <v>0.55000000000000004</v>
      </c>
      <c r="N1916" t="s">
        <v>28</v>
      </c>
    </row>
    <row r="1917" spans="1:14">
      <c r="A1917">
        <v>409</v>
      </c>
      <c r="B1917" s="4">
        <v>45277</v>
      </c>
      <c r="C1917" s="5">
        <v>0.52083333333333337</v>
      </c>
      <c r="D1917" t="s">
        <v>83</v>
      </c>
      <c r="E1917" t="s">
        <v>23</v>
      </c>
      <c r="F1917">
        <v>21</v>
      </c>
      <c r="G1917" t="s">
        <v>30</v>
      </c>
      <c r="H1917">
        <v>3</v>
      </c>
      <c r="I1917">
        <v>300</v>
      </c>
      <c r="J1917">
        <v>87</v>
      </c>
      <c r="K1917">
        <v>900</v>
      </c>
      <c r="L1917">
        <v>813</v>
      </c>
      <c r="M1917">
        <v>0.90333333333333332</v>
      </c>
      <c r="N1917" t="s">
        <v>31</v>
      </c>
    </row>
    <row r="1918" spans="1:14">
      <c r="A1918">
        <v>525</v>
      </c>
      <c r="B1918" s="4">
        <v>44809</v>
      </c>
      <c r="C1918" s="5">
        <v>0.59375</v>
      </c>
      <c r="D1918" t="s">
        <v>45</v>
      </c>
      <c r="E1918" t="s">
        <v>23</v>
      </c>
      <c r="F1918">
        <v>47</v>
      </c>
      <c r="G1918" t="s">
        <v>20</v>
      </c>
      <c r="H1918">
        <v>2</v>
      </c>
      <c r="I1918">
        <v>25</v>
      </c>
      <c r="J1918">
        <v>7</v>
      </c>
      <c r="K1918">
        <v>50</v>
      </c>
      <c r="L1918">
        <v>43</v>
      </c>
      <c r="M1918">
        <v>0.86</v>
      </c>
      <c r="N1918" t="s">
        <v>21</v>
      </c>
    </row>
    <row r="1919" spans="1:14">
      <c r="A1919">
        <v>939</v>
      </c>
      <c r="B1919" s="4">
        <v>44872</v>
      </c>
      <c r="C1919" s="5">
        <v>0.64444444444444449</v>
      </c>
      <c r="D1919" t="s">
        <v>82</v>
      </c>
      <c r="E1919" t="s">
        <v>23</v>
      </c>
      <c r="F1919">
        <v>46</v>
      </c>
      <c r="G1919" t="s">
        <v>30</v>
      </c>
      <c r="H1919">
        <v>1</v>
      </c>
      <c r="I1919">
        <v>300</v>
      </c>
      <c r="J1919">
        <v>81</v>
      </c>
      <c r="K1919">
        <v>300</v>
      </c>
      <c r="L1919">
        <v>219</v>
      </c>
      <c r="M1919">
        <v>0.73</v>
      </c>
      <c r="N1919" t="s">
        <v>21</v>
      </c>
    </row>
    <row r="1920" spans="1:14">
      <c r="A1920">
        <v>994</v>
      </c>
      <c r="B1920" s="4">
        <v>44919</v>
      </c>
      <c r="C1920" s="5">
        <v>0.69305555555555554</v>
      </c>
      <c r="D1920" t="s">
        <v>178</v>
      </c>
      <c r="E1920" t="s">
        <v>23</v>
      </c>
      <c r="F1920">
        <v>51</v>
      </c>
      <c r="G1920" t="s">
        <v>20</v>
      </c>
      <c r="H1920">
        <v>2</v>
      </c>
      <c r="I1920">
        <v>500</v>
      </c>
      <c r="J1920">
        <v>125</v>
      </c>
      <c r="K1920">
        <v>1000</v>
      </c>
      <c r="L1920">
        <v>875</v>
      </c>
      <c r="M1920">
        <v>0.875</v>
      </c>
      <c r="N1920" t="s">
        <v>21</v>
      </c>
    </row>
    <row r="1921" spans="1:14">
      <c r="A1921">
        <v>1409</v>
      </c>
      <c r="B1921" s="4">
        <v>45252</v>
      </c>
      <c r="C1921" s="5">
        <v>0.51041666666666663</v>
      </c>
      <c r="D1921" t="s">
        <v>37</v>
      </c>
      <c r="E1921" t="s">
        <v>23</v>
      </c>
      <c r="F1921">
        <v>21</v>
      </c>
      <c r="G1921" t="s">
        <v>30</v>
      </c>
      <c r="H1921">
        <v>3</v>
      </c>
      <c r="I1921">
        <v>300</v>
      </c>
      <c r="J1921">
        <v>138</v>
      </c>
      <c r="K1921">
        <v>900</v>
      </c>
      <c r="L1921">
        <v>762</v>
      </c>
      <c r="M1921">
        <v>0.84666666666666668</v>
      </c>
      <c r="N1921" t="s">
        <v>31</v>
      </c>
    </row>
    <row r="1922" spans="1:14">
      <c r="A1922">
        <v>1525</v>
      </c>
      <c r="B1922" s="4">
        <v>44908</v>
      </c>
      <c r="C1922" s="5">
        <v>0.56597222222222221</v>
      </c>
      <c r="D1922" t="s">
        <v>109</v>
      </c>
      <c r="E1922" t="s">
        <v>23</v>
      </c>
      <c r="F1922">
        <v>47</v>
      </c>
      <c r="G1922" t="s">
        <v>20</v>
      </c>
      <c r="H1922">
        <v>2</v>
      </c>
      <c r="I1922">
        <v>25</v>
      </c>
      <c r="J1922">
        <v>12</v>
      </c>
      <c r="K1922">
        <v>50</v>
      </c>
      <c r="L1922">
        <v>38</v>
      </c>
      <c r="M1922">
        <v>0.76</v>
      </c>
      <c r="N1922" t="s">
        <v>21</v>
      </c>
    </row>
    <row r="1923" spans="1:14">
      <c r="A1923">
        <v>1939</v>
      </c>
      <c r="B1923" s="4">
        <v>44865</v>
      </c>
      <c r="C1923" s="5">
        <v>0.5625</v>
      </c>
      <c r="D1923" t="s">
        <v>145</v>
      </c>
      <c r="E1923" t="s">
        <v>23</v>
      </c>
      <c r="F1923">
        <v>46</v>
      </c>
      <c r="G1923" t="s">
        <v>30</v>
      </c>
      <c r="H1923">
        <v>1</v>
      </c>
      <c r="I1923">
        <v>300</v>
      </c>
      <c r="J1923">
        <v>135</v>
      </c>
      <c r="K1923">
        <v>300</v>
      </c>
      <c r="L1923">
        <v>165</v>
      </c>
      <c r="M1923">
        <v>0.55000000000000004</v>
      </c>
      <c r="N1923" t="s">
        <v>21</v>
      </c>
    </row>
    <row r="1924" spans="1:14">
      <c r="A1924">
        <v>1994</v>
      </c>
      <c r="B1924" s="4">
        <v>44885</v>
      </c>
      <c r="C1924" s="5">
        <v>0.56041666666666667</v>
      </c>
      <c r="D1924" t="s">
        <v>93</v>
      </c>
      <c r="E1924" t="s">
        <v>23</v>
      </c>
      <c r="F1924">
        <v>51</v>
      </c>
      <c r="G1924" t="s">
        <v>20</v>
      </c>
      <c r="H1924">
        <v>2</v>
      </c>
      <c r="I1924">
        <v>500</v>
      </c>
      <c r="J1924">
        <v>250</v>
      </c>
      <c r="K1924">
        <v>1000</v>
      </c>
      <c r="L1924">
        <v>750</v>
      </c>
      <c r="M1924">
        <v>0.75</v>
      </c>
      <c r="N1924" t="s">
        <v>21</v>
      </c>
    </row>
    <row r="1925" spans="1:14">
      <c r="A1925">
        <v>96</v>
      </c>
      <c r="B1925" s="4">
        <v>45252</v>
      </c>
      <c r="C1925" s="5">
        <v>0.59027777777777779</v>
      </c>
      <c r="D1925" t="s">
        <v>74</v>
      </c>
      <c r="E1925" t="s">
        <v>23</v>
      </c>
      <c r="F1925">
        <v>44</v>
      </c>
      <c r="G1925" t="s">
        <v>17</v>
      </c>
      <c r="H1925">
        <v>2</v>
      </c>
      <c r="I1925">
        <v>300</v>
      </c>
      <c r="J1925">
        <v>84</v>
      </c>
      <c r="K1925">
        <v>600</v>
      </c>
      <c r="L1925">
        <v>516</v>
      </c>
      <c r="M1925">
        <v>0.86</v>
      </c>
      <c r="N1925" t="s">
        <v>18</v>
      </c>
    </row>
    <row r="1926" spans="1:14">
      <c r="A1926">
        <v>609</v>
      </c>
      <c r="B1926" s="4">
        <v>45249</v>
      </c>
      <c r="C1926" s="5">
        <v>0.54305555555555551</v>
      </c>
      <c r="D1926" t="s">
        <v>36</v>
      </c>
      <c r="E1926" t="s">
        <v>23</v>
      </c>
      <c r="F1926">
        <v>47</v>
      </c>
      <c r="G1926" t="s">
        <v>17</v>
      </c>
      <c r="H1926">
        <v>2</v>
      </c>
      <c r="I1926">
        <v>50</v>
      </c>
      <c r="J1926">
        <v>13</v>
      </c>
      <c r="K1926">
        <v>100</v>
      </c>
      <c r="L1926">
        <v>87</v>
      </c>
      <c r="M1926">
        <v>0.87</v>
      </c>
      <c r="N1926" t="s">
        <v>21</v>
      </c>
    </row>
    <row r="1927" spans="1:14">
      <c r="A1927">
        <v>982</v>
      </c>
      <c r="B1927" s="4">
        <v>44875</v>
      </c>
      <c r="C1927" s="5">
        <v>0.58888888888888891</v>
      </c>
      <c r="D1927" t="s">
        <v>42</v>
      </c>
      <c r="E1927" t="s">
        <v>23</v>
      </c>
      <c r="F1927">
        <v>46</v>
      </c>
      <c r="G1927" t="s">
        <v>20</v>
      </c>
      <c r="H1927">
        <v>3</v>
      </c>
      <c r="I1927">
        <v>30</v>
      </c>
      <c r="J1927">
        <v>15.6</v>
      </c>
      <c r="K1927">
        <v>90</v>
      </c>
      <c r="L1927">
        <v>74.400000000000006</v>
      </c>
      <c r="M1927">
        <v>0.82666666666666677</v>
      </c>
      <c r="N1927" t="s">
        <v>21</v>
      </c>
    </row>
    <row r="1928" spans="1:14">
      <c r="A1928">
        <v>1096</v>
      </c>
      <c r="B1928" s="4">
        <v>44896</v>
      </c>
      <c r="C1928" s="5">
        <v>0.61736111111111114</v>
      </c>
      <c r="D1928" t="s">
        <v>43</v>
      </c>
      <c r="E1928" t="s">
        <v>23</v>
      </c>
      <c r="F1928">
        <v>44</v>
      </c>
      <c r="G1928" t="s">
        <v>17</v>
      </c>
      <c r="H1928">
        <v>2</v>
      </c>
      <c r="I1928">
        <v>300</v>
      </c>
      <c r="J1928">
        <v>138</v>
      </c>
      <c r="K1928">
        <v>600</v>
      </c>
      <c r="L1928">
        <v>462</v>
      </c>
      <c r="M1928">
        <v>0.77</v>
      </c>
      <c r="N1928" t="s">
        <v>18</v>
      </c>
    </row>
    <row r="1929" spans="1:14">
      <c r="A1929">
        <v>1609</v>
      </c>
      <c r="B1929" s="4">
        <v>45204</v>
      </c>
      <c r="C1929" s="5">
        <v>0.58194444444444449</v>
      </c>
      <c r="D1929" t="s">
        <v>107</v>
      </c>
      <c r="E1929" t="s">
        <v>23</v>
      </c>
      <c r="F1929">
        <v>47</v>
      </c>
      <c r="G1929" t="s">
        <v>17</v>
      </c>
      <c r="H1929">
        <v>2</v>
      </c>
      <c r="I1929">
        <v>50</v>
      </c>
      <c r="J1929">
        <v>22.5</v>
      </c>
      <c r="K1929">
        <v>100</v>
      </c>
      <c r="L1929">
        <v>77.5</v>
      </c>
      <c r="M1929">
        <v>0.77500000000000002</v>
      </c>
      <c r="N1929" t="s">
        <v>21</v>
      </c>
    </row>
    <row r="1930" spans="1:14">
      <c r="A1930">
        <v>1982</v>
      </c>
      <c r="B1930" s="4">
        <v>45178</v>
      </c>
      <c r="C1930" s="5">
        <v>0.53194444444444444</v>
      </c>
      <c r="D1930" t="s">
        <v>166</v>
      </c>
      <c r="E1930" t="s">
        <v>23</v>
      </c>
      <c r="F1930">
        <v>46</v>
      </c>
      <c r="G1930" t="s">
        <v>20</v>
      </c>
      <c r="H1930">
        <v>3</v>
      </c>
      <c r="I1930">
        <v>30</v>
      </c>
      <c r="J1930">
        <v>16.5</v>
      </c>
      <c r="K1930">
        <v>90</v>
      </c>
      <c r="L1930">
        <v>73.5</v>
      </c>
      <c r="M1930">
        <v>0.81666666666666665</v>
      </c>
      <c r="N1930" t="s">
        <v>21</v>
      </c>
    </row>
    <row r="1931" spans="1:14">
      <c r="A1931">
        <v>209</v>
      </c>
      <c r="B1931" s="4">
        <v>44807</v>
      </c>
      <c r="C1931" s="5">
        <v>0.51527777777777772</v>
      </c>
      <c r="D1931" t="s">
        <v>89</v>
      </c>
      <c r="E1931" t="s">
        <v>23</v>
      </c>
      <c r="F1931">
        <v>30</v>
      </c>
      <c r="G1931" t="s">
        <v>30</v>
      </c>
      <c r="H1931">
        <v>4</v>
      </c>
      <c r="I1931">
        <v>50</v>
      </c>
      <c r="J1931">
        <v>14</v>
      </c>
      <c r="K1931">
        <v>200</v>
      </c>
      <c r="L1931">
        <v>186</v>
      </c>
      <c r="M1931">
        <v>0.93</v>
      </c>
      <c r="N1931" t="s">
        <v>39</v>
      </c>
    </row>
    <row r="1932" spans="1:14">
      <c r="A1932">
        <v>435</v>
      </c>
      <c r="B1932" s="4">
        <v>45275</v>
      </c>
      <c r="C1932" s="5">
        <v>0.57013888888888886</v>
      </c>
      <c r="D1932" t="s">
        <v>156</v>
      </c>
      <c r="E1932" t="s">
        <v>23</v>
      </c>
      <c r="F1932">
        <v>30</v>
      </c>
      <c r="G1932" t="s">
        <v>20</v>
      </c>
      <c r="H1932">
        <v>3</v>
      </c>
      <c r="I1932">
        <v>300</v>
      </c>
      <c r="J1932">
        <v>108</v>
      </c>
      <c r="K1932">
        <v>900</v>
      </c>
      <c r="L1932">
        <v>792</v>
      </c>
      <c r="M1932">
        <v>0.88</v>
      </c>
      <c r="N1932" t="s">
        <v>39</v>
      </c>
    </row>
    <row r="1933" spans="1:14">
      <c r="A1933">
        <v>777</v>
      </c>
      <c r="B1933" s="4">
        <v>44814</v>
      </c>
      <c r="C1933" s="5">
        <v>0.62986111111111109</v>
      </c>
      <c r="D1933" t="s">
        <v>29</v>
      </c>
      <c r="E1933" t="s">
        <v>16</v>
      </c>
      <c r="F1933">
        <v>48</v>
      </c>
      <c r="G1933" t="s">
        <v>30</v>
      </c>
      <c r="H1933">
        <v>3</v>
      </c>
      <c r="I1933">
        <v>50</v>
      </c>
      <c r="J1933">
        <v>17</v>
      </c>
      <c r="K1933">
        <v>150</v>
      </c>
      <c r="L1933">
        <v>133</v>
      </c>
      <c r="M1933">
        <v>0.88666666666666671</v>
      </c>
      <c r="N1933" t="s">
        <v>21</v>
      </c>
    </row>
    <row r="1934" spans="1:14">
      <c r="A1934">
        <v>854</v>
      </c>
      <c r="B1934" s="4">
        <v>44835</v>
      </c>
      <c r="C1934" s="5">
        <v>0.65416666666666667</v>
      </c>
      <c r="D1934" t="s">
        <v>176</v>
      </c>
      <c r="E1934" t="s">
        <v>16</v>
      </c>
      <c r="F1934">
        <v>29</v>
      </c>
      <c r="G1934" t="s">
        <v>17</v>
      </c>
      <c r="H1934">
        <v>1</v>
      </c>
      <c r="I1934">
        <v>50</v>
      </c>
      <c r="J1934">
        <v>22</v>
      </c>
      <c r="K1934">
        <v>50</v>
      </c>
      <c r="L1934">
        <v>28</v>
      </c>
      <c r="M1934">
        <v>0.56000000000000005</v>
      </c>
      <c r="N1934" t="s">
        <v>39</v>
      </c>
    </row>
    <row r="1935" spans="1:14">
      <c r="A1935">
        <v>890</v>
      </c>
      <c r="B1935" s="4">
        <v>45285</v>
      </c>
      <c r="C1935" s="5">
        <v>0.61388888888888893</v>
      </c>
      <c r="D1935" t="s">
        <v>130</v>
      </c>
      <c r="E1935" t="s">
        <v>16</v>
      </c>
      <c r="F1935">
        <v>34</v>
      </c>
      <c r="G1935" t="s">
        <v>30</v>
      </c>
      <c r="H1935">
        <v>2</v>
      </c>
      <c r="I1935">
        <v>25</v>
      </c>
      <c r="J1935">
        <v>13.5</v>
      </c>
      <c r="K1935">
        <v>50</v>
      </c>
      <c r="L1935">
        <v>36.5</v>
      </c>
      <c r="M1935">
        <v>0.73</v>
      </c>
      <c r="N1935" t="s">
        <v>39</v>
      </c>
    </row>
    <row r="1936" spans="1:14">
      <c r="A1936">
        <v>1209</v>
      </c>
      <c r="B1936" s="4">
        <v>44901</v>
      </c>
      <c r="C1936" s="5">
        <v>0.52569444444444446</v>
      </c>
      <c r="D1936" t="s">
        <v>83</v>
      </c>
      <c r="E1936" t="s">
        <v>23</v>
      </c>
      <c r="F1936">
        <v>30</v>
      </c>
      <c r="G1936" t="s">
        <v>30</v>
      </c>
      <c r="H1936">
        <v>4</v>
      </c>
      <c r="I1936">
        <v>50</v>
      </c>
      <c r="J1936">
        <v>23</v>
      </c>
      <c r="K1936">
        <v>200</v>
      </c>
      <c r="L1936">
        <v>177</v>
      </c>
      <c r="M1936">
        <v>0.88500000000000001</v>
      </c>
      <c r="N1936" t="s">
        <v>39</v>
      </c>
    </row>
    <row r="1937" spans="1:14">
      <c r="A1937">
        <v>1435</v>
      </c>
      <c r="B1937" s="4">
        <v>44861</v>
      </c>
      <c r="C1937" s="5">
        <v>0.56319444444444444</v>
      </c>
      <c r="D1937" t="s">
        <v>89</v>
      </c>
      <c r="E1937" t="s">
        <v>23</v>
      </c>
      <c r="F1937">
        <v>30</v>
      </c>
      <c r="G1937" t="s">
        <v>20</v>
      </c>
      <c r="H1937">
        <v>3</v>
      </c>
      <c r="I1937">
        <v>300</v>
      </c>
      <c r="J1937">
        <v>114</v>
      </c>
      <c r="K1937">
        <v>900</v>
      </c>
      <c r="L1937">
        <v>786</v>
      </c>
      <c r="M1937">
        <v>0.87333333333333329</v>
      </c>
      <c r="N1937" t="s">
        <v>39</v>
      </c>
    </row>
    <row r="1938" spans="1:14">
      <c r="A1938">
        <v>1777</v>
      </c>
      <c r="B1938" s="4">
        <v>45245</v>
      </c>
      <c r="C1938" s="5">
        <v>0.50416666666666665</v>
      </c>
      <c r="D1938" t="s">
        <v>145</v>
      </c>
      <c r="E1938" t="s">
        <v>16</v>
      </c>
      <c r="F1938">
        <v>48</v>
      </c>
      <c r="G1938" t="s">
        <v>30</v>
      </c>
      <c r="H1938">
        <v>3</v>
      </c>
      <c r="I1938">
        <v>50</v>
      </c>
      <c r="J1938">
        <v>19.5</v>
      </c>
      <c r="K1938">
        <v>150</v>
      </c>
      <c r="L1938">
        <v>130.5</v>
      </c>
      <c r="M1938">
        <v>0.87</v>
      </c>
      <c r="N1938" t="s">
        <v>21</v>
      </c>
    </row>
    <row r="1939" spans="1:14">
      <c r="A1939">
        <v>1854</v>
      </c>
      <c r="B1939" s="4">
        <v>45255</v>
      </c>
      <c r="C1939" s="5">
        <v>0.70347222222222228</v>
      </c>
      <c r="D1939" t="s">
        <v>162</v>
      </c>
      <c r="E1939" t="s">
        <v>16</v>
      </c>
      <c r="F1939">
        <v>29</v>
      </c>
      <c r="G1939" t="s">
        <v>17</v>
      </c>
      <c r="H1939">
        <v>1</v>
      </c>
      <c r="I1939">
        <v>50</v>
      </c>
      <c r="J1939">
        <v>22.5</v>
      </c>
      <c r="K1939">
        <v>50</v>
      </c>
      <c r="L1939">
        <v>27.5</v>
      </c>
      <c r="M1939">
        <v>0.55000000000000004</v>
      </c>
      <c r="N1939" t="s">
        <v>39</v>
      </c>
    </row>
    <row r="1940" spans="1:14">
      <c r="A1940">
        <v>1890</v>
      </c>
      <c r="B1940" s="4">
        <v>45217</v>
      </c>
      <c r="C1940" s="5">
        <v>0.59722222222222221</v>
      </c>
      <c r="D1940" t="s">
        <v>97</v>
      </c>
      <c r="E1940" t="s">
        <v>16</v>
      </c>
      <c r="F1940">
        <v>34</v>
      </c>
      <c r="G1940" t="s">
        <v>30</v>
      </c>
      <c r="H1940">
        <v>2</v>
      </c>
      <c r="I1940">
        <v>25</v>
      </c>
      <c r="J1940">
        <v>6.25</v>
      </c>
      <c r="K1940">
        <v>50</v>
      </c>
      <c r="L1940">
        <v>43.75</v>
      </c>
      <c r="M1940">
        <v>0.875</v>
      </c>
      <c r="N1940" t="s">
        <v>39</v>
      </c>
    </row>
    <row r="1941" spans="1:14">
      <c r="A1941">
        <v>865</v>
      </c>
      <c r="B1941" s="4">
        <v>45277</v>
      </c>
      <c r="C1941" s="5">
        <v>0.61736111111111114</v>
      </c>
      <c r="D1941" t="s">
        <v>92</v>
      </c>
      <c r="E1941" t="s">
        <v>23</v>
      </c>
      <c r="F1941">
        <v>42</v>
      </c>
      <c r="G1941" t="s">
        <v>17</v>
      </c>
      <c r="H1941">
        <v>1</v>
      </c>
      <c r="I1941">
        <v>300</v>
      </c>
      <c r="J1941">
        <v>108</v>
      </c>
      <c r="K1941">
        <v>300</v>
      </c>
      <c r="L1941">
        <v>192</v>
      </c>
      <c r="M1941">
        <v>0.64</v>
      </c>
      <c r="N1941" t="s">
        <v>18</v>
      </c>
    </row>
    <row r="1942" spans="1:14">
      <c r="A1942">
        <v>1865</v>
      </c>
      <c r="B1942" s="4">
        <v>44883</v>
      </c>
      <c r="C1942" s="5">
        <v>0.61944444444444446</v>
      </c>
      <c r="D1942" t="s">
        <v>148</v>
      </c>
      <c r="E1942" t="s">
        <v>23</v>
      </c>
      <c r="F1942">
        <v>42</v>
      </c>
      <c r="G1942" t="s">
        <v>17</v>
      </c>
      <c r="H1942">
        <v>1</v>
      </c>
      <c r="I1942">
        <v>300</v>
      </c>
      <c r="J1942">
        <v>156</v>
      </c>
      <c r="K1942">
        <v>300</v>
      </c>
      <c r="L1942">
        <v>144</v>
      </c>
      <c r="M1942">
        <v>0.48</v>
      </c>
      <c r="N1942" t="s">
        <v>18</v>
      </c>
    </row>
    <row r="1943" spans="1:14">
      <c r="A1943">
        <v>662</v>
      </c>
      <c r="B1943" s="4">
        <v>44898</v>
      </c>
      <c r="C1943" s="5">
        <v>0.52777777777777779</v>
      </c>
      <c r="D1943" t="s">
        <v>177</v>
      </c>
      <c r="E1943" t="s">
        <v>16</v>
      </c>
      <c r="F1943">
        <v>48</v>
      </c>
      <c r="G1943" t="s">
        <v>20</v>
      </c>
      <c r="H1943">
        <v>2</v>
      </c>
      <c r="I1943">
        <v>500</v>
      </c>
      <c r="J1943">
        <v>145</v>
      </c>
      <c r="K1943">
        <v>1000</v>
      </c>
      <c r="L1943">
        <v>855</v>
      </c>
      <c r="M1943">
        <v>0.85499999999999998</v>
      </c>
      <c r="N1943" t="s">
        <v>21</v>
      </c>
    </row>
    <row r="1944" spans="1:14">
      <c r="A1944">
        <v>1662</v>
      </c>
      <c r="B1944" s="4">
        <v>45280</v>
      </c>
      <c r="C1944" s="5">
        <v>0.52638888888888891</v>
      </c>
      <c r="D1944" t="s">
        <v>109</v>
      </c>
      <c r="E1944" t="s">
        <v>16</v>
      </c>
      <c r="F1944">
        <v>48</v>
      </c>
      <c r="G1944" t="s">
        <v>20</v>
      </c>
      <c r="H1944">
        <v>2</v>
      </c>
      <c r="I1944">
        <v>500</v>
      </c>
      <c r="J1944">
        <v>240</v>
      </c>
      <c r="K1944">
        <v>1000</v>
      </c>
      <c r="L1944">
        <v>760</v>
      </c>
      <c r="M1944">
        <v>0.76</v>
      </c>
      <c r="N1944" t="s">
        <v>21</v>
      </c>
    </row>
    <row r="1945" spans="1:14">
      <c r="A1945">
        <v>309</v>
      </c>
      <c r="B1945" s="4">
        <v>45211</v>
      </c>
      <c r="C1945" s="5">
        <v>0.65208333333333335</v>
      </c>
      <c r="D1945" t="s">
        <v>92</v>
      </c>
      <c r="E1945" t="s">
        <v>23</v>
      </c>
      <c r="F1945">
        <v>26</v>
      </c>
      <c r="G1945" t="s">
        <v>20</v>
      </c>
      <c r="H1945">
        <v>1</v>
      </c>
      <c r="I1945">
        <v>25</v>
      </c>
      <c r="J1945">
        <v>9</v>
      </c>
      <c r="K1945">
        <v>25</v>
      </c>
      <c r="L1945">
        <v>16</v>
      </c>
      <c r="M1945">
        <v>0.64</v>
      </c>
      <c r="N1945" t="s">
        <v>39</v>
      </c>
    </row>
    <row r="1946" spans="1:14">
      <c r="A1946">
        <v>544</v>
      </c>
      <c r="B1946" s="4">
        <v>45230</v>
      </c>
      <c r="C1946" s="5">
        <v>0.57361111111111107</v>
      </c>
      <c r="D1946" t="s">
        <v>135</v>
      </c>
      <c r="E1946" t="s">
        <v>23</v>
      </c>
      <c r="F1946">
        <v>27</v>
      </c>
      <c r="G1946" t="s">
        <v>30</v>
      </c>
      <c r="H1946">
        <v>1</v>
      </c>
      <c r="I1946">
        <v>25</v>
      </c>
      <c r="J1946">
        <v>10.25</v>
      </c>
      <c r="K1946">
        <v>25</v>
      </c>
      <c r="L1946">
        <v>14.75</v>
      </c>
      <c r="M1946">
        <v>0.59</v>
      </c>
      <c r="N1946" t="s">
        <v>39</v>
      </c>
    </row>
    <row r="1947" spans="1:14">
      <c r="A1947">
        <v>602</v>
      </c>
      <c r="B1947" s="4">
        <v>45272</v>
      </c>
      <c r="C1947" s="5">
        <v>0.69861111111111107</v>
      </c>
      <c r="D1947" t="s">
        <v>82</v>
      </c>
      <c r="E1947" t="s">
        <v>23</v>
      </c>
      <c r="F1947">
        <v>20</v>
      </c>
      <c r="G1947" t="s">
        <v>30</v>
      </c>
      <c r="H1947">
        <v>1</v>
      </c>
      <c r="I1947">
        <v>300</v>
      </c>
      <c r="J1947">
        <v>96</v>
      </c>
      <c r="K1947">
        <v>300</v>
      </c>
      <c r="L1947">
        <v>204</v>
      </c>
      <c r="M1947">
        <v>0.68</v>
      </c>
      <c r="N1947" t="s">
        <v>31</v>
      </c>
    </row>
    <row r="1948" spans="1:14">
      <c r="A1948">
        <v>615</v>
      </c>
      <c r="B1948" s="4">
        <v>44865</v>
      </c>
      <c r="C1948" s="5">
        <v>0.62916666666666665</v>
      </c>
      <c r="D1948" t="s">
        <v>35</v>
      </c>
      <c r="E1948" t="s">
        <v>23</v>
      </c>
      <c r="F1948">
        <v>61</v>
      </c>
      <c r="G1948" t="s">
        <v>17</v>
      </c>
      <c r="H1948">
        <v>4</v>
      </c>
      <c r="I1948">
        <v>25</v>
      </c>
      <c r="J1948">
        <v>10.5</v>
      </c>
      <c r="K1948">
        <v>100</v>
      </c>
      <c r="L1948">
        <v>89.5</v>
      </c>
      <c r="M1948">
        <v>0.89500000000000002</v>
      </c>
      <c r="N1948" t="s">
        <v>28</v>
      </c>
    </row>
    <row r="1949" spans="1:14">
      <c r="A1949">
        <v>678</v>
      </c>
      <c r="B1949" s="4">
        <v>44882</v>
      </c>
      <c r="C1949" s="5">
        <v>0.66319444444444442</v>
      </c>
      <c r="D1949" t="s">
        <v>144</v>
      </c>
      <c r="E1949" t="s">
        <v>23</v>
      </c>
      <c r="F1949">
        <v>60</v>
      </c>
      <c r="G1949" t="s">
        <v>30</v>
      </c>
      <c r="H1949">
        <v>3</v>
      </c>
      <c r="I1949">
        <v>300</v>
      </c>
      <c r="J1949">
        <v>144</v>
      </c>
      <c r="K1949">
        <v>900</v>
      </c>
      <c r="L1949">
        <v>756</v>
      </c>
      <c r="M1949">
        <v>0.84</v>
      </c>
      <c r="N1949" t="s">
        <v>28</v>
      </c>
    </row>
    <row r="1950" spans="1:14">
      <c r="A1950">
        <v>781</v>
      </c>
      <c r="B1950" s="4">
        <v>44853</v>
      </c>
      <c r="C1950" s="5">
        <v>0.70277777777777772</v>
      </c>
      <c r="D1950" t="s">
        <v>109</v>
      </c>
      <c r="E1950" t="s">
        <v>16</v>
      </c>
      <c r="F1950">
        <v>35</v>
      </c>
      <c r="G1950" t="s">
        <v>20</v>
      </c>
      <c r="H1950">
        <v>1</v>
      </c>
      <c r="I1950">
        <v>500</v>
      </c>
      <c r="J1950">
        <v>225</v>
      </c>
      <c r="K1950">
        <v>500</v>
      </c>
      <c r="L1950">
        <v>275</v>
      </c>
      <c r="M1950">
        <v>0.55000000000000004</v>
      </c>
      <c r="N1950" t="s">
        <v>39</v>
      </c>
    </row>
    <row r="1951" spans="1:14">
      <c r="A1951">
        <v>1309</v>
      </c>
      <c r="B1951" s="4">
        <v>44834</v>
      </c>
      <c r="C1951" s="5">
        <v>0.70138888888888884</v>
      </c>
      <c r="D1951" t="s">
        <v>134</v>
      </c>
      <c r="E1951" t="s">
        <v>23</v>
      </c>
      <c r="F1951">
        <v>26</v>
      </c>
      <c r="G1951" t="s">
        <v>20</v>
      </c>
      <c r="H1951">
        <v>1</v>
      </c>
      <c r="I1951">
        <v>25</v>
      </c>
      <c r="J1951">
        <v>9.5</v>
      </c>
      <c r="K1951">
        <v>25</v>
      </c>
      <c r="L1951">
        <v>15.5</v>
      </c>
      <c r="M1951">
        <v>0.62</v>
      </c>
      <c r="N1951" t="s">
        <v>39</v>
      </c>
    </row>
    <row r="1952" spans="1:14">
      <c r="A1952">
        <v>1544</v>
      </c>
      <c r="B1952" s="4">
        <v>44911</v>
      </c>
      <c r="C1952" s="5">
        <v>0.66527777777777775</v>
      </c>
      <c r="D1952" t="s">
        <v>144</v>
      </c>
      <c r="E1952" t="s">
        <v>23</v>
      </c>
      <c r="F1952">
        <v>27</v>
      </c>
      <c r="G1952" t="s">
        <v>30</v>
      </c>
      <c r="H1952">
        <v>1</v>
      </c>
      <c r="I1952">
        <v>25</v>
      </c>
      <c r="J1952">
        <v>11.25</v>
      </c>
      <c r="K1952">
        <v>25</v>
      </c>
      <c r="L1952">
        <v>13.75</v>
      </c>
      <c r="M1952">
        <v>0.55000000000000004</v>
      </c>
      <c r="N1952" t="s">
        <v>39</v>
      </c>
    </row>
    <row r="1953" spans="1:14">
      <c r="A1953">
        <v>1602</v>
      </c>
      <c r="B1953" s="4">
        <v>44896</v>
      </c>
      <c r="C1953" s="5">
        <v>0.63680555555555551</v>
      </c>
      <c r="D1953" t="s">
        <v>93</v>
      </c>
      <c r="E1953" t="s">
        <v>23</v>
      </c>
      <c r="F1953">
        <v>20</v>
      </c>
      <c r="G1953" t="s">
        <v>30</v>
      </c>
      <c r="H1953">
        <v>1</v>
      </c>
      <c r="I1953">
        <v>300</v>
      </c>
      <c r="J1953">
        <v>126</v>
      </c>
      <c r="K1953">
        <v>300</v>
      </c>
      <c r="L1953">
        <v>174</v>
      </c>
      <c r="M1953">
        <v>0.57999999999999996</v>
      </c>
      <c r="N1953" t="s">
        <v>31</v>
      </c>
    </row>
    <row r="1954" spans="1:14">
      <c r="A1954">
        <v>1615</v>
      </c>
      <c r="B1954" s="4">
        <v>44882</v>
      </c>
      <c r="C1954" s="5">
        <v>0.57152777777777775</v>
      </c>
      <c r="D1954" t="s">
        <v>43</v>
      </c>
      <c r="E1954" t="s">
        <v>23</v>
      </c>
      <c r="F1954">
        <v>61</v>
      </c>
      <c r="G1954" t="s">
        <v>17</v>
      </c>
      <c r="H1954">
        <v>4</v>
      </c>
      <c r="I1954">
        <v>25</v>
      </c>
      <c r="J1954">
        <v>13.5</v>
      </c>
      <c r="K1954">
        <v>100</v>
      </c>
      <c r="L1954">
        <v>86.5</v>
      </c>
      <c r="M1954">
        <v>0.86499999999999999</v>
      </c>
      <c r="N1954" t="s">
        <v>28</v>
      </c>
    </row>
    <row r="1955" spans="1:14">
      <c r="A1955">
        <v>1678</v>
      </c>
      <c r="B1955" s="4">
        <v>44820</v>
      </c>
      <c r="C1955" s="5">
        <v>0.57222222222222219</v>
      </c>
      <c r="D1955" t="s">
        <v>149</v>
      </c>
      <c r="E1955" t="s">
        <v>23</v>
      </c>
      <c r="F1955">
        <v>60</v>
      </c>
      <c r="G1955" t="s">
        <v>30</v>
      </c>
      <c r="H1955">
        <v>3</v>
      </c>
      <c r="I1955">
        <v>300</v>
      </c>
      <c r="J1955">
        <v>102</v>
      </c>
      <c r="K1955">
        <v>900</v>
      </c>
      <c r="L1955">
        <v>798</v>
      </c>
      <c r="M1955">
        <v>0.88666666666666671</v>
      </c>
      <c r="N1955" t="s">
        <v>28</v>
      </c>
    </row>
    <row r="1956" spans="1:14">
      <c r="A1956">
        <v>1781</v>
      </c>
      <c r="B1956" s="4">
        <v>44847</v>
      </c>
      <c r="C1956" s="5">
        <v>0.51527777777777772</v>
      </c>
      <c r="D1956" t="s">
        <v>83</v>
      </c>
      <c r="E1956" t="s">
        <v>16</v>
      </c>
      <c r="F1956">
        <v>35</v>
      </c>
      <c r="G1956" t="s">
        <v>20</v>
      </c>
      <c r="H1956">
        <v>1</v>
      </c>
      <c r="I1956">
        <v>500</v>
      </c>
      <c r="J1956">
        <v>225</v>
      </c>
      <c r="K1956">
        <v>500</v>
      </c>
      <c r="L1956">
        <v>275</v>
      </c>
      <c r="M1956">
        <v>0.55000000000000004</v>
      </c>
      <c r="N1956" t="s">
        <v>39</v>
      </c>
    </row>
    <row r="1957" spans="1:14">
      <c r="A1957">
        <v>34</v>
      </c>
      <c r="B1957" s="4">
        <v>45193</v>
      </c>
      <c r="C1957" s="5">
        <v>0.55972222222222223</v>
      </c>
      <c r="D1957" t="s">
        <v>116</v>
      </c>
      <c r="E1957" t="s">
        <v>23</v>
      </c>
      <c r="F1957">
        <v>51</v>
      </c>
      <c r="G1957" t="s">
        <v>17</v>
      </c>
      <c r="H1957">
        <v>3</v>
      </c>
      <c r="I1957">
        <v>50</v>
      </c>
      <c r="J1957">
        <v>17</v>
      </c>
      <c r="K1957">
        <v>150</v>
      </c>
      <c r="L1957">
        <v>133</v>
      </c>
      <c r="M1957">
        <v>0.88666666666666671</v>
      </c>
      <c r="N1957" t="s">
        <v>21</v>
      </c>
    </row>
    <row r="1958" spans="1:14">
      <c r="A1958">
        <v>916</v>
      </c>
      <c r="B1958" s="4">
        <v>45265</v>
      </c>
      <c r="C1958" s="5">
        <v>0.53888888888888886</v>
      </c>
      <c r="D1958" t="s">
        <v>47</v>
      </c>
      <c r="E1958" t="s">
        <v>23</v>
      </c>
      <c r="F1958">
        <v>32</v>
      </c>
      <c r="G1958" t="s">
        <v>30</v>
      </c>
      <c r="H1958">
        <v>1</v>
      </c>
      <c r="I1958">
        <v>50</v>
      </c>
      <c r="J1958">
        <v>26</v>
      </c>
      <c r="K1958">
        <v>50</v>
      </c>
      <c r="L1958">
        <v>24</v>
      </c>
      <c r="M1958">
        <v>0.48</v>
      </c>
      <c r="N1958" t="s">
        <v>39</v>
      </c>
    </row>
    <row r="1959" spans="1:14">
      <c r="A1959">
        <v>1034</v>
      </c>
      <c r="B1959" s="4">
        <v>44878</v>
      </c>
      <c r="C1959" s="5">
        <v>0.6166666666666667</v>
      </c>
      <c r="D1959" t="s">
        <v>19</v>
      </c>
      <c r="E1959" t="s">
        <v>23</v>
      </c>
      <c r="F1959">
        <v>51</v>
      </c>
      <c r="G1959" t="s">
        <v>17</v>
      </c>
      <c r="H1959">
        <v>3</v>
      </c>
      <c r="I1959">
        <v>50</v>
      </c>
      <c r="J1959">
        <v>24.5</v>
      </c>
      <c r="K1959">
        <v>150</v>
      </c>
      <c r="L1959">
        <v>125.5</v>
      </c>
      <c r="M1959">
        <v>0.83666666666666667</v>
      </c>
      <c r="N1959" t="s">
        <v>21</v>
      </c>
    </row>
    <row r="1960" spans="1:14">
      <c r="A1960">
        <v>1916</v>
      </c>
      <c r="B1960" s="4">
        <v>44873</v>
      </c>
      <c r="C1960" s="5">
        <v>0.52777777777777779</v>
      </c>
      <c r="D1960" t="s">
        <v>37</v>
      </c>
      <c r="E1960" t="s">
        <v>23</v>
      </c>
      <c r="F1960">
        <v>32</v>
      </c>
      <c r="G1960" t="s">
        <v>30</v>
      </c>
      <c r="H1960">
        <v>1</v>
      </c>
      <c r="I1960">
        <v>50</v>
      </c>
      <c r="J1960">
        <v>16.5</v>
      </c>
      <c r="K1960">
        <v>50</v>
      </c>
      <c r="L1960">
        <v>33.5</v>
      </c>
      <c r="M1960">
        <v>0.67</v>
      </c>
      <c r="N1960" t="s">
        <v>39</v>
      </c>
    </row>
    <row r="1961" spans="1:14">
      <c r="A1961">
        <v>757</v>
      </c>
      <c r="B1961" s="4">
        <v>45205</v>
      </c>
      <c r="C1961" s="5">
        <v>0.50694444444444442</v>
      </c>
      <c r="D1961" t="s">
        <v>43</v>
      </c>
      <c r="E1961" t="s">
        <v>23</v>
      </c>
      <c r="F1961">
        <v>43</v>
      </c>
      <c r="G1961" t="s">
        <v>30</v>
      </c>
      <c r="H1961">
        <v>4</v>
      </c>
      <c r="I1961">
        <v>300</v>
      </c>
      <c r="J1961">
        <v>105</v>
      </c>
      <c r="K1961">
        <v>1200</v>
      </c>
      <c r="L1961">
        <v>1095</v>
      </c>
      <c r="M1961">
        <v>0.91249999999999998</v>
      </c>
      <c r="N1961" t="s">
        <v>18</v>
      </c>
    </row>
    <row r="1962" spans="1:14">
      <c r="A1962">
        <v>1757</v>
      </c>
      <c r="B1962" s="4">
        <v>45198</v>
      </c>
      <c r="C1962" s="5">
        <v>0.6958333333333333</v>
      </c>
      <c r="D1962" t="s">
        <v>42</v>
      </c>
      <c r="E1962" t="s">
        <v>23</v>
      </c>
      <c r="F1962">
        <v>43</v>
      </c>
      <c r="G1962" t="s">
        <v>30</v>
      </c>
      <c r="H1962">
        <v>4</v>
      </c>
      <c r="I1962">
        <v>300</v>
      </c>
      <c r="J1962">
        <v>132</v>
      </c>
      <c r="K1962">
        <v>1200</v>
      </c>
      <c r="L1962">
        <v>1068</v>
      </c>
      <c r="M1962">
        <v>0.89</v>
      </c>
      <c r="N1962" t="s">
        <v>18</v>
      </c>
    </row>
    <row r="1963" spans="1:14">
      <c r="A1963">
        <v>25</v>
      </c>
      <c r="B1963" s="4">
        <v>44885</v>
      </c>
      <c r="C1963" s="5">
        <v>0.60555555555555551</v>
      </c>
      <c r="D1963" t="s">
        <v>89</v>
      </c>
      <c r="E1963" t="s">
        <v>23</v>
      </c>
      <c r="F1963">
        <v>64</v>
      </c>
      <c r="G1963" t="s">
        <v>20</v>
      </c>
      <c r="H1963">
        <v>1</v>
      </c>
      <c r="I1963">
        <v>50</v>
      </c>
      <c r="J1963">
        <v>19</v>
      </c>
      <c r="K1963">
        <v>50</v>
      </c>
      <c r="L1963">
        <v>31</v>
      </c>
      <c r="M1963">
        <v>0.62</v>
      </c>
      <c r="N1963" t="s">
        <v>28</v>
      </c>
    </row>
    <row r="1964" spans="1:14">
      <c r="A1964">
        <v>82</v>
      </c>
      <c r="B1964" s="4">
        <v>44812</v>
      </c>
      <c r="C1964" s="5">
        <v>0.53819444444444442</v>
      </c>
      <c r="D1964" t="s">
        <v>24</v>
      </c>
      <c r="E1964" t="s">
        <v>23</v>
      </c>
      <c r="F1964">
        <v>32</v>
      </c>
      <c r="G1964" t="s">
        <v>20</v>
      </c>
      <c r="H1964">
        <v>4</v>
      </c>
      <c r="I1964">
        <v>50</v>
      </c>
      <c r="J1964">
        <v>15</v>
      </c>
      <c r="K1964">
        <v>200</v>
      </c>
      <c r="L1964">
        <v>185</v>
      </c>
      <c r="M1964">
        <v>0.92500000000000004</v>
      </c>
      <c r="N1964" t="s">
        <v>39</v>
      </c>
    </row>
    <row r="1965" spans="1:14">
      <c r="A1965">
        <v>472</v>
      </c>
      <c r="B1965" s="4">
        <v>45229</v>
      </c>
      <c r="C1965" s="5">
        <v>0.64097222222222228</v>
      </c>
      <c r="D1965" t="s">
        <v>135</v>
      </c>
      <c r="E1965" t="s">
        <v>23</v>
      </c>
      <c r="F1965">
        <v>38</v>
      </c>
      <c r="G1965" t="s">
        <v>20</v>
      </c>
      <c r="H1965">
        <v>3</v>
      </c>
      <c r="I1965">
        <v>300</v>
      </c>
      <c r="J1965">
        <v>162</v>
      </c>
      <c r="K1965">
        <v>900</v>
      </c>
      <c r="L1965">
        <v>738</v>
      </c>
      <c r="M1965">
        <v>0.82</v>
      </c>
      <c r="N1965" t="s">
        <v>18</v>
      </c>
    </row>
    <row r="1966" spans="1:14">
      <c r="A1966">
        <v>842</v>
      </c>
      <c r="B1966" s="4">
        <v>44893</v>
      </c>
      <c r="C1966" s="5">
        <v>0.59236111111111112</v>
      </c>
      <c r="D1966" t="s">
        <v>67</v>
      </c>
      <c r="E1966" t="s">
        <v>23</v>
      </c>
      <c r="F1966">
        <v>47</v>
      </c>
      <c r="G1966" t="s">
        <v>17</v>
      </c>
      <c r="H1966">
        <v>2</v>
      </c>
      <c r="I1966">
        <v>300</v>
      </c>
      <c r="J1966">
        <v>105</v>
      </c>
      <c r="K1966">
        <v>600</v>
      </c>
      <c r="L1966">
        <v>495</v>
      </c>
      <c r="M1966">
        <v>0.82499999999999996</v>
      </c>
      <c r="N1966" t="s">
        <v>21</v>
      </c>
    </row>
    <row r="1967" spans="1:14">
      <c r="A1967">
        <v>879</v>
      </c>
      <c r="B1967" s="4">
        <v>44878</v>
      </c>
      <c r="C1967" s="5">
        <v>0.70208333333333328</v>
      </c>
      <c r="D1967" t="s">
        <v>42</v>
      </c>
      <c r="E1967" t="s">
        <v>16</v>
      </c>
      <c r="F1967">
        <v>23</v>
      </c>
      <c r="G1967" t="s">
        <v>17</v>
      </c>
      <c r="H1967">
        <v>1</v>
      </c>
      <c r="I1967">
        <v>30</v>
      </c>
      <c r="J1967">
        <v>15.3</v>
      </c>
      <c r="K1967">
        <v>30</v>
      </c>
      <c r="L1967">
        <v>14.7</v>
      </c>
      <c r="M1967">
        <v>0.49</v>
      </c>
      <c r="N1967" t="s">
        <v>31</v>
      </c>
    </row>
    <row r="1968" spans="1:14">
      <c r="A1968">
        <v>991</v>
      </c>
      <c r="B1968" s="4">
        <v>45183</v>
      </c>
      <c r="C1968" s="5">
        <v>0.60277777777777775</v>
      </c>
      <c r="D1968" t="s">
        <v>166</v>
      </c>
      <c r="E1968" t="s">
        <v>23</v>
      </c>
      <c r="F1968">
        <v>34</v>
      </c>
      <c r="G1968" t="s">
        <v>17</v>
      </c>
      <c r="H1968">
        <v>2</v>
      </c>
      <c r="I1968">
        <v>50</v>
      </c>
      <c r="J1968">
        <v>19.5</v>
      </c>
      <c r="K1968">
        <v>100</v>
      </c>
      <c r="L1968">
        <v>80.5</v>
      </c>
      <c r="M1968">
        <v>0.80500000000000005</v>
      </c>
      <c r="N1968" t="s">
        <v>39</v>
      </c>
    </row>
    <row r="1969" spans="1:14">
      <c r="A1969">
        <v>1025</v>
      </c>
      <c r="B1969" s="4">
        <v>44877</v>
      </c>
      <c r="C1969" s="5">
        <v>0.69513888888888886</v>
      </c>
      <c r="D1969" t="s">
        <v>165</v>
      </c>
      <c r="E1969" t="s">
        <v>23</v>
      </c>
      <c r="F1969">
        <v>64</v>
      </c>
      <c r="G1969" t="s">
        <v>20</v>
      </c>
      <c r="H1969">
        <v>1</v>
      </c>
      <c r="I1969">
        <v>50</v>
      </c>
      <c r="J1969">
        <v>16.5</v>
      </c>
      <c r="K1969">
        <v>50</v>
      </c>
      <c r="L1969">
        <v>33.5</v>
      </c>
      <c r="M1969">
        <v>0.67</v>
      </c>
      <c r="N1969" t="s">
        <v>28</v>
      </c>
    </row>
    <row r="1970" spans="1:14">
      <c r="A1970">
        <v>1082</v>
      </c>
      <c r="B1970" s="4">
        <v>44856</v>
      </c>
      <c r="C1970" s="5">
        <v>0.66388888888888886</v>
      </c>
      <c r="D1970" t="s">
        <v>117</v>
      </c>
      <c r="E1970" t="s">
        <v>23</v>
      </c>
      <c r="F1970">
        <v>32</v>
      </c>
      <c r="G1970" t="s">
        <v>20</v>
      </c>
      <c r="H1970">
        <v>4</v>
      </c>
      <c r="I1970">
        <v>50</v>
      </c>
      <c r="J1970">
        <v>27.5</v>
      </c>
      <c r="K1970">
        <v>200</v>
      </c>
      <c r="L1970">
        <v>172.5</v>
      </c>
      <c r="M1970">
        <v>0.86250000000000004</v>
      </c>
      <c r="N1970" t="s">
        <v>39</v>
      </c>
    </row>
    <row r="1971" spans="1:14">
      <c r="A1971">
        <v>1472</v>
      </c>
      <c r="B1971" s="4">
        <v>45278</v>
      </c>
      <c r="C1971" s="5">
        <v>0.64027777777777772</v>
      </c>
      <c r="D1971" t="s">
        <v>145</v>
      </c>
      <c r="E1971" t="s">
        <v>23</v>
      </c>
      <c r="F1971">
        <v>38</v>
      </c>
      <c r="G1971" t="s">
        <v>20</v>
      </c>
      <c r="H1971">
        <v>3</v>
      </c>
      <c r="I1971">
        <v>300</v>
      </c>
      <c r="J1971">
        <v>150</v>
      </c>
      <c r="K1971">
        <v>900</v>
      </c>
      <c r="L1971">
        <v>750</v>
      </c>
      <c r="M1971">
        <v>0.83333333333333337</v>
      </c>
      <c r="N1971" t="s">
        <v>18</v>
      </c>
    </row>
    <row r="1972" spans="1:14">
      <c r="A1972">
        <v>1842</v>
      </c>
      <c r="B1972" s="4">
        <v>44838</v>
      </c>
      <c r="C1972" s="5">
        <v>0.5854166666666667</v>
      </c>
      <c r="D1972" t="s">
        <v>176</v>
      </c>
      <c r="E1972" t="s">
        <v>23</v>
      </c>
      <c r="F1972">
        <v>47</v>
      </c>
      <c r="G1972" t="s">
        <v>17</v>
      </c>
      <c r="H1972">
        <v>2</v>
      </c>
      <c r="I1972">
        <v>300</v>
      </c>
      <c r="J1972">
        <v>75</v>
      </c>
      <c r="K1972">
        <v>600</v>
      </c>
      <c r="L1972">
        <v>525</v>
      </c>
      <c r="M1972">
        <v>0.875</v>
      </c>
      <c r="N1972" t="s">
        <v>21</v>
      </c>
    </row>
    <row r="1973" spans="1:14">
      <c r="A1973">
        <v>1879</v>
      </c>
      <c r="B1973" s="4">
        <v>44883</v>
      </c>
      <c r="C1973" s="5">
        <v>0.64375000000000004</v>
      </c>
      <c r="D1973" t="s">
        <v>32</v>
      </c>
      <c r="E1973" t="s">
        <v>16</v>
      </c>
      <c r="F1973">
        <v>23</v>
      </c>
      <c r="G1973" t="s">
        <v>17</v>
      </c>
      <c r="H1973">
        <v>1</v>
      </c>
      <c r="I1973">
        <v>30</v>
      </c>
      <c r="J1973">
        <v>16.2</v>
      </c>
      <c r="K1973">
        <v>30</v>
      </c>
      <c r="L1973">
        <v>13.8</v>
      </c>
      <c r="M1973">
        <v>0.46</v>
      </c>
      <c r="N1973" t="s">
        <v>31</v>
      </c>
    </row>
    <row r="1974" spans="1:14">
      <c r="A1974">
        <v>1991</v>
      </c>
      <c r="B1974" s="4">
        <v>44899</v>
      </c>
      <c r="C1974" s="5">
        <v>0.5493055555555556</v>
      </c>
      <c r="D1974" t="s">
        <v>157</v>
      </c>
      <c r="E1974" t="s">
        <v>23</v>
      </c>
      <c r="F1974">
        <v>34</v>
      </c>
      <c r="G1974" t="s">
        <v>17</v>
      </c>
      <c r="H1974">
        <v>2</v>
      </c>
      <c r="I1974">
        <v>50</v>
      </c>
      <c r="J1974">
        <v>14.5</v>
      </c>
      <c r="K1974">
        <v>100</v>
      </c>
      <c r="L1974">
        <v>85.5</v>
      </c>
      <c r="M1974">
        <v>0.85499999999999998</v>
      </c>
      <c r="N1974" t="s">
        <v>39</v>
      </c>
    </row>
    <row r="1975" spans="1:14">
      <c r="A1975">
        <v>62</v>
      </c>
      <c r="B1975" s="4">
        <v>45185</v>
      </c>
      <c r="C1975" s="5">
        <v>0.53749999999999998</v>
      </c>
      <c r="D1975" t="s">
        <v>42</v>
      </c>
      <c r="E1975" t="s">
        <v>16</v>
      </c>
      <c r="F1975">
        <v>18</v>
      </c>
      <c r="G1975" t="s">
        <v>20</v>
      </c>
      <c r="H1975">
        <v>2</v>
      </c>
      <c r="I1975">
        <v>50</v>
      </c>
      <c r="J1975">
        <v>26.5</v>
      </c>
      <c r="K1975">
        <v>100</v>
      </c>
      <c r="L1975">
        <v>73.5</v>
      </c>
      <c r="M1975">
        <v>0.73499999999999999</v>
      </c>
      <c r="N1975" t="s">
        <v>31</v>
      </c>
    </row>
    <row r="1976" spans="1:14">
      <c r="A1976">
        <v>386</v>
      </c>
      <c r="B1976" s="4">
        <v>44857</v>
      </c>
      <c r="C1976" s="5">
        <v>0.55555555555555558</v>
      </c>
      <c r="D1976" t="s">
        <v>55</v>
      </c>
      <c r="E1976" t="s">
        <v>23</v>
      </c>
      <c r="F1976">
        <v>54</v>
      </c>
      <c r="G1976" t="s">
        <v>30</v>
      </c>
      <c r="H1976">
        <v>2</v>
      </c>
      <c r="I1976">
        <v>300</v>
      </c>
      <c r="J1976">
        <v>153</v>
      </c>
      <c r="K1976">
        <v>600</v>
      </c>
      <c r="L1976">
        <v>447</v>
      </c>
      <c r="M1976">
        <v>0.745</v>
      </c>
      <c r="N1976" t="s">
        <v>21</v>
      </c>
    </row>
    <row r="1977" spans="1:14">
      <c r="A1977">
        <v>1062</v>
      </c>
      <c r="B1977" s="4">
        <v>44915</v>
      </c>
      <c r="C1977" s="5">
        <v>0.67013888888888884</v>
      </c>
      <c r="D1977" t="s">
        <v>95</v>
      </c>
      <c r="E1977" t="s">
        <v>16</v>
      </c>
      <c r="F1977">
        <v>18</v>
      </c>
      <c r="G1977" t="s">
        <v>20</v>
      </c>
      <c r="H1977">
        <v>2</v>
      </c>
      <c r="I1977">
        <v>50</v>
      </c>
      <c r="J1977">
        <v>21.5</v>
      </c>
      <c r="K1977">
        <v>100</v>
      </c>
      <c r="L1977">
        <v>78.5</v>
      </c>
      <c r="M1977">
        <v>0.78500000000000003</v>
      </c>
      <c r="N1977" t="s">
        <v>31</v>
      </c>
    </row>
    <row r="1978" spans="1:14">
      <c r="A1978">
        <v>1386</v>
      </c>
      <c r="B1978" s="4">
        <v>45279</v>
      </c>
      <c r="C1978" s="5">
        <v>0.58750000000000002</v>
      </c>
      <c r="D1978" t="s">
        <v>166</v>
      </c>
      <c r="E1978" t="s">
        <v>23</v>
      </c>
      <c r="F1978">
        <v>54</v>
      </c>
      <c r="G1978" t="s">
        <v>30</v>
      </c>
      <c r="H1978">
        <v>2</v>
      </c>
      <c r="I1978">
        <v>300</v>
      </c>
      <c r="J1978">
        <v>81</v>
      </c>
      <c r="K1978">
        <v>600</v>
      </c>
      <c r="L1978">
        <v>519</v>
      </c>
      <c r="M1978">
        <v>0.86499999999999999</v>
      </c>
      <c r="N1978" t="s">
        <v>21</v>
      </c>
    </row>
    <row r="1979" spans="1:14">
      <c r="A1979">
        <v>429</v>
      </c>
      <c r="B1979" s="4">
        <v>45177</v>
      </c>
      <c r="C1979" s="5">
        <v>0.60347222222222219</v>
      </c>
      <c r="D1979" t="s">
        <v>72</v>
      </c>
      <c r="E1979" t="s">
        <v>16</v>
      </c>
      <c r="F1979">
        <v>64</v>
      </c>
      <c r="G1979" t="s">
        <v>30</v>
      </c>
      <c r="H1979">
        <v>2</v>
      </c>
      <c r="I1979">
        <v>25</v>
      </c>
      <c r="J1979">
        <v>6.75</v>
      </c>
      <c r="K1979">
        <v>50</v>
      </c>
      <c r="L1979">
        <v>43.25</v>
      </c>
      <c r="M1979">
        <v>0.86499999999999999</v>
      </c>
      <c r="N1979" t="s">
        <v>28</v>
      </c>
    </row>
    <row r="1980" spans="1:14">
      <c r="A1980">
        <v>664</v>
      </c>
      <c r="B1980" s="4">
        <v>44807</v>
      </c>
      <c r="C1980" s="5">
        <v>0.70277777777777772</v>
      </c>
      <c r="D1980" t="s">
        <v>162</v>
      </c>
      <c r="E1980" t="s">
        <v>23</v>
      </c>
      <c r="F1980">
        <v>44</v>
      </c>
      <c r="G1980" t="s">
        <v>17</v>
      </c>
      <c r="H1980">
        <v>4</v>
      </c>
      <c r="I1980">
        <v>500</v>
      </c>
      <c r="J1980">
        <v>170</v>
      </c>
      <c r="K1980">
        <v>2000</v>
      </c>
      <c r="L1980">
        <v>1830</v>
      </c>
      <c r="M1980">
        <v>0.91500000000000004</v>
      </c>
      <c r="N1980" t="s">
        <v>18</v>
      </c>
    </row>
    <row r="1981" spans="1:14">
      <c r="A1981">
        <v>989</v>
      </c>
      <c r="B1981" s="4">
        <v>44865</v>
      </c>
      <c r="C1981" s="5">
        <v>0.5625</v>
      </c>
      <c r="D1981" t="s">
        <v>111</v>
      </c>
      <c r="E1981" t="s">
        <v>23</v>
      </c>
      <c r="F1981">
        <v>44</v>
      </c>
      <c r="G1981" t="s">
        <v>30</v>
      </c>
      <c r="H1981">
        <v>1</v>
      </c>
      <c r="I1981">
        <v>25</v>
      </c>
      <c r="J1981">
        <v>8.25</v>
      </c>
      <c r="K1981">
        <v>25</v>
      </c>
      <c r="L1981">
        <v>16.75</v>
      </c>
      <c r="M1981">
        <v>0.67</v>
      </c>
      <c r="N1981" t="s">
        <v>18</v>
      </c>
    </row>
    <row r="1982" spans="1:14">
      <c r="A1982">
        <v>1429</v>
      </c>
      <c r="B1982" s="4">
        <v>45252</v>
      </c>
      <c r="C1982" s="5">
        <v>0.55138888888888893</v>
      </c>
      <c r="D1982" t="s">
        <v>37</v>
      </c>
      <c r="E1982" t="s">
        <v>16</v>
      </c>
      <c r="F1982">
        <v>64</v>
      </c>
      <c r="G1982" t="s">
        <v>30</v>
      </c>
      <c r="H1982">
        <v>2</v>
      </c>
      <c r="I1982">
        <v>25</v>
      </c>
      <c r="J1982">
        <v>12</v>
      </c>
      <c r="K1982">
        <v>50</v>
      </c>
      <c r="L1982">
        <v>38</v>
      </c>
      <c r="M1982">
        <v>0.76</v>
      </c>
      <c r="N1982" t="s">
        <v>28</v>
      </c>
    </row>
    <row r="1983" spans="1:14">
      <c r="A1983">
        <v>1664</v>
      </c>
      <c r="B1983" s="4">
        <v>45272</v>
      </c>
      <c r="C1983" s="5">
        <v>0.69722222222222219</v>
      </c>
      <c r="D1983" t="s">
        <v>149</v>
      </c>
      <c r="E1983" t="s">
        <v>23</v>
      </c>
      <c r="F1983">
        <v>44</v>
      </c>
      <c r="G1983" t="s">
        <v>17</v>
      </c>
      <c r="H1983">
        <v>4</v>
      </c>
      <c r="I1983">
        <v>500</v>
      </c>
      <c r="J1983">
        <v>245</v>
      </c>
      <c r="K1983">
        <v>2000</v>
      </c>
      <c r="L1983">
        <v>1755</v>
      </c>
      <c r="M1983">
        <v>0.87749999999999995</v>
      </c>
      <c r="N1983" t="s">
        <v>18</v>
      </c>
    </row>
    <row r="1984" spans="1:14">
      <c r="A1984">
        <v>1989</v>
      </c>
      <c r="B1984" s="4">
        <v>44810</v>
      </c>
      <c r="C1984" s="5">
        <v>0.68125000000000002</v>
      </c>
      <c r="D1984" t="s">
        <v>162</v>
      </c>
      <c r="E1984" t="s">
        <v>23</v>
      </c>
      <c r="F1984">
        <v>44</v>
      </c>
      <c r="G1984" t="s">
        <v>30</v>
      </c>
      <c r="H1984">
        <v>1</v>
      </c>
      <c r="I1984">
        <v>25</v>
      </c>
      <c r="J1984">
        <v>13.25</v>
      </c>
      <c r="K1984">
        <v>25</v>
      </c>
      <c r="L1984">
        <v>11.75</v>
      </c>
      <c r="M1984">
        <v>0.47</v>
      </c>
      <c r="N1984" t="s">
        <v>18</v>
      </c>
    </row>
    <row r="1985" spans="1:14">
      <c r="A1985">
        <v>233</v>
      </c>
      <c r="B1985" s="4">
        <v>44807</v>
      </c>
      <c r="C1985" s="5">
        <v>0.54791666666666672</v>
      </c>
      <c r="D1985" t="s">
        <v>107</v>
      </c>
      <c r="E1985" t="s">
        <v>23</v>
      </c>
      <c r="F1985">
        <v>51</v>
      </c>
      <c r="G1985" t="s">
        <v>20</v>
      </c>
      <c r="H1985">
        <v>2</v>
      </c>
      <c r="I1985">
        <v>300</v>
      </c>
      <c r="J1985">
        <v>132</v>
      </c>
      <c r="K1985">
        <v>600</v>
      </c>
      <c r="L1985">
        <v>468</v>
      </c>
      <c r="M1985">
        <v>0.78</v>
      </c>
      <c r="N1985" t="s">
        <v>21</v>
      </c>
    </row>
    <row r="1986" spans="1:14">
      <c r="A1986">
        <v>520</v>
      </c>
      <c r="B1986" s="4">
        <v>44850</v>
      </c>
      <c r="C1986" s="5">
        <v>0.52916666666666667</v>
      </c>
      <c r="D1986" t="s">
        <v>180</v>
      </c>
      <c r="E1986" t="s">
        <v>23</v>
      </c>
      <c r="F1986">
        <v>49</v>
      </c>
      <c r="G1986" t="s">
        <v>30</v>
      </c>
      <c r="H1986">
        <v>4</v>
      </c>
      <c r="I1986">
        <v>25</v>
      </c>
      <c r="J1986">
        <v>13</v>
      </c>
      <c r="K1986">
        <v>100</v>
      </c>
      <c r="L1986">
        <v>87</v>
      </c>
      <c r="M1986">
        <v>0.87</v>
      </c>
      <c r="N1986" t="s">
        <v>21</v>
      </c>
    </row>
    <row r="1987" spans="1:14">
      <c r="A1987">
        <v>805</v>
      </c>
      <c r="B1987" s="4">
        <v>44807</v>
      </c>
      <c r="C1987" s="5">
        <v>0.57986111111111116</v>
      </c>
      <c r="D1987" t="s">
        <v>36</v>
      </c>
      <c r="E1987" t="s">
        <v>23</v>
      </c>
      <c r="F1987">
        <v>30</v>
      </c>
      <c r="G1987" t="s">
        <v>20</v>
      </c>
      <c r="H1987">
        <v>3</v>
      </c>
      <c r="I1987">
        <v>500</v>
      </c>
      <c r="J1987">
        <v>155</v>
      </c>
      <c r="K1987">
        <v>1500</v>
      </c>
      <c r="L1987">
        <v>1345</v>
      </c>
      <c r="M1987">
        <v>0.89666666666666661</v>
      </c>
      <c r="N1987" t="s">
        <v>39</v>
      </c>
    </row>
    <row r="1988" spans="1:14">
      <c r="A1988">
        <v>908</v>
      </c>
      <c r="B1988" s="4">
        <v>44864</v>
      </c>
      <c r="C1988" s="5">
        <v>0.61597222222222225</v>
      </c>
      <c r="D1988" t="s">
        <v>167</v>
      </c>
      <c r="E1988" t="s">
        <v>16</v>
      </c>
      <c r="F1988">
        <v>46</v>
      </c>
      <c r="G1988" t="s">
        <v>20</v>
      </c>
      <c r="H1988">
        <v>4</v>
      </c>
      <c r="I1988">
        <v>300</v>
      </c>
      <c r="J1988">
        <v>81</v>
      </c>
      <c r="K1988">
        <v>1200</v>
      </c>
      <c r="L1988">
        <v>1119</v>
      </c>
      <c r="M1988">
        <v>0.9325</v>
      </c>
      <c r="N1988" t="s">
        <v>21</v>
      </c>
    </row>
    <row r="1989" spans="1:14">
      <c r="A1989">
        <v>1233</v>
      </c>
      <c r="B1989" s="4">
        <v>45200</v>
      </c>
      <c r="C1989" s="5">
        <v>0.68055555555555558</v>
      </c>
      <c r="D1989" t="s">
        <v>180</v>
      </c>
      <c r="E1989" t="s">
        <v>23</v>
      </c>
      <c r="F1989">
        <v>51</v>
      </c>
      <c r="G1989" t="s">
        <v>20</v>
      </c>
      <c r="H1989">
        <v>2</v>
      </c>
      <c r="I1989">
        <v>300</v>
      </c>
      <c r="J1989">
        <v>117</v>
      </c>
      <c r="K1989">
        <v>600</v>
      </c>
      <c r="L1989">
        <v>483</v>
      </c>
      <c r="M1989">
        <v>0.80500000000000005</v>
      </c>
      <c r="N1989" t="s">
        <v>21</v>
      </c>
    </row>
    <row r="1990" spans="1:14">
      <c r="A1990">
        <v>1520</v>
      </c>
      <c r="B1990" s="4">
        <v>44886</v>
      </c>
      <c r="C1990" s="5">
        <v>0.64444444444444449</v>
      </c>
      <c r="D1990" t="s">
        <v>68</v>
      </c>
      <c r="E1990" t="s">
        <v>23</v>
      </c>
      <c r="F1990">
        <v>49</v>
      </c>
      <c r="G1990" t="s">
        <v>30</v>
      </c>
      <c r="H1990">
        <v>4</v>
      </c>
      <c r="I1990">
        <v>25</v>
      </c>
      <c r="J1990">
        <v>10.5</v>
      </c>
      <c r="K1990">
        <v>100</v>
      </c>
      <c r="L1990">
        <v>89.5</v>
      </c>
      <c r="M1990">
        <v>0.89500000000000002</v>
      </c>
      <c r="N1990" t="s">
        <v>21</v>
      </c>
    </row>
    <row r="1991" spans="1:14">
      <c r="A1991">
        <v>1805</v>
      </c>
      <c r="B1991" s="4">
        <v>45209</v>
      </c>
      <c r="C1991" s="5">
        <v>0.56597222222222221</v>
      </c>
      <c r="D1991" t="s">
        <v>180</v>
      </c>
      <c r="E1991" t="s">
        <v>23</v>
      </c>
      <c r="F1991">
        <v>30</v>
      </c>
      <c r="G1991" t="s">
        <v>20</v>
      </c>
      <c r="H1991">
        <v>3</v>
      </c>
      <c r="I1991">
        <v>500</v>
      </c>
      <c r="J1991">
        <v>225</v>
      </c>
      <c r="K1991">
        <v>1500</v>
      </c>
      <c r="L1991">
        <v>1275</v>
      </c>
      <c r="M1991">
        <v>0.85</v>
      </c>
      <c r="N1991" t="s">
        <v>39</v>
      </c>
    </row>
    <row r="1992" spans="1:14">
      <c r="A1992">
        <v>1908</v>
      </c>
      <c r="B1992" s="4">
        <v>45277</v>
      </c>
      <c r="C1992" s="5">
        <v>0.52361111111111114</v>
      </c>
      <c r="D1992" t="s">
        <v>134</v>
      </c>
      <c r="E1992" t="s">
        <v>16</v>
      </c>
      <c r="F1992">
        <v>46</v>
      </c>
      <c r="G1992" t="s">
        <v>20</v>
      </c>
      <c r="H1992">
        <v>4</v>
      </c>
      <c r="I1992">
        <v>300</v>
      </c>
      <c r="J1992">
        <v>87</v>
      </c>
      <c r="K1992">
        <v>1200</v>
      </c>
      <c r="L1992">
        <v>1113</v>
      </c>
      <c r="M1992">
        <v>0.92749999999999999</v>
      </c>
      <c r="N1992" t="s">
        <v>21</v>
      </c>
    </row>
    <row r="1993" spans="1:14">
      <c r="A1993">
        <v>857</v>
      </c>
      <c r="B1993" s="4">
        <v>45250</v>
      </c>
      <c r="C1993" s="5">
        <v>0.50624999999999998</v>
      </c>
      <c r="D1993" t="s">
        <v>74</v>
      </c>
      <c r="E1993" t="s">
        <v>16</v>
      </c>
      <c r="F1993">
        <v>60</v>
      </c>
      <c r="G1993" t="s">
        <v>30</v>
      </c>
      <c r="H1993">
        <v>2</v>
      </c>
      <c r="I1993">
        <v>25</v>
      </c>
      <c r="J1993">
        <v>12</v>
      </c>
      <c r="K1993">
        <v>50</v>
      </c>
      <c r="L1993">
        <v>38</v>
      </c>
      <c r="M1993">
        <v>0.76</v>
      </c>
      <c r="N1993" t="s">
        <v>28</v>
      </c>
    </row>
    <row r="1994" spans="1:14">
      <c r="A1994">
        <v>1857</v>
      </c>
      <c r="B1994" s="4">
        <v>44874</v>
      </c>
      <c r="C1994" s="5">
        <v>0.51041666666666663</v>
      </c>
      <c r="D1994" t="s">
        <v>162</v>
      </c>
      <c r="E1994" t="s">
        <v>16</v>
      </c>
      <c r="F1994">
        <v>60</v>
      </c>
      <c r="G1994" t="s">
        <v>30</v>
      </c>
      <c r="H1994">
        <v>2</v>
      </c>
      <c r="I1994">
        <v>25</v>
      </c>
      <c r="J1994">
        <v>7.5</v>
      </c>
      <c r="K1994">
        <v>50</v>
      </c>
      <c r="L1994">
        <v>42.5</v>
      </c>
      <c r="M1994">
        <v>0.85</v>
      </c>
      <c r="N1994" t="s">
        <v>28</v>
      </c>
    </row>
    <row r="1995" spans="1:14">
      <c r="A1995">
        <v>211</v>
      </c>
      <c r="B1995" s="4">
        <v>44816</v>
      </c>
      <c r="C1995" s="5">
        <v>0.58472222222222225</v>
      </c>
      <c r="D1995" t="s">
        <v>29</v>
      </c>
      <c r="E1995" t="s">
        <v>16</v>
      </c>
      <c r="F1995">
        <v>42</v>
      </c>
      <c r="G1995" t="s">
        <v>20</v>
      </c>
      <c r="H1995">
        <v>3</v>
      </c>
      <c r="I1995">
        <v>500</v>
      </c>
      <c r="J1995">
        <v>235</v>
      </c>
      <c r="K1995">
        <v>1500</v>
      </c>
      <c r="L1995">
        <v>1265</v>
      </c>
      <c r="M1995">
        <v>0.84333333333333338</v>
      </c>
      <c r="N1995" t="s">
        <v>18</v>
      </c>
    </row>
    <row r="1996" spans="1:14">
      <c r="A1996">
        <v>650</v>
      </c>
      <c r="B1996" s="4">
        <v>45207</v>
      </c>
      <c r="C1996" s="5">
        <v>0.52847222222222223</v>
      </c>
      <c r="D1996" t="s">
        <v>45</v>
      </c>
      <c r="E1996" t="s">
        <v>16</v>
      </c>
      <c r="F1996">
        <v>55</v>
      </c>
      <c r="G1996" t="s">
        <v>30</v>
      </c>
      <c r="H1996">
        <v>1</v>
      </c>
      <c r="I1996">
        <v>30</v>
      </c>
      <c r="J1996">
        <v>15</v>
      </c>
      <c r="K1996">
        <v>30</v>
      </c>
      <c r="L1996">
        <v>15</v>
      </c>
      <c r="M1996">
        <v>0.5</v>
      </c>
      <c r="N1996" t="s">
        <v>21</v>
      </c>
    </row>
    <row r="1997" spans="1:14">
      <c r="A1997">
        <v>1211</v>
      </c>
      <c r="B1997" s="4">
        <v>45252</v>
      </c>
      <c r="C1997" s="5">
        <v>0.62430555555555556</v>
      </c>
      <c r="D1997" t="s">
        <v>43</v>
      </c>
      <c r="E1997" t="s">
        <v>16</v>
      </c>
      <c r="F1997">
        <v>42</v>
      </c>
      <c r="G1997" t="s">
        <v>20</v>
      </c>
      <c r="H1997">
        <v>3</v>
      </c>
      <c r="I1997">
        <v>500</v>
      </c>
      <c r="J1997">
        <v>235</v>
      </c>
      <c r="K1997">
        <v>1500</v>
      </c>
      <c r="L1997">
        <v>1265</v>
      </c>
      <c r="M1997">
        <v>0.84333333333333338</v>
      </c>
      <c r="N1997" t="s">
        <v>18</v>
      </c>
    </row>
    <row r="1998" spans="1:14">
      <c r="A1998">
        <v>1650</v>
      </c>
      <c r="B1998" s="4">
        <v>44827</v>
      </c>
      <c r="C1998" s="5">
        <v>0.68333333333333335</v>
      </c>
      <c r="D1998" t="s">
        <v>53</v>
      </c>
      <c r="E1998" t="s">
        <v>16</v>
      </c>
      <c r="F1998">
        <v>55</v>
      </c>
      <c r="G1998" t="s">
        <v>30</v>
      </c>
      <c r="H1998">
        <v>1</v>
      </c>
      <c r="I1998">
        <v>30</v>
      </c>
      <c r="J1998">
        <v>10.8</v>
      </c>
      <c r="K1998">
        <v>30</v>
      </c>
      <c r="L1998">
        <v>19.2</v>
      </c>
      <c r="M1998">
        <v>0.64</v>
      </c>
      <c r="N1998"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9FA28-9B62-4FED-B40F-46F54062605B}">
  <dimension ref="A1:GI209"/>
  <sheetViews>
    <sheetView topLeftCell="F36" zoomScale="70" zoomScaleNormal="70" workbookViewId="0">
      <selection activeCell="O48" sqref="O48"/>
    </sheetView>
  </sheetViews>
  <sheetFormatPr defaultRowHeight="14.5"/>
  <cols>
    <col min="1" max="1" width="13.08984375" bestFit="1" customWidth="1"/>
    <col min="2" max="2" width="15.453125" bestFit="1" customWidth="1"/>
    <col min="3" max="3" width="13.54296875" bestFit="1" customWidth="1"/>
    <col min="4" max="4" width="11.81640625" bestFit="1" customWidth="1"/>
    <col min="5" max="9" width="15.453125" bestFit="1" customWidth="1"/>
    <col min="10" max="10" width="13.08984375" bestFit="1" customWidth="1"/>
    <col min="11" max="11" width="15.453125" bestFit="1" customWidth="1"/>
    <col min="12" max="12" width="11.81640625" bestFit="1" customWidth="1"/>
    <col min="13" max="13" width="24.81640625" customWidth="1"/>
    <col min="14" max="14" width="18.7265625" customWidth="1"/>
    <col min="15" max="15" width="13.08984375" bestFit="1" customWidth="1"/>
    <col min="16" max="16" width="25.08984375" customWidth="1"/>
    <col min="17" max="17" width="16.6328125" customWidth="1"/>
    <col min="18" max="18" width="13.08984375" bestFit="1" customWidth="1"/>
    <col min="19" max="19" width="15.453125" bestFit="1" customWidth="1"/>
    <col min="20" max="20" width="11.81640625" bestFit="1" customWidth="1"/>
    <col min="21" max="21" width="8.36328125" customWidth="1"/>
  </cols>
  <sheetData>
    <row r="1" spans="1:135" s="35" customFormat="1" ht="27" customHeight="1">
      <c r="A1" s="57" t="s">
        <v>298</v>
      </c>
      <c r="B1" s="57"/>
      <c r="C1" s="57"/>
      <c r="D1" s="57"/>
      <c r="E1" s="60" t="s">
        <v>299</v>
      </c>
      <c r="F1" s="61"/>
      <c r="G1" s="61"/>
      <c r="H1" s="61"/>
      <c r="I1" s="61"/>
      <c r="J1" s="61"/>
      <c r="K1" s="61"/>
      <c r="L1" s="61"/>
      <c r="M1" s="61"/>
      <c r="N1" s="47"/>
      <c r="O1" s="47"/>
      <c r="P1" s="47"/>
      <c r="Q1" s="47"/>
      <c r="R1" s="47"/>
      <c r="S1" s="47"/>
      <c r="T1" s="47"/>
      <c r="U1" s="47"/>
      <c r="V1" s="47"/>
      <c r="W1" s="47"/>
      <c r="X1" s="47"/>
      <c r="Y1" s="47"/>
      <c r="Z1" s="47"/>
      <c r="AA1" s="47"/>
    </row>
    <row r="2" spans="1:135">
      <c r="E2" s="6"/>
    </row>
    <row r="4" spans="1:135" s="34" customFormat="1" ht="13.5" customHeight="1">
      <c r="A4" s="58" t="s">
        <v>202</v>
      </c>
      <c r="B4" s="58"/>
      <c r="C4" s="58"/>
      <c r="D4" s="58"/>
      <c r="F4" s="21"/>
      <c r="G4" s="21"/>
      <c r="H4" s="21"/>
      <c r="I4" s="21"/>
      <c r="J4" s="40"/>
      <c r="K4" s="40"/>
      <c r="L4" s="40"/>
      <c r="M4" s="40"/>
      <c r="N4" s="40"/>
      <c r="O4" s="39"/>
      <c r="P4" s="39"/>
      <c r="Q4" s="39"/>
      <c r="R4" s="3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row>
    <row r="5" spans="1:135" ht="17.5">
      <c r="I5" s="32" t="s">
        <v>215</v>
      </c>
      <c r="J5" s="32"/>
      <c r="K5" s="32"/>
      <c r="L5" s="32"/>
      <c r="M5" s="29"/>
      <c r="N5" s="29"/>
    </row>
    <row r="6" spans="1:135">
      <c r="A6" s="7" t="s">
        <v>185</v>
      </c>
    </row>
    <row r="7" spans="1:135" ht="20" customHeight="1">
      <c r="A7" s="8" t="s">
        <v>181</v>
      </c>
      <c r="B7" s="68">
        <v>911720</v>
      </c>
      <c r="I7" s="7" t="s">
        <v>186</v>
      </c>
      <c r="J7" t="s">
        <v>181</v>
      </c>
      <c r="P7" s="1" t="s">
        <v>216</v>
      </c>
      <c r="Q7" s="12" t="s">
        <v>217</v>
      </c>
      <c r="R7" s="12" t="s">
        <v>218</v>
      </c>
    </row>
    <row r="8" spans="1:135" ht="15.5">
      <c r="A8" s="8" t="s">
        <v>182</v>
      </c>
      <c r="B8" s="68">
        <v>721957.30000000016</v>
      </c>
      <c r="I8" s="8" t="s">
        <v>23</v>
      </c>
      <c r="J8" s="68">
        <v>465400</v>
      </c>
      <c r="M8" s="21"/>
      <c r="N8" s="21"/>
      <c r="P8" s="2" t="s">
        <v>23</v>
      </c>
      <c r="Q8" s="11" t="s">
        <v>219</v>
      </c>
      <c r="R8" s="14">
        <v>1017</v>
      </c>
    </row>
    <row r="9" spans="1:135">
      <c r="A9" s="8" t="s">
        <v>184</v>
      </c>
      <c r="B9" s="68">
        <v>1997</v>
      </c>
      <c r="I9" s="9" t="s">
        <v>31</v>
      </c>
      <c r="J9" s="68">
        <v>78850</v>
      </c>
      <c r="P9" s="2" t="s">
        <v>220</v>
      </c>
      <c r="Q9" s="11" t="s">
        <v>221</v>
      </c>
      <c r="R9" s="11">
        <v>455</v>
      </c>
    </row>
    <row r="10" spans="1:135" ht="14.5" customHeight="1">
      <c r="A10" s="8" t="s">
        <v>203</v>
      </c>
      <c r="B10" s="6">
        <f>B8/B7*100</f>
        <v>79.186296231299096</v>
      </c>
      <c r="I10" s="9" t="s">
        <v>39</v>
      </c>
      <c r="J10" s="68">
        <v>110140</v>
      </c>
      <c r="M10" s="1"/>
      <c r="N10" s="12"/>
      <c r="O10" s="12"/>
    </row>
    <row r="11" spans="1:135">
      <c r="I11" s="9" t="s">
        <v>18</v>
      </c>
      <c r="J11" s="68">
        <v>93470</v>
      </c>
      <c r="M11" s="2"/>
      <c r="N11" s="11"/>
      <c r="O11" s="14"/>
    </row>
    <row r="12" spans="1:135" ht="18.5" customHeight="1">
      <c r="I12" s="9" t="s">
        <v>21</v>
      </c>
      <c r="J12" s="68">
        <v>106620</v>
      </c>
      <c r="M12" s="2"/>
      <c r="N12" s="11"/>
      <c r="O12" s="11"/>
    </row>
    <row r="13" spans="1:135">
      <c r="I13" s="9" t="s">
        <v>28</v>
      </c>
      <c r="J13" s="68">
        <v>74030</v>
      </c>
    </row>
    <row r="14" spans="1:135">
      <c r="I14" s="9" t="s">
        <v>49</v>
      </c>
      <c r="J14" s="68">
        <v>2290</v>
      </c>
    </row>
    <row r="15" spans="1:135">
      <c r="I15" s="8" t="s">
        <v>16</v>
      </c>
      <c r="J15" s="68">
        <v>446320</v>
      </c>
      <c r="M15" s="7" t="s">
        <v>186</v>
      </c>
      <c r="N15" t="s">
        <v>184</v>
      </c>
    </row>
    <row r="16" spans="1:135">
      <c r="I16" s="9" t="s">
        <v>31</v>
      </c>
      <c r="J16" s="68">
        <v>90110</v>
      </c>
      <c r="M16" s="8" t="s">
        <v>23</v>
      </c>
      <c r="N16" s="68">
        <v>1017</v>
      </c>
    </row>
    <row r="17" spans="1:191">
      <c r="I17" s="9" t="s">
        <v>39</v>
      </c>
      <c r="J17" s="68">
        <v>86730</v>
      </c>
      <c r="M17" s="9" t="s">
        <v>31</v>
      </c>
      <c r="N17" s="68">
        <v>161</v>
      </c>
    </row>
    <row r="18" spans="1:191">
      <c r="I18" s="9" t="s">
        <v>18</v>
      </c>
      <c r="J18" s="68">
        <v>90195</v>
      </c>
      <c r="M18" s="9" t="s">
        <v>39</v>
      </c>
      <c r="N18" s="68">
        <v>213</v>
      </c>
    </row>
    <row r="19" spans="1:191" s="29" customFormat="1" ht="17.5">
      <c r="A19" s="59" t="s">
        <v>204</v>
      </c>
      <c r="B19" s="59"/>
      <c r="C19" s="59"/>
      <c r="D19" s="59"/>
      <c r="E19" s="59"/>
      <c r="H19"/>
      <c r="I19" s="9" t="s">
        <v>21</v>
      </c>
      <c r="J19" s="68">
        <v>93685</v>
      </c>
      <c r="K19"/>
      <c r="L19"/>
      <c r="M19" s="9" t="s">
        <v>18</v>
      </c>
      <c r="N19" s="68">
        <v>214</v>
      </c>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row>
    <row r="20" spans="1:191">
      <c r="I20" s="9" t="s">
        <v>28</v>
      </c>
      <c r="J20" s="68">
        <v>84400</v>
      </c>
      <c r="M20" s="9" t="s">
        <v>21</v>
      </c>
      <c r="N20" s="68">
        <v>238</v>
      </c>
    </row>
    <row r="21" spans="1:191" ht="17.5">
      <c r="I21" s="9" t="s">
        <v>49</v>
      </c>
      <c r="J21" s="68">
        <v>1200</v>
      </c>
      <c r="M21" s="9" t="s">
        <v>28</v>
      </c>
      <c r="N21" s="68">
        <v>186</v>
      </c>
      <c r="O21" s="43"/>
    </row>
    <row r="22" spans="1:191">
      <c r="A22" s="7" t="s">
        <v>186</v>
      </c>
      <c r="B22" t="s">
        <v>181</v>
      </c>
      <c r="C22" t="s">
        <v>182</v>
      </c>
      <c r="I22" s="8" t="s">
        <v>189</v>
      </c>
      <c r="J22" s="68">
        <v>911720</v>
      </c>
      <c r="M22" s="9" t="s">
        <v>49</v>
      </c>
      <c r="N22" s="68">
        <v>5</v>
      </c>
    </row>
    <row r="23" spans="1:191">
      <c r="A23" s="8" t="s">
        <v>187</v>
      </c>
      <c r="B23" s="68">
        <v>452825</v>
      </c>
      <c r="C23" s="68">
        <v>356815.6</v>
      </c>
      <c r="M23" s="8" t="s">
        <v>16</v>
      </c>
      <c r="N23" s="68">
        <v>980</v>
      </c>
    </row>
    <row r="24" spans="1:191">
      <c r="A24" s="9" t="s">
        <v>190</v>
      </c>
      <c r="B24" s="68">
        <v>22635</v>
      </c>
      <c r="C24" s="68">
        <v>19428.3</v>
      </c>
      <c r="M24" s="8" t="s">
        <v>189</v>
      </c>
      <c r="N24" s="68">
        <v>1997</v>
      </c>
    </row>
    <row r="25" spans="1:191">
      <c r="A25" s="9" t="s">
        <v>191</v>
      </c>
      <c r="B25" s="68">
        <v>16110</v>
      </c>
      <c r="C25" s="68">
        <v>13111.8</v>
      </c>
    </row>
    <row r="26" spans="1:191">
      <c r="A26" s="9" t="s">
        <v>192</v>
      </c>
      <c r="B26" s="68">
        <v>24505</v>
      </c>
      <c r="C26" s="68">
        <v>20929.750000000004</v>
      </c>
    </row>
    <row r="27" spans="1:191" ht="17.5">
      <c r="A27" s="9" t="s">
        <v>193</v>
      </c>
      <c r="B27" s="68">
        <v>28705</v>
      </c>
      <c r="C27" s="68">
        <v>23671.100000000002</v>
      </c>
      <c r="J27" s="38" t="s">
        <v>261</v>
      </c>
      <c r="K27" s="32"/>
      <c r="L27" s="32"/>
      <c r="M27" s="29"/>
      <c r="N27" s="29"/>
      <c r="O27" s="32"/>
      <c r="P27" s="29"/>
      <c r="Q27" s="29"/>
      <c r="R27" s="29"/>
      <c r="S27" s="29"/>
    </row>
    <row r="28" spans="1:191">
      <c r="A28" s="9" t="s">
        <v>194</v>
      </c>
      <c r="B28" s="68">
        <v>24980</v>
      </c>
      <c r="C28" s="68">
        <v>21028.199999999997</v>
      </c>
    </row>
    <row r="29" spans="1:191" ht="43.5">
      <c r="A29" s="9" t="s">
        <v>195</v>
      </c>
      <c r="B29" s="68">
        <v>20700</v>
      </c>
      <c r="C29" s="68">
        <v>17138.949999999997</v>
      </c>
      <c r="J29" s="45" t="s">
        <v>264</v>
      </c>
      <c r="R29" s="7" t="s">
        <v>186</v>
      </c>
      <c r="S29" t="s">
        <v>181</v>
      </c>
      <c r="T29" t="s">
        <v>182</v>
      </c>
    </row>
    <row r="30" spans="1:191">
      <c r="A30" s="9" t="s">
        <v>199</v>
      </c>
      <c r="B30" s="68">
        <v>22195</v>
      </c>
      <c r="C30" s="68">
        <v>18403.3</v>
      </c>
      <c r="J30" s="2" t="s">
        <v>265</v>
      </c>
      <c r="K30" s="46">
        <v>911720</v>
      </c>
      <c r="R30" s="8" t="s">
        <v>81</v>
      </c>
      <c r="S30" s="68">
        <v>38440</v>
      </c>
      <c r="T30" s="68">
        <v>32860.85</v>
      </c>
    </row>
    <row r="31" spans="1:191" ht="12.5" customHeight="1">
      <c r="A31" s="9" t="s">
        <v>200</v>
      </c>
      <c r="B31" s="68">
        <v>21195</v>
      </c>
      <c r="C31" s="68">
        <v>18058.299999999996</v>
      </c>
      <c r="J31" s="2" t="s">
        <v>266</v>
      </c>
      <c r="K31">
        <v>1997</v>
      </c>
      <c r="M31" s="1"/>
      <c r="N31" s="1"/>
      <c r="R31" s="8" t="s">
        <v>40</v>
      </c>
      <c r="S31" s="68">
        <v>30750</v>
      </c>
      <c r="T31" s="68">
        <v>25754.349999999995</v>
      </c>
    </row>
    <row r="32" spans="1:191" ht="26.5" customHeight="1">
      <c r="A32" s="9" t="s">
        <v>201</v>
      </c>
      <c r="B32" s="68">
        <v>61770</v>
      </c>
      <c r="C32" s="68">
        <v>47290.400000000001</v>
      </c>
      <c r="J32" s="2" t="s">
        <v>264</v>
      </c>
      <c r="K32" s="2">
        <f>K30/K31</f>
        <v>456.54481722583876</v>
      </c>
      <c r="N32" s="18"/>
      <c r="R32" s="8" t="s">
        <v>22</v>
      </c>
      <c r="S32" s="68">
        <v>30405</v>
      </c>
      <c r="T32" s="68">
        <v>25583.35</v>
      </c>
    </row>
    <row r="33" spans="1:20">
      <c r="A33" s="9" t="s">
        <v>196</v>
      </c>
      <c r="B33" s="68">
        <v>68235</v>
      </c>
      <c r="C33" s="68">
        <v>49709.35</v>
      </c>
      <c r="N33" s="18"/>
      <c r="R33" s="8" t="s">
        <v>124</v>
      </c>
      <c r="S33" s="68">
        <v>25295</v>
      </c>
      <c r="T33" s="68">
        <v>20474.75</v>
      </c>
    </row>
    <row r="34" spans="1:20">
      <c r="A34" s="9" t="s">
        <v>197</v>
      </c>
      <c r="B34" s="68">
        <v>68915</v>
      </c>
      <c r="C34" s="68">
        <v>53119.249999999985</v>
      </c>
      <c r="J34" s="8"/>
      <c r="L34" s="18"/>
      <c r="N34" s="18"/>
      <c r="R34" s="8" t="s">
        <v>159</v>
      </c>
      <c r="S34" s="68">
        <v>23580</v>
      </c>
      <c r="T34" s="68">
        <v>19446.95</v>
      </c>
    </row>
    <row r="35" spans="1:20">
      <c r="A35" s="9" t="s">
        <v>198</v>
      </c>
      <c r="B35" s="68">
        <v>72880</v>
      </c>
      <c r="C35" s="68">
        <v>54926.9</v>
      </c>
      <c r="J35" s="16"/>
      <c r="K35" s="42"/>
      <c r="M35" s="42"/>
      <c r="R35" s="8" t="s">
        <v>116</v>
      </c>
      <c r="S35" s="68">
        <v>15855</v>
      </c>
      <c r="T35" s="68">
        <v>13383.05</v>
      </c>
    </row>
    <row r="36" spans="1:20" ht="15.5">
      <c r="A36" s="8" t="s">
        <v>188</v>
      </c>
      <c r="B36" s="68">
        <v>458895</v>
      </c>
      <c r="C36" s="68">
        <v>365141.70000000007</v>
      </c>
      <c r="E36" s="56" t="s">
        <v>205</v>
      </c>
      <c r="F36" s="56"/>
      <c r="G36" s="56"/>
      <c r="H36" s="56"/>
      <c r="J36" s="21"/>
      <c r="K36" s="21"/>
      <c r="L36" s="21"/>
      <c r="R36" s="8" t="s">
        <v>29</v>
      </c>
      <c r="S36" s="68">
        <v>13475</v>
      </c>
      <c r="T36" s="68">
        <v>10694.05</v>
      </c>
    </row>
    <row r="37" spans="1:20" ht="24.5" customHeight="1">
      <c r="A37" s="9" t="s">
        <v>190</v>
      </c>
      <c r="B37" s="68">
        <v>23790</v>
      </c>
      <c r="C37" s="68">
        <v>20016.249999999996</v>
      </c>
      <c r="J37" s="7" t="s">
        <v>186</v>
      </c>
      <c r="K37" t="s">
        <v>181</v>
      </c>
      <c r="L37" t="s">
        <v>182</v>
      </c>
      <c r="M37" s="1"/>
      <c r="N37" s="1"/>
      <c r="R37" s="8" t="s">
        <v>67</v>
      </c>
      <c r="S37" s="68">
        <v>12790</v>
      </c>
      <c r="T37" s="68">
        <v>9792.4500000000007</v>
      </c>
    </row>
    <row r="38" spans="1:20" ht="15.5">
      <c r="A38" s="9" t="s">
        <v>191</v>
      </c>
      <c r="B38" s="68">
        <v>25170</v>
      </c>
      <c r="C38" s="68">
        <v>21424.45</v>
      </c>
      <c r="D38" s="21" t="s">
        <v>213</v>
      </c>
      <c r="J38" s="8" t="s">
        <v>20</v>
      </c>
      <c r="K38" s="68">
        <v>286840</v>
      </c>
      <c r="L38" s="68">
        <v>228630.14999999991</v>
      </c>
      <c r="N38" s="18"/>
      <c r="R38" s="8" t="s">
        <v>83</v>
      </c>
      <c r="S38" s="68">
        <v>12080</v>
      </c>
      <c r="T38" s="68">
        <v>9612.25</v>
      </c>
    </row>
    <row r="39" spans="1:20" ht="29">
      <c r="A39" s="9" t="s">
        <v>192</v>
      </c>
      <c r="B39" s="68">
        <v>20530</v>
      </c>
      <c r="C39" s="68">
        <v>16809.349999999999</v>
      </c>
      <c r="D39" s="1" t="s">
        <v>206</v>
      </c>
      <c r="E39" s="1" t="s">
        <v>207</v>
      </c>
      <c r="F39" s="12" t="s">
        <v>208</v>
      </c>
      <c r="J39" s="8" t="s">
        <v>17</v>
      </c>
      <c r="K39" s="68">
        <v>311070</v>
      </c>
      <c r="L39" s="68">
        <v>246679.49999999991</v>
      </c>
      <c r="N39" s="18"/>
      <c r="R39" s="8" t="s">
        <v>176</v>
      </c>
      <c r="S39" s="68">
        <v>11730</v>
      </c>
      <c r="T39" s="68">
        <v>9308.25</v>
      </c>
    </row>
    <row r="40" spans="1:20">
      <c r="A40" s="9" t="s">
        <v>193</v>
      </c>
      <c r="B40" s="68">
        <v>21925</v>
      </c>
      <c r="C40" s="68">
        <v>18563.55</v>
      </c>
      <c r="D40" s="2" t="s">
        <v>209</v>
      </c>
      <c r="E40" s="13" t="s">
        <v>262</v>
      </c>
      <c r="F40" s="14" t="s">
        <v>263</v>
      </c>
      <c r="J40" s="8" t="s">
        <v>30</v>
      </c>
      <c r="K40" s="68">
        <v>313810</v>
      </c>
      <c r="L40" s="68">
        <v>246647.64999999997</v>
      </c>
      <c r="N40" s="18"/>
      <c r="R40" s="8" t="s">
        <v>130</v>
      </c>
      <c r="S40" s="68">
        <v>11235</v>
      </c>
      <c r="T40" s="68">
        <v>8800.65</v>
      </c>
    </row>
    <row r="41" spans="1:20">
      <c r="A41" s="9" t="s">
        <v>194</v>
      </c>
      <c r="B41" s="68">
        <v>27010</v>
      </c>
      <c r="C41" s="68">
        <v>22525.249999999996</v>
      </c>
      <c r="D41" s="2" t="s">
        <v>210</v>
      </c>
      <c r="E41" s="13">
        <v>44593</v>
      </c>
      <c r="F41" s="14">
        <v>16110</v>
      </c>
      <c r="J41" s="8" t="s">
        <v>189</v>
      </c>
      <c r="K41" s="68">
        <v>911720</v>
      </c>
      <c r="L41" s="68">
        <v>721957.29999999981</v>
      </c>
      <c r="M41" s="42"/>
      <c r="R41" s="8" t="s">
        <v>117</v>
      </c>
      <c r="S41" s="68">
        <v>9845</v>
      </c>
      <c r="T41" s="68">
        <v>8291.0499999999993</v>
      </c>
    </row>
    <row r="42" spans="1:20" ht="29">
      <c r="A42" s="9" t="s">
        <v>195</v>
      </c>
      <c r="B42" s="68">
        <v>24555</v>
      </c>
      <c r="C42" s="68">
        <v>20317.399999999998</v>
      </c>
      <c r="D42" s="2" t="s">
        <v>211</v>
      </c>
      <c r="E42" s="13">
        <v>44896</v>
      </c>
      <c r="F42" s="15">
        <v>54926.9</v>
      </c>
      <c r="J42" s="43"/>
      <c r="K42" s="43"/>
      <c r="L42" s="43"/>
      <c r="M42" s="43"/>
      <c r="R42" s="8" t="s">
        <v>89</v>
      </c>
      <c r="S42" s="68">
        <v>9860</v>
      </c>
      <c r="T42" s="68">
        <v>8246.6</v>
      </c>
    </row>
    <row r="43" spans="1:20">
      <c r="A43" s="9" t="s">
        <v>199</v>
      </c>
      <c r="B43" s="68">
        <v>35925</v>
      </c>
      <c r="C43" s="68">
        <v>30161.699999999997</v>
      </c>
      <c r="D43" s="2" t="s">
        <v>212</v>
      </c>
      <c r="E43" s="13">
        <v>44593</v>
      </c>
      <c r="F43" s="15">
        <v>13111.8</v>
      </c>
      <c r="R43" s="8" t="s">
        <v>52</v>
      </c>
      <c r="S43" s="68">
        <v>10225</v>
      </c>
      <c r="T43" s="68">
        <v>7868.35</v>
      </c>
    </row>
    <row r="44" spans="1:20">
      <c r="A44" s="9" t="s">
        <v>200</v>
      </c>
      <c r="B44" s="68">
        <v>28270</v>
      </c>
      <c r="C44" s="68">
        <v>23022.6</v>
      </c>
      <c r="J44" s="22"/>
      <c r="R44" s="8" t="s">
        <v>173</v>
      </c>
      <c r="S44" s="68">
        <v>9965</v>
      </c>
      <c r="T44" s="68">
        <v>7776.65</v>
      </c>
    </row>
    <row r="45" spans="1:20" ht="15.5">
      <c r="A45" s="9" t="s">
        <v>201</v>
      </c>
      <c r="B45" s="68">
        <v>67560</v>
      </c>
      <c r="C45" s="68">
        <v>51755.80000000001</v>
      </c>
      <c r="D45" s="28" t="s">
        <v>214</v>
      </c>
      <c r="J45" s="21" t="s">
        <v>225</v>
      </c>
      <c r="K45" s="21"/>
      <c r="L45" s="21"/>
      <c r="R45" s="8" t="s">
        <v>19</v>
      </c>
      <c r="S45" s="68">
        <v>10325</v>
      </c>
      <c r="T45" s="68">
        <v>7755.25</v>
      </c>
    </row>
    <row r="46" spans="1:20" ht="14.5" customHeight="1">
      <c r="A46" s="9" t="s">
        <v>196</v>
      </c>
      <c r="B46" s="68">
        <v>57880</v>
      </c>
      <c r="C46" s="68">
        <v>42040.549999999996</v>
      </c>
      <c r="D46" s="1" t="s">
        <v>206</v>
      </c>
      <c r="E46" s="1" t="s">
        <v>207</v>
      </c>
      <c r="F46" s="12" t="s">
        <v>208</v>
      </c>
      <c r="J46" s="41" t="s">
        <v>222</v>
      </c>
      <c r="K46" s="41" t="s">
        <v>217</v>
      </c>
      <c r="L46" s="41" t="s">
        <v>223</v>
      </c>
      <c r="M46" s="41" t="s">
        <v>12</v>
      </c>
      <c r="N46" s="41" t="s">
        <v>224</v>
      </c>
      <c r="R46" s="8" t="s">
        <v>43</v>
      </c>
      <c r="S46" s="68">
        <v>9360</v>
      </c>
      <c r="T46" s="68">
        <v>7543.15</v>
      </c>
    </row>
    <row r="47" spans="1:20">
      <c r="A47" s="9" t="s">
        <v>197</v>
      </c>
      <c r="B47" s="68">
        <v>57135</v>
      </c>
      <c r="C47" s="68">
        <v>44396.200000000012</v>
      </c>
      <c r="D47" s="2" t="s">
        <v>209</v>
      </c>
      <c r="E47" s="13">
        <v>45261</v>
      </c>
      <c r="F47" s="14">
        <v>69145</v>
      </c>
      <c r="J47" s="8" t="s">
        <v>20</v>
      </c>
      <c r="K47">
        <v>286840</v>
      </c>
      <c r="L47" s="18">
        <f>K47/$K$50</f>
        <v>0.31461413591892246</v>
      </c>
      <c r="M47">
        <v>228630.14999999991</v>
      </c>
      <c r="N47" s="18">
        <f>M47/$M$50</f>
        <v>0.31668098653479915</v>
      </c>
      <c r="R47" s="8" t="s">
        <v>82</v>
      </c>
      <c r="S47" s="68">
        <v>9290</v>
      </c>
      <c r="T47" s="68">
        <v>7493.4000000000005</v>
      </c>
    </row>
    <row r="48" spans="1:20">
      <c r="A48" s="9" t="s">
        <v>198</v>
      </c>
      <c r="B48" s="68">
        <v>69145</v>
      </c>
      <c r="C48" s="68">
        <v>54108.600000000006</v>
      </c>
      <c r="D48" s="2" t="s">
        <v>210</v>
      </c>
      <c r="E48" s="13">
        <v>44986</v>
      </c>
      <c r="F48" s="14">
        <v>20530</v>
      </c>
      <c r="J48" s="8" t="s">
        <v>17</v>
      </c>
      <c r="K48">
        <v>311070</v>
      </c>
      <c r="L48" s="18">
        <f t="shared" ref="L48:L49" si="0">K48/$K$50</f>
        <v>0.3411902777168429</v>
      </c>
      <c r="M48">
        <v>246679.49999999991</v>
      </c>
      <c r="N48" s="18">
        <f t="shared" ref="N48:N49" si="1">M48/$M$50</f>
        <v>0.34168156482384759</v>
      </c>
      <c r="R48" s="8" t="s">
        <v>74</v>
      </c>
      <c r="S48" s="68">
        <v>8565</v>
      </c>
      <c r="T48" s="68">
        <v>7388.55</v>
      </c>
    </row>
    <row r="49" spans="1:33" ht="14.5" customHeight="1">
      <c r="A49" s="8" t="s">
        <v>189</v>
      </c>
      <c r="B49" s="68">
        <v>911720</v>
      </c>
      <c r="C49" s="68">
        <v>721957.30000000016</v>
      </c>
      <c r="D49" s="2" t="s">
        <v>211</v>
      </c>
      <c r="E49" s="13">
        <v>45261</v>
      </c>
      <c r="F49" s="15">
        <v>54108.6</v>
      </c>
      <c r="J49" s="8" t="s">
        <v>30</v>
      </c>
      <c r="K49">
        <v>313810</v>
      </c>
      <c r="L49" s="18">
        <f t="shared" si="0"/>
        <v>0.34419558636423464</v>
      </c>
      <c r="M49">
        <v>246647.64999999997</v>
      </c>
      <c r="N49" s="18">
        <f t="shared" si="1"/>
        <v>0.3416374486413532</v>
      </c>
      <c r="R49" s="8" t="s">
        <v>88</v>
      </c>
      <c r="S49" s="68">
        <v>9320</v>
      </c>
      <c r="T49" s="68">
        <v>7158.5</v>
      </c>
    </row>
    <row r="50" spans="1:33">
      <c r="A50" s="2"/>
      <c r="B50" s="13"/>
      <c r="C50" s="15"/>
      <c r="D50" s="2" t="s">
        <v>212</v>
      </c>
      <c r="E50" s="13">
        <v>44986</v>
      </c>
      <c r="F50" s="15">
        <v>16809.349999999999</v>
      </c>
      <c r="G50" s="12"/>
      <c r="H50" s="1"/>
      <c r="J50" s="16" t="s">
        <v>226</v>
      </c>
      <c r="K50" s="17">
        <v>911720</v>
      </c>
      <c r="M50" s="17">
        <v>721957.29999999981</v>
      </c>
      <c r="R50" s="8" t="s">
        <v>78</v>
      </c>
      <c r="S50" s="68">
        <v>8715</v>
      </c>
      <c r="T50" s="68">
        <v>7055.15</v>
      </c>
    </row>
    <row r="51" spans="1:33">
      <c r="E51" s="2"/>
      <c r="F51" s="13"/>
      <c r="G51" s="14"/>
      <c r="H51" s="2"/>
      <c r="J51" s="23"/>
      <c r="R51" s="8" t="s">
        <v>149</v>
      </c>
      <c r="S51" s="68">
        <v>8395</v>
      </c>
      <c r="T51" s="68">
        <v>7054.5</v>
      </c>
    </row>
    <row r="52" spans="1:33">
      <c r="E52" s="2"/>
      <c r="F52" s="13"/>
      <c r="G52" s="14"/>
      <c r="H52" s="2"/>
      <c r="J52" s="23"/>
      <c r="R52" s="8" t="s">
        <v>156</v>
      </c>
      <c r="S52" s="68">
        <v>9085</v>
      </c>
      <c r="T52" s="68">
        <v>6986.8</v>
      </c>
    </row>
    <row r="53" spans="1:33">
      <c r="E53" s="2"/>
      <c r="F53" s="13"/>
      <c r="G53" s="15"/>
      <c r="H53" s="2"/>
      <c r="J53" s="23"/>
      <c r="R53" s="8" t="s">
        <v>91</v>
      </c>
      <c r="S53" s="68">
        <v>8455</v>
      </c>
      <c r="T53" s="68">
        <v>6915.2</v>
      </c>
    </row>
    <row r="54" spans="1:33">
      <c r="E54" s="2"/>
      <c r="F54" s="13"/>
      <c r="G54" s="15"/>
      <c r="H54" s="2"/>
      <c r="I54" s="1"/>
      <c r="J54" s="23"/>
      <c r="K54" s="12"/>
      <c r="L54" s="1"/>
      <c r="R54" s="8" t="s">
        <v>93</v>
      </c>
      <c r="S54" s="68">
        <v>10085</v>
      </c>
      <c r="T54" s="68">
        <v>6841.55</v>
      </c>
    </row>
    <row r="55" spans="1:33">
      <c r="I55" s="2"/>
      <c r="J55" s="23"/>
      <c r="K55" s="14"/>
      <c r="L55" s="2"/>
      <c r="R55" s="8" t="s">
        <v>174</v>
      </c>
      <c r="S55" s="68">
        <v>9160</v>
      </c>
      <c r="T55" s="68">
        <v>6525.3</v>
      </c>
    </row>
    <row r="56" spans="1:33" s="34" customFormat="1" ht="15.5">
      <c r="A56" s="34" t="s">
        <v>297</v>
      </c>
      <c r="C56" s="34" t="s">
        <v>259</v>
      </c>
      <c r="I56" s="21"/>
      <c r="J56" s="23"/>
      <c r="K56" s="36"/>
      <c r="L56" s="37"/>
      <c r="M56" s="21"/>
      <c r="N56" s="21"/>
      <c r="O56" s="21"/>
      <c r="P56" s="21"/>
      <c r="Q56" s="21"/>
      <c r="R56" s="8" t="s">
        <v>166</v>
      </c>
      <c r="S56" s="68">
        <v>8570</v>
      </c>
      <c r="T56" s="68">
        <v>6484.6</v>
      </c>
      <c r="U56" s="21"/>
      <c r="V56" s="21"/>
      <c r="W56" s="21"/>
      <c r="X56" s="21"/>
      <c r="Y56" s="21"/>
      <c r="Z56" s="21"/>
      <c r="AA56" s="21"/>
      <c r="AB56" s="21"/>
      <c r="AC56" s="21"/>
      <c r="AD56" s="21"/>
      <c r="AE56" s="21"/>
      <c r="AF56" s="21"/>
      <c r="AG56" s="21"/>
    </row>
    <row r="57" spans="1:33" ht="15.5">
      <c r="E57" s="1"/>
      <c r="F57" s="1"/>
      <c r="G57" s="12"/>
      <c r="I57" s="2"/>
      <c r="J57" s="22" t="s">
        <v>267</v>
      </c>
      <c r="K57" s="21"/>
      <c r="L57" s="21"/>
      <c r="R57" s="8" t="s">
        <v>142</v>
      </c>
      <c r="S57" s="68">
        <v>7975</v>
      </c>
      <c r="T57" s="68">
        <v>6309.5</v>
      </c>
    </row>
    <row r="58" spans="1:33">
      <c r="A58" s="7" t="s">
        <v>186</v>
      </c>
      <c r="B58" t="s">
        <v>181</v>
      </c>
      <c r="C58" t="s">
        <v>183</v>
      </c>
      <c r="D58" t="s">
        <v>182</v>
      </c>
      <c r="J58" s="1" t="s">
        <v>277</v>
      </c>
      <c r="K58" s="12" t="s">
        <v>268</v>
      </c>
      <c r="L58" s="1"/>
      <c r="M58" s="1"/>
      <c r="N58" s="1"/>
      <c r="R58" s="8" t="s">
        <v>72</v>
      </c>
      <c r="S58" s="68">
        <v>7130</v>
      </c>
      <c r="T58" s="68">
        <v>6209.1</v>
      </c>
    </row>
    <row r="59" spans="1:33">
      <c r="A59" s="8" t="s">
        <v>20</v>
      </c>
      <c r="B59" s="68">
        <v>286840</v>
      </c>
      <c r="C59" s="68">
        <v>1535</v>
      </c>
      <c r="D59" s="68">
        <v>228630.14999999991</v>
      </c>
      <c r="J59" s="2" t="s">
        <v>265</v>
      </c>
      <c r="K59" s="46">
        <v>911720</v>
      </c>
      <c r="L59" s="18"/>
      <c r="N59" s="18"/>
      <c r="R59" s="8" t="s">
        <v>119</v>
      </c>
      <c r="S59" s="68">
        <v>8460</v>
      </c>
      <c r="T59" s="68">
        <v>6178.95</v>
      </c>
    </row>
    <row r="60" spans="1:33" ht="29">
      <c r="A60" s="8" t="s">
        <v>30</v>
      </c>
      <c r="B60" s="68">
        <v>313810</v>
      </c>
      <c r="C60" s="68">
        <v>1698</v>
      </c>
      <c r="D60" s="68">
        <v>246647.64999999997</v>
      </c>
      <c r="J60" s="2" t="s">
        <v>266</v>
      </c>
      <c r="K60">
        <v>1997</v>
      </c>
      <c r="L60" s="18"/>
      <c r="N60" s="18"/>
      <c r="R60" s="8" t="s">
        <v>47</v>
      </c>
      <c r="S60" s="68">
        <v>8005</v>
      </c>
      <c r="T60" s="68">
        <v>6177</v>
      </c>
    </row>
    <row r="61" spans="1:33" ht="21" customHeight="1">
      <c r="A61" s="8" t="s">
        <v>17</v>
      </c>
      <c r="B61" s="68">
        <v>311070</v>
      </c>
      <c r="C61" s="68">
        <v>1785</v>
      </c>
      <c r="D61" s="68">
        <v>246679.49999999991</v>
      </c>
      <c r="J61" s="2" t="s">
        <v>264</v>
      </c>
      <c r="K61" s="2">
        <f>K59/K60</f>
        <v>456.54481722583876</v>
      </c>
      <c r="L61" s="18"/>
      <c r="N61" s="18"/>
      <c r="R61" s="8" t="s">
        <v>162</v>
      </c>
      <c r="S61" s="68">
        <v>7680</v>
      </c>
      <c r="T61" s="68">
        <v>6172.95</v>
      </c>
    </row>
    <row r="62" spans="1:33" ht="43.5">
      <c r="A62" s="8" t="s">
        <v>189</v>
      </c>
      <c r="B62" s="68">
        <v>911720</v>
      </c>
      <c r="C62" s="68">
        <v>5018</v>
      </c>
      <c r="D62" s="68">
        <v>721957.29999999981</v>
      </c>
      <c r="I62" s="2"/>
      <c r="J62" s="2" t="s">
        <v>269</v>
      </c>
      <c r="K62" s="11" t="s">
        <v>270</v>
      </c>
      <c r="M62" s="42"/>
      <c r="R62" s="8" t="s">
        <v>45</v>
      </c>
      <c r="S62" s="68">
        <v>7535</v>
      </c>
      <c r="T62" s="68">
        <v>6099.35</v>
      </c>
    </row>
    <row r="63" spans="1:33" ht="43.5">
      <c r="I63" s="2"/>
      <c r="J63" s="2" t="s">
        <v>271</v>
      </c>
      <c r="K63" s="11" t="s">
        <v>272</v>
      </c>
      <c r="R63" s="8" t="s">
        <v>51</v>
      </c>
      <c r="S63" s="68">
        <v>7485</v>
      </c>
      <c r="T63" s="68">
        <v>6048.4</v>
      </c>
    </row>
    <row r="64" spans="1:33" ht="29">
      <c r="I64" s="2"/>
      <c r="J64" s="2" t="s">
        <v>273</v>
      </c>
      <c r="K64" s="11" t="s">
        <v>274</v>
      </c>
      <c r="R64" s="8" t="s">
        <v>24</v>
      </c>
      <c r="S64" s="68">
        <v>8590</v>
      </c>
      <c r="T64" s="68">
        <v>6009.6</v>
      </c>
    </row>
    <row r="65" spans="9:20" ht="29">
      <c r="I65" s="2"/>
      <c r="J65" s="2" t="s">
        <v>275</v>
      </c>
      <c r="K65" s="11" t="s">
        <v>276</v>
      </c>
      <c r="R65" s="8" t="s">
        <v>146</v>
      </c>
      <c r="S65" s="68">
        <v>7115</v>
      </c>
      <c r="T65" s="68">
        <v>5900.65</v>
      </c>
    </row>
    <row r="66" spans="9:20">
      <c r="R66" s="8" t="s">
        <v>127</v>
      </c>
      <c r="S66" s="68">
        <v>7345</v>
      </c>
      <c r="T66" s="68">
        <v>5819.45</v>
      </c>
    </row>
    <row r="67" spans="9:20">
      <c r="R67" s="8" t="s">
        <v>138</v>
      </c>
      <c r="S67" s="68">
        <v>7480</v>
      </c>
      <c r="T67" s="68">
        <v>5779.9</v>
      </c>
    </row>
    <row r="68" spans="9:20">
      <c r="R68" s="8" t="s">
        <v>107</v>
      </c>
      <c r="S68" s="68">
        <v>7570</v>
      </c>
      <c r="T68" s="68">
        <v>5768</v>
      </c>
    </row>
    <row r="69" spans="9:20">
      <c r="R69" s="8" t="s">
        <v>96</v>
      </c>
      <c r="S69" s="68">
        <v>6740</v>
      </c>
      <c r="T69" s="68">
        <v>5660.65</v>
      </c>
    </row>
    <row r="70" spans="9:20">
      <c r="R70" s="8" t="s">
        <v>152</v>
      </c>
      <c r="S70" s="68">
        <v>6860</v>
      </c>
      <c r="T70" s="68">
        <v>5588.55</v>
      </c>
    </row>
    <row r="71" spans="9:20">
      <c r="R71" s="8" t="s">
        <v>100</v>
      </c>
      <c r="S71" s="68">
        <v>7520</v>
      </c>
      <c r="T71" s="68">
        <v>5581.15</v>
      </c>
    </row>
    <row r="72" spans="9:20">
      <c r="R72" s="8" t="s">
        <v>56</v>
      </c>
      <c r="S72" s="68">
        <v>6930</v>
      </c>
      <c r="T72" s="68">
        <v>5578.55</v>
      </c>
    </row>
    <row r="73" spans="9:20">
      <c r="R73" s="8" t="s">
        <v>171</v>
      </c>
      <c r="S73" s="68">
        <v>7685</v>
      </c>
      <c r="T73" s="68">
        <v>5477.35</v>
      </c>
    </row>
    <row r="74" spans="9:20">
      <c r="R74" s="8" t="s">
        <v>137</v>
      </c>
      <c r="S74" s="68">
        <v>7300</v>
      </c>
      <c r="T74" s="68">
        <v>5440.25</v>
      </c>
    </row>
    <row r="75" spans="9:20">
      <c r="R75" s="8" t="s">
        <v>109</v>
      </c>
      <c r="S75" s="68">
        <v>7180</v>
      </c>
      <c r="T75" s="68">
        <v>5433.1</v>
      </c>
    </row>
    <row r="76" spans="9:20">
      <c r="R76" s="8" t="s">
        <v>62</v>
      </c>
      <c r="S76" s="68">
        <v>7485</v>
      </c>
      <c r="T76" s="68">
        <v>5407.05</v>
      </c>
    </row>
    <row r="77" spans="9:20">
      <c r="R77" s="8" t="s">
        <v>58</v>
      </c>
      <c r="S77" s="68">
        <v>6805</v>
      </c>
      <c r="T77" s="68">
        <v>5355.4000000000005</v>
      </c>
    </row>
    <row r="78" spans="9:20">
      <c r="R78" s="8" t="s">
        <v>32</v>
      </c>
      <c r="S78" s="68">
        <v>6915</v>
      </c>
      <c r="T78" s="68">
        <v>5336.3</v>
      </c>
    </row>
    <row r="79" spans="9:20">
      <c r="R79" s="8" t="s">
        <v>180</v>
      </c>
      <c r="S79" s="68">
        <v>6650</v>
      </c>
      <c r="T79" s="68">
        <v>5280.7</v>
      </c>
    </row>
    <row r="80" spans="9:20">
      <c r="R80" s="8" t="s">
        <v>42</v>
      </c>
      <c r="S80" s="68">
        <v>6480</v>
      </c>
      <c r="T80" s="68">
        <v>5266.25</v>
      </c>
    </row>
    <row r="81" spans="18:20">
      <c r="R81" s="8" t="s">
        <v>167</v>
      </c>
      <c r="S81" s="68">
        <v>6795</v>
      </c>
      <c r="T81" s="68">
        <v>5115.75</v>
      </c>
    </row>
    <row r="82" spans="18:20">
      <c r="R82" s="8" t="s">
        <v>139</v>
      </c>
      <c r="S82" s="68">
        <v>5960</v>
      </c>
      <c r="T82" s="68">
        <v>5078.8</v>
      </c>
    </row>
    <row r="83" spans="18:20">
      <c r="R83" s="8" t="s">
        <v>36</v>
      </c>
      <c r="S83" s="68">
        <v>6385</v>
      </c>
      <c r="T83" s="68">
        <v>5044.8000000000011</v>
      </c>
    </row>
    <row r="84" spans="18:20">
      <c r="R84" s="8" t="s">
        <v>144</v>
      </c>
      <c r="S84" s="68">
        <v>7040</v>
      </c>
      <c r="T84" s="68">
        <v>5014.2</v>
      </c>
    </row>
    <row r="85" spans="18:20">
      <c r="R85" s="8" t="s">
        <v>134</v>
      </c>
      <c r="S85" s="68">
        <v>6000</v>
      </c>
      <c r="T85" s="68">
        <v>4921.3500000000004</v>
      </c>
    </row>
    <row r="86" spans="18:20">
      <c r="R86" s="8" t="s">
        <v>57</v>
      </c>
      <c r="S86" s="68">
        <v>6145</v>
      </c>
      <c r="T86" s="68">
        <v>4895.95</v>
      </c>
    </row>
    <row r="87" spans="18:20">
      <c r="R87" s="8" t="s">
        <v>151</v>
      </c>
      <c r="S87" s="68">
        <v>5700</v>
      </c>
      <c r="T87" s="68">
        <v>4864.5</v>
      </c>
    </row>
    <row r="88" spans="18:20">
      <c r="R88" s="8" t="s">
        <v>64</v>
      </c>
      <c r="S88" s="68">
        <v>6060</v>
      </c>
      <c r="T88" s="68">
        <v>4829.3999999999996</v>
      </c>
    </row>
    <row r="89" spans="18:20">
      <c r="R89" s="8" t="s">
        <v>69</v>
      </c>
      <c r="S89" s="68">
        <v>6820</v>
      </c>
      <c r="T89" s="68">
        <v>4769.3500000000004</v>
      </c>
    </row>
    <row r="90" spans="18:20">
      <c r="R90" s="8" t="s">
        <v>25</v>
      </c>
      <c r="S90" s="68">
        <v>5870</v>
      </c>
      <c r="T90" s="68">
        <v>4760.1499999999996</v>
      </c>
    </row>
    <row r="91" spans="18:20">
      <c r="R91" s="8" t="s">
        <v>50</v>
      </c>
      <c r="S91" s="68">
        <v>5145</v>
      </c>
      <c r="T91" s="68">
        <v>4688.3999999999996</v>
      </c>
    </row>
    <row r="92" spans="18:20">
      <c r="R92" s="8" t="s">
        <v>103</v>
      </c>
      <c r="S92" s="68">
        <v>5595</v>
      </c>
      <c r="T92" s="68">
        <v>4668.95</v>
      </c>
    </row>
    <row r="93" spans="18:20">
      <c r="R93" s="8" t="s">
        <v>61</v>
      </c>
      <c r="S93" s="68">
        <v>6045</v>
      </c>
      <c r="T93" s="68">
        <v>4659.5</v>
      </c>
    </row>
    <row r="94" spans="18:20">
      <c r="R94" s="8" t="s">
        <v>178</v>
      </c>
      <c r="S94" s="68">
        <v>5620</v>
      </c>
      <c r="T94" s="68">
        <v>4581.1499999999996</v>
      </c>
    </row>
    <row r="95" spans="18:20">
      <c r="R95" s="8" t="s">
        <v>55</v>
      </c>
      <c r="S95" s="68">
        <v>5755</v>
      </c>
      <c r="T95" s="68">
        <v>4552.6000000000004</v>
      </c>
    </row>
    <row r="96" spans="18:20">
      <c r="R96" s="8" t="s">
        <v>63</v>
      </c>
      <c r="S96" s="68">
        <v>5450</v>
      </c>
      <c r="T96" s="68">
        <v>4464.5</v>
      </c>
    </row>
    <row r="97" spans="18:20">
      <c r="R97" s="8" t="s">
        <v>122</v>
      </c>
      <c r="S97" s="68">
        <v>5300</v>
      </c>
      <c r="T97" s="68">
        <v>4364.95</v>
      </c>
    </row>
    <row r="98" spans="18:20">
      <c r="R98" s="8" t="s">
        <v>101</v>
      </c>
      <c r="S98" s="68">
        <v>5120</v>
      </c>
      <c r="T98" s="68">
        <v>4147.55</v>
      </c>
    </row>
    <row r="99" spans="18:20">
      <c r="R99" s="8" t="s">
        <v>172</v>
      </c>
      <c r="S99" s="68">
        <v>4955</v>
      </c>
      <c r="T99" s="68">
        <v>4074.7</v>
      </c>
    </row>
    <row r="100" spans="18:20">
      <c r="R100" s="8" t="s">
        <v>38</v>
      </c>
      <c r="S100" s="68">
        <v>4510</v>
      </c>
      <c r="T100" s="68">
        <v>3941</v>
      </c>
    </row>
    <row r="101" spans="18:20">
      <c r="R101" s="8" t="s">
        <v>168</v>
      </c>
      <c r="S101" s="68">
        <v>4500</v>
      </c>
      <c r="T101" s="68">
        <v>3818.5</v>
      </c>
    </row>
    <row r="102" spans="18:20">
      <c r="R102" s="8" t="s">
        <v>148</v>
      </c>
      <c r="S102" s="68">
        <v>4720</v>
      </c>
      <c r="T102" s="68">
        <v>3801.65</v>
      </c>
    </row>
    <row r="103" spans="18:20">
      <c r="R103" s="8" t="s">
        <v>136</v>
      </c>
      <c r="S103" s="68">
        <v>4320</v>
      </c>
      <c r="T103" s="68">
        <v>3776.2999999999997</v>
      </c>
    </row>
    <row r="104" spans="18:20">
      <c r="R104" s="8" t="s">
        <v>147</v>
      </c>
      <c r="S104" s="68">
        <v>4055</v>
      </c>
      <c r="T104" s="68">
        <v>3684.75</v>
      </c>
    </row>
    <row r="105" spans="18:20">
      <c r="R105" s="8" t="s">
        <v>161</v>
      </c>
      <c r="S105" s="68">
        <v>4435</v>
      </c>
      <c r="T105" s="68">
        <v>3647.8</v>
      </c>
    </row>
    <row r="106" spans="18:20">
      <c r="R106" s="8" t="s">
        <v>27</v>
      </c>
      <c r="S106" s="68">
        <v>5435</v>
      </c>
      <c r="T106" s="68">
        <v>3589.75</v>
      </c>
    </row>
    <row r="107" spans="18:20">
      <c r="R107" s="8" t="s">
        <v>53</v>
      </c>
      <c r="S107" s="68">
        <v>4130</v>
      </c>
      <c r="T107" s="68">
        <v>3582.25</v>
      </c>
    </row>
    <row r="108" spans="18:20">
      <c r="R108" s="8" t="s">
        <v>77</v>
      </c>
      <c r="S108" s="68">
        <v>4190</v>
      </c>
      <c r="T108" s="68">
        <v>3570.8</v>
      </c>
    </row>
    <row r="109" spans="18:20">
      <c r="R109" s="8" t="s">
        <v>135</v>
      </c>
      <c r="S109" s="68">
        <v>4815</v>
      </c>
      <c r="T109" s="68">
        <v>3557.05</v>
      </c>
    </row>
    <row r="110" spans="18:20">
      <c r="R110" s="8" t="s">
        <v>15</v>
      </c>
      <c r="S110" s="68">
        <v>5200</v>
      </c>
      <c r="T110" s="68">
        <v>3442.5</v>
      </c>
    </row>
    <row r="111" spans="18:20">
      <c r="R111" s="8" t="s">
        <v>157</v>
      </c>
      <c r="S111" s="68">
        <v>5800</v>
      </c>
      <c r="T111" s="68">
        <v>3432</v>
      </c>
    </row>
    <row r="112" spans="18:20">
      <c r="R112" s="8" t="s">
        <v>98</v>
      </c>
      <c r="S112" s="68">
        <v>4090</v>
      </c>
      <c r="T112" s="68">
        <v>3378.55</v>
      </c>
    </row>
    <row r="113" spans="18:20">
      <c r="R113" s="8" t="s">
        <v>118</v>
      </c>
      <c r="S113" s="68">
        <v>3780</v>
      </c>
      <c r="T113" s="68">
        <v>3358.15</v>
      </c>
    </row>
    <row r="114" spans="18:20">
      <c r="R114" s="8" t="s">
        <v>37</v>
      </c>
      <c r="S114" s="68">
        <v>4065</v>
      </c>
      <c r="T114" s="68">
        <v>3343.45</v>
      </c>
    </row>
    <row r="115" spans="18:20">
      <c r="R115" s="8" t="s">
        <v>170</v>
      </c>
      <c r="S115" s="68">
        <v>4100</v>
      </c>
      <c r="T115" s="68">
        <v>3319</v>
      </c>
    </row>
    <row r="116" spans="18:20">
      <c r="R116" s="8" t="s">
        <v>158</v>
      </c>
      <c r="S116" s="68">
        <v>3695</v>
      </c>
      <c r="T116" s="68">
        <v>3215.55</v>
      </c>
    </row>
    <row r="117" spans="18:20">
      <c r="R117" s="8" t="s">
        <v>129</v>
      </c>
      <c r="S117" s="68">
        <v>4650</v>
      </c>
      <c r="T117" s="68">
        <v>3169.7</v>
      </c>
    </row>
    <row r="118" spans="18:20">
      <c r="R118" s="8" t="s">
        <v>145</v>
      </c>
      <c r="S118" s="68">
        <v>4025</v>
      </c>
      <c r="T118" s="68">
        <v>3143.8500000000004</v>
      </c>
    </row>
    <row r="119" spans="18:20">
      <c r="R119" s="8" t="s">
        <v>73</v>
      </c>
      <c r="S119" s="68">
        <v>3755</v>
      </c>
      <c r="T119" s="68">
        <v>3064.85</v>
      </c>
    </row>
    <row r="120" spans="18:20">
      <c r="R120" s="8" t="s">
        <v>154</v>
      </c>
      <c r="S120" s="68">
        <v>3580</v>
      </c>
      <c r="T120" s="68">
        <v>3045.0499999999997</v>
      </c>
    </row>
    <row r="121" spans="18:20">
      <c r="R121" s="8" t="s">
        <v>160</v>
      </c>
      <c r="S121" s="68">
        <v>3990</v>
      </c>
      <c r="T121" s="68">
        <v>3020</v>
      </c>
    </row>
    <row r="122" spans="18:20">
      <c r="R122" s="8" t="s">
        <v>123</v>
      </c>
      <c r="S122" s="68">
        <v>3415</v>
      </c>
      <c r="T122" s="68">
        <v>2966.25</v>
      </c>
    </row>
    <row r="123" spans="18:20">
      <c r="R123" s="8" t="s">
        <v>111</v>
      </c>
      <c r="S123" s="68">
        <v>3750</v>
      </c>
      <c r="T123" s="68">
        <v>2913.75</v>
      </c>
    </row>
    <row r="124" spans="18:20">
      <c r="R124" s="8" t="s">
        <v>26</v>
      </c>
      <c r="S124" s="68">
        <v>3350</v>
      </c>
      <c r="T124" s="68">
        <v>2911.75</v>
      </c>
    </row>
    <row r="125" spans="18:20">
      <c r="R125" s="8" t="s">
        <v>70</v>
      </c>
      <c r="S125" s="68">
        <v>3685</v>
      </c>
      <c r="T125" s="68">
        <v>2893.85</v>
      </c>
    </row>
    <row r="126" spans="18:20">
      <c r="R126" s="8" t="s">
        <v>177</v>
      </c>
      <c r="S126" s="68">
        <v>3875</v>
      </c>
      <c r="T126" s="68">
        <v>2868</v>
      </c>
    </row>
    <row r="127" spans="18:20">
      <c r="R127" s="8" t="s">
        <v>87</v>
      </c>
      <c r="S127" s="68">
        <v>3625</v>
      </c>
      <c r="T127" s="68">
        <v>2847.75</v>
      </c>
    </row>
    <row r="128" spans="18:20">
      <c r="R128" s="8" t="s">
        <v>120</v>
      </c>
      <c r="S128" s="68">
        <v>3285</v>
      </c>
      <c r="T128" s="68">
        <v>2782.3</v>
      </c>
    </row>
    <row r="129" spans="18:20">
      <c r="R129" s="8" t="s">
        <v>143</v>
      </c>
      <c r="S129" s="68">
        <v>3300</v>
      </c>
      <c r="T129" s="68">
        <v>2729.5</v>
      </c>
    </row>
    <row r="130" spans="18:20">
      <c r="R130" s="8" t="s">
        <v>71</v>
      </c>
      <c r="S130" s="68">
        <v>3140</v>
      </c>
      <c r="T130" s="68">
        <v>2716.4</v>
      </c>
    </row>
    <row r="131" spans="18:20">
      <c r="R131" s="8" t="s">
        <v>97</v>
      </c>
      <c r="S131" s="68">
        <v>4795</v>
      </c>
      <c r="T131" s="68">
        <v>2613.8999999999996</v>
      </c>
    </row>
    <row r="132" spans="18:20">
      <c r="R132" s="8" t="s">
        <v>141</v>
      </c>
      <c r="S132" s="68">
        <v>2990</v>
      </c>
      <c r="T132" s="68">
        <v>2582.1999999999998</v>
      </c>
    </row>
    <row r="133" spans="18:20">
      <c r="R133" s="8" t="s">
        <v>34</v>
      </c>
      <c r="S133" s="68">
        <v>2900</v>
      </c>
      <c r="T133" s="68">
        <v>2574.75</v>
      </c>
    </row>
    <row r="134" spans="18:20">
      <c r="R134" s="8" t="s">
        <v>106</v>
      </c>
      <c r="S134" s="68">
        <v>3310</v>
      </c>
      <c r="T134" s="68">
        <v>2444</v>
      </c>
    </row>
    <row r="135" spans="18:20">
      <c r="R135" s="8" t="s">
        <v>132</v>
      </c>
      <c r="S135" s="68">
        <v>2950</v>
      </c>
      <c r="T135" s="68">
        <v>2438</v>
      </c>
    </row>
    <row r="136" spans="18:20">
      <c r="R136" s="8" t="s">
        <v>150</v>
      </c>
      <c r="S136" s="68">
        <v>2880</v>
      </c>
      <c r="T136" s="68">
        <v>2417.1</v>
      </c>
    </row>
    <row r="137" spans="18:20">
      <c r="R137" s="8" t="s">
        <v>68</v>
      </c>
      <c r="S137" s="68">
        <v>2790</v>
      </c>
      <c r="T137" s="68">
        <v>2360.25</v>
      </c>
    </row>
    <row r="138" spans="18:20">
      <c r="R138" s="8" t="s">
        <v>169</v>
      </c>
      <c r="S138" s="68">
        <v>3390</v>
      </c>
      <c r="T138" s="68">
        <v>2335.6</v>
      </c>
    </row>
    <row r="139" spans="18:20">
      <c r="R139" s="8" t="s">
        <v>35</v>
      </c>
      <c r="S139" s="68">
        <v>2985</v>
      </c>
      <c r="T139" s="68">
        <v>2307.0500000000002</v>
      </c>
    </row>
    <row r="140" spans="18:20">
      <c r="R140" s="8" t="s">
        <v>60</v>
      </c>
      <c r="S140" s="68">
        <v>2775</v>
      </c>
      <c r="T140" s="68">
        <v>2192.4499999999998</v>
      </c>
    </row>
    <row r="141" spans="18:20">
      <c r="R141" s="8" t="s">
        <v>84</v>
      </c>
      <c r="S141" s="68">
        <v>2735</v>
      </c>
      <c r="T141" s="68">
        <v>2135.85</v>
      </c>
    </row>
    <row r="142" spans="18:20">
      <c r="R142" s="8" t="s">
        <v>110</v>
      </c>
      <c r="S142" s="68">
        <v>2450</v>
      </c>
      <c r="T142" s="68">
        <v>2102.9</v>
      </c>
    </row>
    <row r="143" spans="18:20">
      <c r="R143" s="8" t="s">
        <v>104</v>
      </c>
      <c r="S143" s="68">
        <v>2895</v>
      </c>
      <c r="T143" s="68">
        <v>2061.4499999999998</v>
      </c>
    </row>
    <row r="144" spans="18:20">
      <c r="R144" s="8" t="s">
        <v>140</v>
      </c>
      <c r="S144" s="68">
        <v>2660</v>
      </c>
      <c r="T144" s="68">
        <v>2030.3500000000001</v>
      </c>
    </row>
    <row r="145" spans="18:20">
      <c r="R145" s="8" t="s">
        <v>164</v>
      </c>
      <c r="S145" s="68">
        <v>2380</v>
      </c>
      <c r="T145" s="68">
        <v>2009.5</v>
      </c>
    </row>
    <row r="146" spans="18:20">
      <c r="R146" s="8" t="s">
        <v>113</v>
      </c>
      <c r="S146" s="68">
        <v>2490</v>
      </c>
      <c r="T146" s="68">
        <v>1963.8999999999999</v>
      </c>
    </row>
    <row r="147" spans="18:20">
      <c r="R147" s="8" t="s">
        <v>126</v>
      </c>
      <c r="S147" s="68">
        <v>2980</v>
      </c>
      <c r="T147" s="68">
        <v>1951.7</v>
      </c>
    </row>
    <row r="148" spans="18:20">
      <c r="R148" s="8" t="s">
        <v>121</v>
      </c>
      <c r="S148" s="68">
        <v>2450</v>
      </c>
      <c r="T148" s="68">
        <v>1949</v>
      </c>
    </row>
    <row r="149" spans="18:20">
      <c r="R149" s="8" t="s">
        <v>128</v>
      </c>
      <c r="S149" s="68">
        <v>2740</v>
      </c>
      <c r="T149" s="68">
        <v>1937.65</v>
      </c>
    </row>
    <row r="150" spans="18:20">
      <c r="R150" s="8" t="s">
        <v>175</v>
      </c>
      <c r="S150" s="68">
        <v>2710</v>
      </c>
      <c r="T150" s="68">
        <v>1920.2</v>
      </c>
    </row>
    <row r="151" spans="18:20">
      <c r="R151" s="8" t="s">
        <v>165</v>
      </c>
      <c r="S151" s="68">
        <v>3470</v>
      </c>
      <c r="T151" s="68">
        <v>1915.2</v>
      </c>
    </row>
    <row r="152" spans="18:20">
      <c r="R152" s="8" t="s">
        <v>115</v>
      </c>
      <c r="S152" s="68">
        <v>2425</v>
      </c>
      <c r="T152" s="68">
        <v>1913.5</v>
      </c>
    </row>
    <row r="153" spans="18:20">
      <c r="R153" s="8" t="s">
        <v>59</v>
      </c>
      <c r="S153" s="68">
        <v>2395</v>
      </c>
      <c r="T153" s="68">
        <v>1907.85</v>
      </c>
    </row>
    <row r="154" spans="18:20">
      <c r="R154" s="8" t="s">
        <v>108</v>
      </c>
      <c r="S154" s="68">
        <v>2265</v>
      </c>
      <c r="T154" s="68">
        <v>1838.3500000000001</v>
      </c>
    </row>
    <row r="155" spans="18:20">
      <c r="R155" s="8" t="s">
        <v>112</v>
      </c>
      <c r="S155" s="68">
        <v>2630</v>
      </c>
      <c r="T155" s="68">
        <v>1815.6</v>
      </c>
    </row>
    <row r="156" spans="18:20">
      <c r="R156" s="8" t="s">
        <v>85</v>
      </c>
      <c r="S156" s="68">
        <v>2330</v>
      </c>
      <c r="T156" s="68">
        <v>1752.3</v>
      </c>
    </row>
    <row r="157" spans="18:20">
      <c r="R157" s="8" t="s">
        <v>131</v>
      </c>
      <c r="S157" s="68">
        <v>3050</v>
      </c>
      <c r="T157" s="68">
        <v>1739.5</v>
      </c>
    </row>
    <row r="158" spans="18:20">
      <c r="R158" s="8" t="s">
        <v>75</v>
      </c>
      <c r="S158" s="68">
        <v>2125</v>
      </c>
      <c r="T158" s="68">
        <v>1705.5</v>
      </c>
    </row>
    <row r="159" spans="18:20">
      <c r="R159" s="8" t="s">
        <v>163</v>
      </c>
      <c r="S159" s="68">
        <v>2260</v>
      </c>
      <c r="T159" s="68">
        <v>1703.7</v>
      </c>
    </row>
    <row r="160" spans="18:20">
      <c r="R160" s="8" t="s">
        <v>155</v>
      </c>
      <c r="S160" s="68">
        <v>2225</v>
      </c>
      <c r="T160" s="68">
        <v>1680.75</v>
      </c>
    </row>
    <row r="161" spans="18:20">
      <c r="R161" s="8" t="s">
        <v>94</v>
      </c>
      <c r="S161" s="68">
        <v>2265</v>
      </c>
      <c r="T161" s="68">
        <v>1671.8</v>
      </c>
    </row>
    <row r="162" spans="18:20">
      <c r="R162" s="8" t="s">
        <v>76</v>
      </c>
      <c r="S162" s="68">
        <v>2645</v>
      </c>
      <c r="T162" s="68">
        <v>1655.45</v>
      </c>
    </row>
    <row r="163" spans="18:20">
      <c r="R163" s="8" t="s">
        <v>54</v>
      </c>
      <c r="S163" s="68">
        <v>2205</v>
      </c>
      <c r="T163" s="68">
        <v>1651.55</v>
      </c>
    </row>
    <row r="164" spans="18:20">
      <c r="R164" s="8" t="s">
        <v>125</v>
      </c>
      <c r="S164" s="68">
        <v>1900</v>
      </c>
      <c r="T164" s="68">
        <v>1612.75</v>
      </c>
    </row>
    <row r="165" spans="18:20">
      <c r="R165" s="8" t="s">
        <v>95</v>
      </c>
      <c r="S165" s="68">
        <v>2215</v>
      </c>
      <c r="T165" s="68">
        <v>1571.3000000000002</v>
      </c>
    </row>
    <row r="166" spans="18:20">
      <c r="R166" s="8" t="s">
        <v>86</v>
      </c>
      <c r="S166" s="68">
        <v>1655</v>
      </c>
      <c r="T166" s="68">
        <v>1490.9</v>
      </c>
    </row>
    <row r="167" spans="18:20">
      <c r="R167" s="8" t="s">
        <v>90</v>
      </c>
      <c r="S167" s="68">
        <v>1910</v>
      </c>
      <c r="T167" s="68">
        <v>1482.3</v>
      </c>
    </row>
    <row r="168" spans="18:20">
      <c r="R168" s="8" t="s">
        <v>133</v>
      </c>
      <c r="S168" s="68">
        <v>1755</v>
      </c>
      <c r="T168" s="68">
        <v>1439.3</v>
      </c>
    </row>
    <row r="169" spans="18:20">
      <c r="R169" s="8" t="s">
        <v>153</v>
      </c>
      <c r="S169" s="68">
        <v>1625</v>
      </c>
      <c r="T169" s="68">
        <v>1400.75</v>
      </c>
    </row>
    <row r="170" spans="18:20">
      <c r="R170" s="8" t="s">
        <v>92</v>
      </c>
      <c r="S170" s="68">
        <v>2235</v>
      </c>
      <c r="T170" s="68">
        <v>1332</v>
      </c>
    </row>
    <row r="171" spans="18:20">
      <c r="R171" s="8" t="s">
        <v>105</v>
      </c>
      <c r="S171" s="68">
        <v>1695</v>
      </c>
      <c r="T171" s="68">
        <v>1328.4</v>
      </c>
    </row>
    <row r="172" spans="18:20">
      <c r="R172" s="8" t="s">
        <v>44</v>
      </c>
      <c r="S172" s="68">
        <v>1640</v>
      </c>
      <c r="T172" s="68">
        <v>1263.2</v>
      </c>
    </row>
    <row r="173" spans="18:20">
      <c r="R173" s="8" t="s">
        <v>33</v>
      </c>
      <c r="S173" s="68">
        <v>1625</v>
      </c>
      <c r="T173" s="68">
        <v>1240</v>
      </c>
    </row>
    <row r="174" spans="18:20">
      <c r="R174" s="8" t="s">
        <v>79</v>
      </c>
      <c r="S174" s="68">
        <v>1830</v>
      </c>
      <c r="T174" s="68">
        <v>1164.3999999999999</v>
      </c>
    </row>
    <row r="175" spans="18:20">
      <c r="R175" s="8" t="s">
        <v>179</v>
      </c>
      <c r="S175" s="68">
        <v>1605</v>
      </c>
      <c r="T175" s="68">
        <v>1134.0999999999999</v>
      </c>
    </row>
    <row r="176" spans="18:20">
      <c r="R176" s="8" t="s">
        <v>102</v>
      </c>
      <c r="S176" s="68">
        <v>1280</v>
      </c>
      <c r="T176" s="68">
        <v>1092.5</v>
      </c>
    </row>
    <row r="177" spans="8:20">
      <c r="R177" s="8" t="s">
        <v>48</v>
      </c>
      <c r="S177" s="68">
        <v>1620</v>
      </c>
      <c r="T177" s="68">
        <v>1055.8</v>
      </c>
    </row>
    <row r="178" spans="8:20">
      <c r="R178" s="8" t="s">
        <v>80</v>
      </c>
      <c r="S178" s="68">
        <v>1090</v>
      </c>
      <c r="T178" s="68">
        <v>966.15</v>
      </c>
    </row>
    <row r="179" spans="8:20">
      <c r="R179" s="8" t="s">
        <v>65</v>
      </c>
      <c r="S179" s="68">
        <v>1100</v>
      </c>
      <c r="T179" s="68">
        <v>918</v>
      </c>
    </row>
    <row r="180" spans="8:20">
      <c r="R180" s="8" t="s">
        <v>66</v>
      </c>
      <c r="S180" s="68">
        <v>845</v>
      </c>
      <c r="T180" s="68">
        <v>706.35</v>
      </c>
    </row>
    <row r="181" spans="8:20">
      <c r="R181" s="8" t="s">
        <v>99</v>
      </c>
      <c r="S181" s="68">
        <v>1235</v>
      </c>
      <c r="T181" s="68">
        <v>682.55</v>
      </c>
    </row>
    <row r="182" spans="8:20">
      <c r="R182" s="8" t="s">
        <v>114</v>
      </c>
      <c r="S182" s="68">
        <v>640</v>
      </c>
      <c r="T182" s="68">
        <v>412</v>
      </c>
    </row>
    <row r="183" spans="8:20">
      <c r="R183" s="8" t="s">
        <v>41</v>
      </c>
      <c r="S183" s="68">
        <v>675</v>
      </c>
      <c r="T183" s="68">
        <v>227.89999999999998</v>
      </c>
    </row>
    <row r="184" spans="8:20">
      <c r="R184" s="8" t="s">
        <v>46</v>
      </c>
      <c r="S184" s="68">
        <v>200</v>
      </c>
      <c r="T184" s="68">
        <v>155.5</v>
      </c>
    </row>
    <row r="185" spans="8:20">
      <c r="R185" s="8" t="s">
        <v>189</v>
      </c>
      <c r="S185" s="68">
        <v>911720</v>
      </c>
      <c r="T185" s="68">
        <v>721957.3</v>
      </c>
    </row>
    <row r="190" spans="8:20" ht="17.5">
      <c r="H190" s="32" t="s">
        <v>260</v>
      </c>
      <c r="I190" s="32"/>
      <c r="J190" s="32"/>
      <c r="K190" s="32"/>
      <c r="L190" s="32"/>
      <c r="M190" s="44"/>
      <c r="N190" s="29"/>
      <c r="O190" s="29"/>
      <c r="P190" s="29"/>
      <c r="Q190" s="29"/>
      <c r="R190" s="29"/>
      <c r="S190" s="29"/>
      <c r="T190" s="29"/>
    </row>
    <row r="191" spans="8:20">
      <c r="M191" s="8"/>
    </row>
    <row r="192" spans="8:20">
      <c r="H192" s="22" t="s">
        <v>227</v>
      </c>
      <c r="M192" s="8"/>
    </row>
    <row r="193" spans="8:21">
      <c r="H193" s="23"/>
      <c r="M193" s="8"/>
    </row>
    <row r="194" spans="8:21">
      <c r="H194" s="23" t="s">
        <v>280</v>
      </c>
      <c r="M194" s="8"/>
    </row>
    <row r="195" spans="8:21">
      <c r="H195" s="23"/>
      <c r="M195" s="8"/>
    </row>
    <row r="196" spans="8:21">
      <c r="H196" s="23" t="s">
        <v>281</v>
      </c>
      <c r="M196" s="8"/>
    </row>
    <row r="197" spans="8:21">
      <c r="H197" s="23"/>
      <c r="M197" s="8"/>
    </row>
    <row r="198" spans="8:21">
      <c r="H198" s="23" t="s">
        <v>282</v>
      </c>
      <c r="M198" s="8"/>
    </row>
    <row r="199" spans="8:21">
      <c r="H199" s="23"/>
      <c r="M199" s="8"/>
    </row>
    <row r="200" spans="8:21">
      <c r="H200" s="23" t="s">
        <v>283</v>
      </c>
      <c r="M200" s="8"/>
    </row>
    <row r="201" spans="8:21">
      <c r="H201" s="23"/>
      <c r="M201" s="8"/>
    </row>
    <row r="202" spans="8:21">
      <c r="H202" s="23" t="s">
        <v>284</v>
      </c>
      <c r="I202" s="12"/>
      <c r="J202" s="1"/>
      <c r="M202" s="8"/>
    </row>
    <row r="203" spans="8:21">
      <c r="H203" s="23"/>
      <c r="I203" s="14"/>
      <c r="J203" s="2"/>
      <c r="M203" s="8"/>
    </row>
    <row r="204" spans="8:21" ht="15.5">
      <c r="H204" s="23"/>
      <c r="I204" s="36"/>
      <c r="J204" s="37"/>
      <c r="K204" s="21"/>
      <c r="L204" s="21"/>
      <c r="M204" s="8"/>
      <c r="P204" s="21"/>
      <c r="Q204" s="21"/>
      <c r="R204" s="21"/>
      <c r="S204" s="21"/>
      <c r="T204" s="21"/>
      <c r="U204" s="21"/>
    </row>
    <row r="205" spans="8:21">
      <c r="H205" s="19"/>
      <c r="I205" s="20"/>
      <c r="J205" s="10"/>
      <c r="M205" s="8"/>
    </row>
    <row r="206" spans="8:21">
      <c r="M206" s="8"/>
    </row>
    <row r="207" spans="8:21">
      <c r="M207" s="8"/>
    </row>
    <row r="208" spans="8:21">
      <c r="M208" s="8"/>
    </row>
    <row r="209" spans="13:13">
      <c r="M209" s="8"/>
    </row>
  </sheetData>
  <mergeCells count="5">
    <mergeCell ref="E36:H36"/>
    <mergeCell ref="A1:D1"/>
    <mergeCell ref="A4:D4"/>
    <mergeCell ref="A19:E19"/>
    <mergeCell ref="E1:M1"/>
  </mergeCells>
  <pageMargins left="0.7" right="0.7" top="0.75" bottom="0.75" header="0.3" footer="0.3"/>
  <pageSetup orientation="portrait" horizontalDpi="4294967295" verticalDpi="4294967295" r:id="rId8"/>
  <drawing r:id="rId9"/>
  <tableParts count="3">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E809-5F0A-4978-9A30-07D2E59871B3}">
  <dimension ref="A1:AJ45"/>
  <sheetViews>
    <sheetView zoomScale="99" zoomScaleNormal="99" workbookViewId="0">
      <selection activeCell="G35" sqref="G35"/>
    </sheetView>
  </sheetViews>
  <sheetFormatPr defaultRowHeight="14.5"/>
  <sheetData>
    <row r="1" spans="1:36" s="29" customFormat="1" ht="22.5">
      <c r="A1" s="30" t="s">
        <v>252</v>
      </c>
      <c r="B1" s="30"/>
      <c r="C1" s="30"/>
      <c r="E1" s="33"/>
      <c r="F1" s="33"/>
      <c r="G1" s="33"/>
      <c r="H1" s="33"/>
      <c r="I1" s="33"/>
      <c r="J1" s="33"/>
      <c r="K1" s="33"/>
    </row>
    <row r="3" spans="1:36" s="29" customFormat="1" ht="22.5">
      <c r="A3" s="30" t="s">
        <v>228</v>
      </c>
      <c r="B3" s="30"/>
      <c r="C3" s="30"/>
      <c r="D3" s="30"/>
    </row>
    <row r="4" spans="1:36" ht="15.5">
      <c r="A4" s="26" t="s">
        <v>230</v>
      </c>
      <c r="B4" s="26"/>
      <c r="C4" s="26"/>
      <c r="D4" s="26"/>
      <c r="E4" s="26"/>
      <c r="F4" s="26"/>
      <c r="G4" s="26"/>
      <c r="H4" s="26"/>
      <c r="I4" s="26"/>
      <c r="J4" s="26"/>
      <c r="K4" s="26"/>
      <c r="L4" s="26"/>
      <c r="M4" s="26"/>
      <c r="N4" s="26"/>
      <c r="O4" s="24"/>
      <c r="P4" s="25"/>
      <c r="Q4" s="25"/>
      <c r="R4" s="25"/>
      <c r="S4" s="25"/>
      <c r="T4" s="25"/>
      <c r="U4" s="25"/>
      <c r="V4" s="25"/>
      <c r="W4" s="25"/>
      <c r="X4" s="25"/>
      <c r="Y4" s="25"/>
      <c r="Z4" s="25"/>
      <c r="AA4" s="25"/>
      <c r="AB4" s="25"/>
      <c r="AC4" s="25"/>
      <c r="AD4" s="25"/>
      <c r="AE4" s="25"/>
      <c r="AF4" s="25"/>
      <c r="AG4" s="25"/>
      <c r="AH4" s="25"/>
      <c r="AI4" s="25"/>
      <c r="AJ4" s="25"/>
    </row>
    <row r="5" spans="1:36" ht="15.5">
      <c r="A5" s="26" t="s">
        <v>229</v>
      </c>
      <c r="B5" s="26"/>
      <c r="C5" s="26"/>
      <c r="D5" s="26"/>
      <c r="E5" s="26"/>
      <c r="F5" s="26"/>
      <c r="G5" s="26"/>
      <c r="H5" s="26"/>
      <c r="I5" s="26"/>
      <c r="J5" s="26"/>
      <c r="K5" s="26"/>
      <c r="L5" s="26"/>
      <c r="M5" s="26"/>
      <c r="N5" s="26"/>
      <c r="O5" s="24"/>
    </row>
    <row r="6" spans="1:36" ht="15.5">
      <c r="A6" s="26" t="s">
        <v>231</v>
      </c>
      <c r="B6" s="26"/>
      <c r="C6" s="26"/>
      <c r="D6" s="26"/>
      <c r="E6" s="26"/>
      <c r="F6" s="26"/>
      <c r="G6" s="26"/>
      <c r="H6" s="26"/>
      <c r="I6" s="26"/>
      <c r="J6" s="26"/>
      <c r="K6" s="26"/>
      <c r="L6" s="26"/>
      <c r="M6" s="26"/>
      <c r="N6" s="26"/>
      <c r="O6" s="24"/>
    </row>
    <row r="7" spans="1:36" ht="15.5">
      <c r="A7" s="27"/>
      <c r="B7" s="27"/>
      <c r="C7" s="27"/>
      <c r="D7" s="27"/>
      <c r="E7" s="27"/>
      <c r="F7" s="27"/>
      <c r="G7" s="27"/>
      <c r="H7" s="27"/>
      <c r="I7" s="27"/>
      <c r="J7" s="27"/>
      <c r="K7" s="27"/>
      <c r="L7" s="27"/>
      <c r="M7" s="27"/>
      <c r="N7" s="27"/>
    </row>
    <row r="10" spans="1:36" s="29" customFormat="1" ht="22.5">
      <c r="A10" s="30" t="s">
        <v>232</v>
      </c>
      <c r="B10" s="30"/>
      <c r="C10" s="30"/>
      <c r="D10" s="30"/>
      <c r="E10" s="30"/>
    </row>
    <row r="11" spans="1:36" ht="15.5">
      <c r="A11" s="26" t="s">
        <v>233</v>
      </c>
      <c r="B11" s="26"/>
      <c r="C11" s="26"/>
      <c r="D11" s="26"/>
      <c r="E11" s="26"/>
      <c r="F11" s="26"/>
      <c r="G11" s="26"/>
      <c r="H11" s="26"/>
      <c r="I11" s="26"/>
      <c r="J11" s="26"/>
      <c r="K11" s="26"/>
      <c r="L11" s="26"/>
      <c r="M11" s="26"/>
      <c r="N11" s="26"/>
      <c r="O11" s="24"/>
      <c r="P11" s="24"/>
    </row>
    <row r="12" spans="1:36" ht="15.5">
      <c r="A12" s="26" t="s">
        <v>234</v>
      </c>
      <c r="B12" s="26"/>
      <c r="C12" s="26"/>
      <c r="D12" s="26"/>
      <c r="E12" s="26"/>
      <c r="F12" s="26"/>
      <c r="G12" s="26"/>
      <c r="H12" s="26"/>
      <c r="I12" s="26"/>
      <c r="J12" s="26"/>
      <c r="K12" s="26"/>
      <c r="L12" s="26"/>
      <c r="M12" s="26"/>
      <c r="N12" s="26"/>
      <c r="O12" s="24"/>
      <c r="P12" s="24"/>
    </row>
    <row r="13" spans="1:36" ht="15.5">
      <c r="A13" s="26" t="s">
        <v>235</v>
      </c>
      <c r="B13" s="26"/>
      <c r="C13" s="26"/>
      <c r="D13" s="26"/>
      <c r="E13" s="26"/>
      <c r="F13" s="26"/>
      <c r="G13" s="26"/>
      <c r="H13" s="26"/>
      <c r="I13" s="26"/>
      <c r="J13" s="26"/>
      <c r="K13" s="26"/>
      <c r="L13" s="26"/>
      <c r="M13" s="26"/>
      <c r="N13" s="26"/>
      <c r="O13" s="24"/>
      <c r="P13" s="24"/>
    </row>
    <row r="14" spans="1:36" ht="15.5">
      <c r="A14" s="26" t="s">
        <v>236</v>
      </c>
      <c r="B14" s="26"/>
      <c r="C14" s="26"/>
      <c r="D14" s="26"/>
      <c r="E14" s="26"/>
      <c r="F14" s="26"/>
      <c r="G14" s="26"/>
      <c r="H14" s="26"/>
      <c r="I14" s="26"/>
      <c r="J14" s="26"/>
      <c r="K14" s="26"/>
      <c r="L14" s="26"/>
      <c r="M14" s="26"/>
      <c r="N14" s="26"/>
      <c r="O14" s="24"/>
      <c r="P14" s="24"/>
    </row>
    <row r="18" spans="1:19" s="29" customFormat="1" ht="22.5">
      <c r="A18" s="30" t="s">
        <v>237</v>
      </c>
      <c r="B18" s="30"/>
      <c r="C18" s="30"/>
      <c r="D18" s="30"/>
    </row>
    <row r="19" spans="1:19" ht="15.5">
      <c r="A19" s="26" t="s">
        <v>238</v>
      </c>
      <c r="B19" s="26"/>
      <c r="C19" s="26"/>
      <c r="D19" s="26"/>
      <c r="E19" s="26"/>
      <c r="F19" s="26"/>
      <c r="G19" s="26"/>
      <c r="H19" s="26"/>
      <c r="I19" s="26"/>
      <c r="J19" s="26"/>
      <c r="K19" s="26"/>
      <c r="L19" s="26"/>
      <c r="M19" s="26"/>
      <c r="N19" s="26"/>
      <c r="O19" s="24"/>
      <c r="P19" s="24"/>
      <c r="Q19" s="26"/>
      <c r="R19" s="26"/>
      <c r="S19" s="26"/>
    </row>
    <row r="20" spans="1:19" ht="15.5">
      <c r="A20" s="26" t="s">
        <v>239</v>
      </c>
      <c r="B20" s="26"/>
      <c r="C20" s="26"/>
      <c r="D20" s="26"/>
      <c r="E20" s="26"/>
      <c r="F20" s="26"/>
      <c r="G20" s="26"/>
      <c r="H20" s="26"/>
      <c r="I20" s="26"/>
      <c r="J20" s="26"/>
      <c r="K20" s="26"/>
      <c r="L20" s="26"/>
      <c r="M20" s="26"/>
      <c r="N20" s="26"/>
      <c r="O20" s="24"/>
      <c r="P20" s="24"/>
      <c r="Q20" s="26"/>
      <c r="R20" s="26"/>
      <c r="S20" s="26"/>
    </row>
    <row r="21" spans="1:19" ht="15.5">
      <c r="A21" s="26" t="s">
        <v>240</v>
      </c>
      <c r="B21" s="26"/>
      <c r="C21" s="26"/>
      <c r="D21" s="26"/>
      <c r="E21" s="26"/>
      <c r="F21" s="26"/>
      <c r="G21" s="26"/>
      <c r="H21" s="26"/>
      <c r="I21" s="26"/>
      <c r="J21" s="26"/>
      <c r="K21" s="26"/>
      <c r="L21" s="26"/>
      <c r="M21" s="26"/>
      <c r="N21" s="26"/>
      <c r="O21" s="24"/>
      <c r="P21" s="24"/>
      <c r="Q21" s="26"/>
      <c r="R21" s="26"/>
      <c r="S21" s="26"/>
    </row>
    <row r="22" spans="1:19" ht="15.5">
      <c r="A22" s="26" t="s">
        <v>241</v>
      </c>
      <c r="B22" s="26"/>
      <c r="C22" s="26"/>
      <c r="D22" s="26"/>
      <c r="E22" s="26"/>
      <c r="F22" s="26"/>
      <c r="G22" s="26"/>
      <c r="H22" s="26"/>
      <c r="I22" s="26"/>
      <c r="J22" s="26"/>
      <c r="K22" s="26"/>
      <c r="L22" s="26"/>
      <c r="M22" s="26"/>
      <c r="N22" s="26"/>
      <c r="O22" s="24"/>
      <c r="P22" s="24"/>
      <c r="Q22" s="26"/>
      <c r="R22" s="26"/>
      <c r="S22" s="26"/>
    </row>
    <row r="26" spans="1:19" s="29" customFormat="1" ht="22.5">
      <c r="A26" s="30" t="s">
        <v>242</v>
      </c>
      <c r="B26" s="30"/>
      <c r="C26" s="30"/>
      <c r="D26" s="30"/>
      <c r="E26" s="30"/>
    </row>
    <row r="27" spans="1:19" ht="15.5">
      <c r="A27" s="26" t="s">
        <v>243</v>
      </c>
      <c r="B27" s="26"/>
      <c r="C27" s="26"/>
      <c r="D27" s="26"/>
      <c r="E27" s="26"/>
      <c r="F27" s="26"/>
      <c r="G27" s="26"/>
      <c r="H27" s="26"/>
      <c r="I27" s="26"/>
      <c r="J27" s="26"/>
      <c r="K27" s="26"/>
      <c r="L27" s="26"/>
      <c r="M27" s="26"/>
      <c r="N27" s="26"/>
      <c r="O27" s="24"/>
      <c r="P27" s="24"/>
    </row>
    <row r="28" spans="1:19" ht="15.5">
      <c r="A28" s="26" t="s">
        <v>244</v>
      </c>
      <c r="B28" s="26"/>
      <c r="C28" s="26"/>
      <c r="D28" s="26"/>
      <c r="E28" s="26"/>
      <c r="F28" s="26"/>
      <c r="G28" s="26"/>
      <c r="H28" s="26"/>
      <c r="I28" s="26"/>
      <c r="J28" s="26"/>
      <c r="K28" s="26"/>
      <c r="L28" s="26"/>
      <c r="M28" s="26"/>
      <c r="N28" s="26"/>
      <c r="O28" s="24"/>
      <c r="P28" s="24"/>
    </row>
    <row r="29" spans="1:19" ht="15.5">
      <c r="A29" s="26" t="s">
        <v>245</v>
      </c>
      <c r="B29" s="26"/>
      <c r="C29" s="26"/>
      <c r="D29" s="26"/>
      <c r="E29" s="26"/>
      <c r="F29" s="26"/>
      <c r="G29" s="26"/>
      <c r="H29" s="26"/>
      <c r="I29" s="26"/>
      <c r="J29" s="26"/>
      <c r="K29" s="26"/>
      <c r="L29" s="26"/>
      <c r="M29" s="26"/>
      <c r="N29" s="26"/>
      <c r="O29" s="24"/>
      <c r="P29" s="24"/>
    </row>
    <row r="30" spans="1:19" ht="15.5">
      <c r="A30" s="26" t="s">
        <v>246</v>
      </c>
      <c r="B30" s="26"/>
      <c r="C30" s="26"/>
      <c r="D30" s="26"/>
      <c r="E30" s="26"/>
      <c r="F30" s="26"/>
      <c r="G30" s="26"/>
      <c r="H30" s="26"/>
      <c r="I30" s="26"/>
      <c r="J30" s="26"/>
      <c r="K30" s="26"/>
      <c r="L30" s="26"/>
      <c r="M30" s="26"/>
      <c r="N30" s="26"/>
      <c r="O30" s="24"/>
      <c r="P30" s="24"/>
    </row>
    <row r="34" spans="1:24" s="29" customFormat="1" ht="22.5">
      <c r="A34" s="30" t="s">
        <v>296</v>
      </c>
      <c r="B34" s="30"/>
      <c r="C34" s="30"/>
      <c r="D34" s="30"/>
    </row>
    <row r="35" spans="1:24" ht="15.5">
      <c r="A35" s="26" t="s">
        <v>294</v>
      </c>
      <c r="B35" s="26"/>
      <c r="C35" s="26"/>
      <c r="D35" s="26"/>
      <c r="E35" s="26"/>
      <c r="F35" s="26"/>
      <c r="G35" s="26"/>
      <c r="H35" s="26"/>
      <c r="I35" s="26"/>
      <c r="J35" s="26"/>
      <c r="K35" s="26"/>
      <c r="L35" s="26"/>
      <c r="M35" s="26"/>
      <c r="N35" s="26"/>
      <c r="O35" s="26"/>
      <c r="P35" s="26"/>
      <c r="Q35" s="26"/>
      <c r="R35" s="26"/>
      <c r="S35" s="26"/>
      <c r="T35" s="26"/>
    </row>
    <row r="36" spans="1:24" ht="15.5">
      <c r="A36" s="26" t="s">
        <v>278</v>
      </c>
      <c r="B36" s="26"/>
      <c r="C36" s="26"/>
      <c r="D36" s="26"/>
      <c r="E36" s="26"/>
      <c r="F36" s="26"/>
      <c r="G36" s="26"/>
      <c r="H36" s="26"/>
      <c r="I36" s="26"/>
      <c r="J36" s="26"/>
      <c r="K36" s="26"/>
      <c r="L36" s="26"/>
      <c r="M36" s="26"/>
      <c r="N36" s="26"/>
      <c r="O36" s="26"/>
      <c r="P36" s="26"/>
      <c r="Q36" s="26"/>
      <c r="R36" s="26"/>
      <c r="S36" s="26"/>
      <c r="T36" s="26"/>
    </row>
    <row r="37" spans="1:24" ht="15.5">
      <c r="A37" s="26" t="s">
        <v>279</v>
      </c>
      <c r="B37" s="26"/>
      <c r="C37" s="26"/>
      <c r="D37" s="26"/>
      <c r="E37" s="26"/>
      <c r="F37" s="26"/>
      <c r="G37" s="26"/>
      <c r="H37" s="26"/>
      <c r="I37" s="26"/>
      <c r="J37" s="26"/>
      <c r="K37" s="26"/>
      <c r="L37" s="26"/>
      <c r="M37" s="26"/>
      <c r="N37" s="26"/>
      <c r="O37" s="26"/>
      <c r="P37" s="26"/>
      <c r="Q37" s="26"/>
      <c r="R37" s="26"/>
      <c r="S37" s="26"/>
      <c r="T37" s="26"/>
    </row>
    <row r="41" spans="1:24" s="29" customFormat="1" ht="22.5">
      <c r="A41" s="30" t="s">
        <v>247</v>
      </c>
      <c r="B41" s="30"/>
      <c r="C41" s="30"/>
      <c r="D41" s="30"/>
    </row>
    <row r="42" spans="1:24" ht="15.5">
      <c r="A42" s="26" t="s">
        <v>248</v>
      </c>
      <c r="B42" s="26"/>
      <c r="C42" s="26"/>
      <c r="D42" s="26"/>
      <c r="E42" s="26"/>
      <c r="F42" s="26"/>
      <c r="G42" s="26"/>
      <c r="H42" s="26"/>
      <c r="I42" s="26"/>
      <c r="J42" s="26"/>
      <c r="K42" s="26"/>
      <c r="L42" s="26"/>
      <c r="M42" s="26"/>
      <c r="N42" s="26"/>
      <c r="O42" s="26"/>
      <c r="P42" s="26"/>
      <c r="Q42" s="26"/>
      <c r="R42" s="26"/>
      <c r="S42" s="26"/>
      <c r="T42" s="26"/>
      <c r="U42" s="26"/>
      <c r="V42" s="26"/>
      <c r="W42" s="26"/>
      <c r="X42" s="26"/>
    </row>
    <row r="43" spans="1:24" ht="15.5">
      <c r="A43" s="26" t="s">
        <v>249</v>
      </c>
      <c r="B43" s="26"/>
      <c r="C43" s="26"/>
      <c r="D43" s="26"/>
      <c r="E43" s="26"/>
      <c r="F43" s="26"/>
      <c r="G43" s="26"/>
      <c r="H43" s="26"/>
      <c r="I43" s="26"/>
      <c r="J43" s="26"/>
      <c r="K43" s="26"/>
      <c r="L43" s="26"/>
      <c r="M43" s="26"/>
      <c r="N43" s="26"/>
      <c r="O43" s="26"/>
      <c r="P43" s="26"/>
      <c r="Q43" s="26"/>
      <c r="R43" s="26"/>
      <c r="S43" s="26"/>
      <c r="T43" s="26"/>
      <c r="U43" s="26"/>
      <c r="V43" s="26"/>
      <c r="W43" s="26"/>
      <c r="X43" s="26"/>
    </row>
    <row r="44" spans="1:24" ht="15.5">
      <c r="A44" s="26" t="s">
        <v>250</v>
      </c>
      <c r="B44" s="26"/>
      <c r="C44" s="26"/>
      <c r="D44" s="26"/>
      <c r="E44" s="26"/>
      <c r="F44" s="26"/>
      <c r="G44" s="26"/>
      <c r="H44" s="26"/>
      <c r="I44" s="26"/>
      <c r="J44" s="26"/>
      <c r="K44" s="26"/>
      <c r="L44" s="26"/>
      <c r="M44" s="26"/>
      <c r="N44" s="26"/>
      <c r="O44" s="26"/>
      <c r="P44" s="26"/>
      <c r="Q44" s="26"/>
      <c r="R44" s="26"/>
      <c r="S44" s="26"/>
      <c r="T44" s="26"/>
      <c r="U44" s="26"/>
      <c r="V44" s="26"/>
      <c r="W44" s="26"/>
      <c r="X44" s="26"/>
    </row>
    <row r="45" spans="1:24" ht="15.5">
      <c r="A45" s="26" t="s">
        <v>251</v>
      </c>
      <c r="B45" s="26"/>
      <c r="C45" s="26"/>
      <c r="D45" s="26"/>
      <c r="E45" s="26"/>
      <c r="F45" s="26"/>
      <c r="G45" s="26"/>
      <c r="H45" s="26"/>
      <c r="I45" s="26"/>
      <c r="J45" s="26"/>
      <c r="K45" s="26"/>
      <c r="L45" s="26"/>
      <c r="M45" s="26"/>
      <c r="N45" s="26"/>
      <c r="O45" s="26"/>
      <c r="P45" s="26"/>
      <c r="Q45" s="26"/>
      <c r="R45" s="26"/>
      <c r="S45" s="26"/>
      <c r="T45" s="26"/>
      <c r="U45" s="26"/>
      <c r="V45" s="26"/>
      <c r="W45" s="26"/>
      <c r="X45"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039DA-40D4-4445-9345-98BD6847FB53}">
  <dimension ref="A1:U23"/>
  <sheetViews>
    <sheetView topLeftCell="A3" zoomScale="83" zoomScaleNormal="83" workbookViewId="0">
      <selection activeCell="K7" sqref="K7"/>
    </sheetView>
  </sheetViews>
  <sheetFormatPr defaultRowHeight="14.5"/>
  <sheetData>
    <row r="1" spans="1:19" s="31" customFormat="1" ht="25">
      <c r="A1" s="31" t="s">
        <v>253</v>
      </c>
    </row>
    <row r="3" spans="1:19" s="29" customFormat="1" ht="17.5">
      <c r="A3" s="32" t="s">
        <v>254</v>
      </c>
      <c r="B3" s="32"/>
      <c r="C3" s="32"/>
    </row>
    <row r="4" spans="1:19" ht="15.5">
      <c r="A4" s="26" t="s">
        <v>286</v>
      </c>
      <c r="B4" s="26"/>
      <c r="C4" s="26"/>
      <c r="D4" s="26"/>
      <c r="E4" s="26"/>
      <c r="F4" s="26"/>
      <c r="G4" s="26"/>
      <c r="H4" s="26"/>
      <c r="I4" s="26"/>
      <c r="J4" s="26"/>
      <c r="K4" s="26"/>
      <c r="L4" s="26"/>
      <c r="M4" s="26"/>
      <c r="N4" s="26"/>
      <c r="O4" s="26"/>
      <c r="P4" s="26"/>
      <c r="Q4" s="26"/>
      <c r="R4" s="26"/>
      <c r="S4" s="26"/>
    </row>
    <row r="5" spans="1:19" ht="15.5">
      <c r="A5" s="26" t="s">
        <v>285</v>
      </c>
      <c r="B5" s="26"/>
      <c r="C5" s="26"/>
      <c r="D5" s="26"/>
      <c r="E5" s="26"/>
      <c r="F5" s="26"/>
      <c r="G5" s="26"/>
      <c r="H5" s="26"/>
      <c r="I5" s="26"/>
      <c r="J5" s="26"/>
      <c r="K5" s="26"/>
      <c r="L5" s="26"/>
      <c r="M5" s="26"/>
      <c r="N5" s="26"/>
      <c r="O5" s="26"/>
      <c r="P5" s="26"/>
      <c r="Q5" s="26"/>
      <c r="R5" s="26"/>
      <c r="S5" s="26"/>
    </row>
    <row r="6" spans="1:19" ht="15.5">
      <c r="A6" s="26" t="s">
        <v>287</v>
      </c>
      <c r="B6" s="26"/>
      <c r="C6" s="26"/>
      <c r="D6" s="26"/>
      <c r="E6" s="26"/>
      <c r="F6" s="26"/>
      <c r="G6" s="26"/>
      <c r="H6" s="26"/>
      <c r="I6" s="26"/>
      <c r="J6" s="26"/>
      <c r="K6" s="26"/>
      <c r="L6" s="26"/>
      <c r="M6" s="26"/>
      <c r="N6" s="26"/>
      <c r="O6" s="26"/>
      <c r="P6" s="26"/>
      <c r="Q6" s="26"/>
      <c r="R6" s="26"/>
      <c r="S6" s="26"/>
    </row>
    <row r="7" spans="1:19" ht="15.5">
      <c r="A7" s="26"/>
      <c r="B7" s="26"/>
      <c r="C7" s="26"/>
      <c r="D7" s="26"/>
      <c r="E7" s="26"/>
      <c r="F7" s="26"/>
      <c r="G7" s="26"/>
      <c r="H7" s="26"/>
      <c r="I7" s="26"/>
      <c r="J7" s="26"/>
      <c r="K7" s="26"/>
      <c r="L7" s="26"/>
      <c r="M7" s="26"/>
      <c r="N7" s="26"/>
      <c r="O7" s="26"/>
      <c r="P7" s="26"/>
      <c r="Q7" s="26"/>
      <c r="R7" s="26"/>
      <c r="S7" s="26"/>
    </row>
    <row r="10" spans="1:19" s="29" customFormat="1" ht="17.5">
      <c r="A10" s="32" t="s">
        <v>255</v>
      </c>
      <c r="B10" s="32"/>
    </row>
    <row r="11" spans="1:19" ht="15.5">
      <c r="A11" s="26" t="s">
        <v>230</v>
      </c>
      <c r="B11" s="26"/>
      <c r="C11" s="26"/>
      <c r="D11" s="26"/>
      <c r="E11" s="26"/>
      <c r="F11" s="26"/>
      <c r="G11" s="26"/>
      <c r="H11" s="26"/>
      <c r="I11" s="26"/>
      <c r="J11" s="26"/>
      <c r="K11" s="26"/>
      <c r="L11" s="26"/>
      <c r="M11" s="26"/>
      <c r="N11" s="26"/>
      <c r="O11" s="26"/>
      <c r="P11" s="26"/>
      <c r="Q11" s="26"/>
      <c r="R11" s="26"/>
      <c r="S11" s="26"/>
    </row>
    <row r="12" spans="1:19" ht="15.5">
      <c r="A12" s="26" t="s">
        <v>295</v>
      </c>
      <c r="B12" s="26"/>
      <c r="C12" s="26"/>
      <c r="D12" s="26"/>
      <c r="E12" s="26"/>
      <c r="F12" s="26"/>
      <c r="G12" s="26"/>
      <c r="H12" s="26"/>
      <c r="I12" s="26"/>
      <c r="J12" s="26"/>
      <c r="K12" s="26"/>
      <c r="L12" s="26"/>
      <c r="M12" s="26"/>
      <c r="N12" s="26"/>
      <c r="O12" s="26"/>
      <c r="P12" s="26"/>
      <c r="Q12" s="26"/>
      <c r="R12" s="26"/>
      <c r="S12" s="26"/>
    </row>
    <row r="13" spans="1:19" ht="15.5">
      <c r="A13" s="26" t="s">
        <v>256</v>
      </c>
      <c r="B13" s="26"/>
      <c r="C13" s="26"/>
      <c r="D13" s="26"/>
      <c r="E13" s="26"/>
      <c r="F13" s="26"/>
      <c r="G13" s="26"/>
      <c r="H13" s="26"/>
      <c r="I13" s="26"/>
      <c r="J13" s="26"/>
      <c r="K13" s="26"/>
      <c r="L13" s="26"/>
      <c r="M13" s="26"/>
      <c r="N13" s="26"/>
      <c r="O13" s="26"/>
      <c r="P13" s="26"/>
      <c r="Q13" s="26"/>
      <c r="R13" s="26"/>
      <c r="S13" s="26"/>
    </row>
    <row r="14" spans="1:19" ht="15.5">
      <c r="A14" s="26" t="s">
        <v>288</v>
      </c>
      <c r="B14" s="26"/>
      <c r="C14" s="26"/>
      <c r="D14" s="26"/>
      <c r="E14" s="26"/>
      <c r="F14" s="26"/>
      <c r="G14" s="26"/>
      <c r="H14" s="26"/>
      <c r="I14" s="26"/>
      <c r="J14" s="26"/>
      <c r="K14" s="26"/>
      <c r="L14" s="26"/>
      <c r="M14" s="26"/>
      <c r="N14" s="26"/>
      <c r="O14" s="26"/>
      <c r="P14" s="26"/>
      <c r="Q14" s="26"/>
      <c r="R14" s="26"/>
      <c r="S14" s="26"/>
    </row>
    <row r="15" spans="1:19" ht="15.5">
      <c r="A15" s="26" t="s">
        <v>289</v>
      </c>
      <c r="B15" s="26"/>
      <c r="C15" s="26"/>
      <c r="D15" s="26"/>
      <c r="E15" s="26"/>
      <c r="F15" s="26"/>
      <c r="G15" s="26"/>
      <c r="H15" s="26"/>
      <c r="I15" s="26"/>
      <c r="J15" s="26"/>
      <c r="K15" s="26"/>
      <c r="L15" s="26"/>
      <c r="M15" s="26"/>
      <c r="N15" s="26"/>
      <c r="O15" s="26"/>
      <c r="P15" s="26"/>
      <c r="Q15" s="26"/>
      <c r="R15" s="26"/>
      <c r="S15" s="26"/>
    </row>
    <row r="16" spans="1:19" ht="15.5">
      <c r="A16" s="26" t="s">
        <v>290</v>
      </c>
      <c r="B16" s="26"/>
      <c r="C16" s="26"/>
      <c r="D16" s="26"/>
      <c r="E16" s="26"/>
      <c r="F16" s="26"/>
      <c r="G16" s="26"/>
      <c r="H16" s="26"/>
      <c r="I16" s="26"/>
      <c r="J16" s="26"/>
      <c r="K16" s="26"/>
      <c r="L16" s="26"/>
      <c r="M16" s="26"/>
      <c r="N16" s="26"/>
      <c r="O16" s="26"/>
      <c r="P16" s="26"/>
      <c r="Q16" s="26"/>
      <c r="R16" s="26"/>
      <c r="S16" s="26"/>
    </row>
    <row r="19" spans="1:21" s="29" customFormat="1" ht="17.5">
      <c r="A19" s="32" t="s">
        <v>257</v>
      </c>
      <c r="B19" s="32"/>
    </row>
    <row r="20" spans="1:21" ht="15.5">
      <c r="A20" s="26" t="s">
        <v>258</v>
      </c>
      <c r="B20" s="26"/>
      <c r="C20" s="26"/>
      <c r="D20" s="26"/>
      <c r="E20" s="26"/>
      <c r="F20" s="26"/>
      <c r="G20" s="26"/>
      <c r="H20" s="26"/>
      <c r="I20" s="26"/>
      <c r="J20" s="26"/>
      <c r="K20" s="26"/>
      <c r="L20" s="26"/>
      <c r="M20" s="26"/>
      <c r="N20" s="26"/>
      <c r="O20" s="26"/>
      <c r="P20" s="26"/>
      <c r="Q20" s="26"/>
      <c r="R20" s="26"/>
      <c r="S20" s="26"/>
      <c r="T20" s="26"/>
      <c r="U20" s="26"/>
    </row>
    <row r="21" spans="1:21" ht="15.5">
      <c r="A21" s="26" t="s">
        <v>291</v>
      </c>
      <c r="B21" s="26"/>
      <c r="C21" s="26"/>
      <c r="D21" s="26"/>
      <c r="E21" s="26"/>
      <c r="F21" s="26"/>
      <c r="G21" s="26"/>
      <c r="H21" s="26"/>
      <c r="I21" s="26"/>
      <c r="J21" s="26"/>
      <c r="K21" s="26"/>
      <c r="L21" s="26"/>
      <c r="M21" s="26"/>
      <c r="N21" s="26"/>
      <c r="O21" s="26"/>
      <c r="P21" s="26"/>
      <c r="Q21" s="26"/>
      <c r="R21" s="26"/>
      <c r="S21" s="26"/>
      <c r="T21" s="26"/>
      <c r="U21" s="26"/>
    </row>
    <row r="22" spans="1:21" ht="15.5">
      <c r="A22" s="26" t="s">
        <v>292</v>
      </c>
      <c r="B22" s="26"/>
      <c r="C22" s="26"/>
      <c r="D22" s="26"/>
      <c r="E22" s="26"/>
      <c r="F22" s="26"/>
      <c r="G22" s="26"/>
      <c r="H22" s="26"/>
      <c r="I22" s="26"/>
      <c r="J22" s="26"/>
      <c r="K22" s="26"/>
      <c r="L22" s="26"/>
      <c r="M22" s="26"/>
      <c r="N22" s="26"/>
      <c r="O22" s="26"/>
      <c r="P22" s="26"/>
      <c r="Q22" s="26"/>
      <c r="R22" s="26"/>
      <c r="S22" s="26"/>
      <c r="T22" s="26"/>
      <c r="U22" s="26"/>
    </row>
    <row r="23" spans="1:21" ht="15.5">
      <c r="A23" s="26" t="s">
        <v>293</v>
      </c>
      <c r="B23" s="26"/>
      <c r="C23" s="26"/>
      <c r="D23" s="26"/>
      <c r="E23" s="26"/>
      <c r="F23" s="26"/>
      <c r="G23" s="26"/>
      <c r="H23" s="26"/>
      <c r="I23" s="26"/>
      <c r="J23" s="26"/>
      <c r="K23" s="26"/>
      <c r="L23" s="26"/>
      <c r="M23" s="26"/>
      <c r="N23" s="26"/>
      <c r="O23" s="26"/>
      <c r="P23" s="26"/>
      <c r="Q23" s="26"/>
      <c r="R23" s="26"/>
      <c r="S23" s="26"/>
      <c r="T23" s="26"/>
      <c r="U23" s="26"/>
    </row>
  </sheetData>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25DA-BFB5-4FAB-BEBC-BCB2D5AA1190}">
  <dimension ref="A2:AA44"/>
  <sheetViews>
    <sheetView tabSelected="1" zoomScale="47" zoomScaleNormal="47" workbookViewId="0">
      <selection activeCell="Q34" sqref="Q34"/>
    </sheetView>
  </sheetViews>
  <sheetFormatPr defaultRowHeight="14.5"/>
  <cols>
    <col min="1" max="1" width="12.08984375" bestFit="1" customWidth="1"/>
    <col min="10" max="10" width="12.6328125" bestFit="1" customWidth="1"/>
    <col min="11" max="11" width="15.7265625" bestFit="1" customWidth="1"/>
    <col min="12" max="12" width="12.08984375" bestFit="1" customWidth="1"/>
    <col min="13" max="13" width="15.7265625" bestFit="1" customWidth="1"/>
    <col min="16" max="16" width="19.453125" bestFit="1" customWidth="1"/>
    <col min="17" max="17" width="16.1796875" bestFit="1" customWidth="1"/>
    <col min="18" max="18" width="18.453125" hidden="1" customWidth="1"/>
    <col min="19" max="19" width="20.7265625" hidden="1" customWidth="1"/>
    <col min="20" max="20" width="18.453125" hidden="1" customWidth="1"/>
    <col min="21" max="21" width="16.26953125" hidden="1" customWidth="1"/>
    <col min="22" max="22" width="8.7265625" hidden="1" customWidth="1"/>
    <col min="23" max="23" width="18.453125" hidden="1" customWidth="1"/>
    <col min="24" max="24" width="29" hidden="1" customWidth="1"/>
    <col min="25" max="25" width="24.90625" hidden="1" customWidth="1"/>
    <col min="26" max="26" width="8.7265625" hidden="1" customWidth="1"/>
    <col min="27" max="27" width="10.7265625" hidden="1" customWidth="1"/>
    <col min="28" max="28" width="0" hidden="1" customWidth="1"/>
  </cols>
  <sheetData>
    <row r="2" spans="1:27">
      <c r="AA2" s="54"/>
    </row>
    <row r="3" spans="1:27">
      <c r="A3" s="3"/>
      <c r="B3" s="3"/>
      <c r="C3" s="3"/>
      <c r="D3" s="49"/>
      <c r="E3" s="49"/>
      <c r="F3" s="49"/>
      <c r="G3" s="49"/>
      <c r="H3" s="49"/>
      <c r="R3" t="s">
        <v>184</v>
      </c>
      <c r="S3" t="s">
        <v>183</v>
      </c>
      <c r="T3" t="s">
        <v>182</v>
      </c>
      <c r="U3" t="s">
        <v>181</v>
      </c>
      <c r="X3" t="s">
        <v>184</v>
      </c>
      <c r="Y3" t="s">
        <v>300</v>
      </c>
      <c r="AA3" s="54">
        <f>GETPIVOTDATA("Sum of total_sale",$U$4)</f>
        <v>911720</v>
      </c>
    </row>
    <row r="4" spans="1:27">
      <c r="A4" s="3"/>
      <c r="B4" s="3"/>
      <c r="C4" s="3"/>
      <c r="D4" s="49"/>
      <c r="E4" s="50"/>
      <c r="F4" s="50"/>
      <c r="G4" s="50"/>
      <c r="H4" s="50"/>
      <c r="L4" s="49"/>
      <c r="M4" s="49"/>
      <c r="P4" s="63"/>
      <c r="Q4" s="63"/>
      <c r="R4" s="68">
        <v>1997</v>
      </c>
      <c r="S4" s="48">
        <v>5018</v>
      </c>
      <c r="T4" s="68">
        <v>721957.30000000016</v>
      </c>
      <c r="U4" s="68">
        <v>911720</v>
      </c>
      <c r="X4" s="68">
        <v>1997</v>
      </c>
      <c r="Y4" s="68">
        <v>456.54481722583876</v>
      </c>
      <c r="AA4" s="54"/>
    </row>
    <row r="5" spans="1:27" ht="25">
      <c r="A5" s="65">
        <f>$AA$3</f>
        <v>911720</v>
      </c>
      <c r="B5" s="66"/>
      <c r="C5" s="66"/>
      <c r="D5" s="67">
        <f>$AA$6</f>
        <v>721957.30000000016</v>
      </c>
      <c r="E5" s="67"/>
      <c r="F5" s="67"/>
      <c r="G5" s="67"/>
      <c r="H5" s="67">
        <f>$AA$7</f>
        <v>5018</v>
      </c>
      <c r="I5" s="67"/>
      <c r="J5" s="67"/>
      <c r="K5" s="67">
        <f>$AA$8</f>
        <v>1997</v>
      </c>
      <c r="L5" s="67"/>
      <c r="M5" s="67"/>
      <c r="P5" s="50"/>
      <c r="Q5" s="50"/>
    </row>
    <row r="6" spans="1:27">
      <c r="A6" s="3"/>
      <c r="B6" s="3"/>
      <c r="C6" s="3"/>
      <c r="P6" s="51">
        <f>GETPIVOTDATA("total_sale",$U$4)</f>
        <v>911720</v>
      </c>
      <c r="AA6">
        <f>GETPIVOTDATA("Sum of Profit",$T$4)</f>
        <v>721957.30000000016</v>
      </c>
    </row>
    <row r="7" spans="1:27">
      <c r="A7" s="3"/>
      <c r="B7" s="3"/>
      <c r="C7" s="3"/>
      <c r="AA7">
        <f>GETPIVOTDATA("Sum of quantiy",$S$4)</f>
        <v>5018</v>
      </c>
    </row>
    <row r="8" spans="1:27">
      <c r="A8" s="3"/>
      <c r="P8" s="49"/>
      <c r="Q8" s="49"/>
      <c r="AA8">
        <f>GETPIVOTDATA("transactions_id",$R$4)</f>
        <v>1997</v>
      </c>
    </row>
    <row r="9" spans="1:27">
      <c r="P9" s="64"/>
      <c r="Q9" s="64"/>
      <c r="R9" s="7" t="s">
        <v>186</v>
      </c>
      <c r="S9" t="s">
        <v>181</v>
      </c>
      <c r="T9" t="s">
        <v>182</v>
      </c>
      <c r="W9" s="7" t="s">
        <v>186</v>
      </c>
      <c r="X9" t="s">
        <v>181</v>
      </c>
      <c r="Y9" t="s">
        <v>184</v>
      </c>
    </row>
    <row r="10" spans="1:27">
      <c r="P10" s="51">
        <f>GETPIVOTDATA("profit",$T$4)</f>
        <v>721957.30000000016</v>
      </c>
      <c r="R10" s="8" t="s">
        <v>187</v>
      </c>
      <c r="S10" s="68"/>
      <c r="T10" s="68"/>
      <c r="W10" s="8" t="s">
        <v>31</v>
      </c>
      <c r="X10" s="68">
        <v>168960</v>
      </c>
      <c r="Y10" s="68">
        <v>336</v>
      </c>
    </row>
    <row r="11" spans="1:27">
      <c r="R11" s="9" t="s">
        <v>190</v>
      </c>
      <c r="S11" s="68">
        <v>22635</v>
      </c>
      <c r="T11" s="68">
        <v>19428.3</v>
      </c>
      <c r="W11" s="8" t="s">
        <v>39</v>
      </c>
      <c r="X11" s="68">
        <v>196870</v>
      </c>
      <c r="Y11" s="68">
        <v>409</v>
      </c>
    </row>
    <row r="12" spans="1:27">
      <c r="P12" s="52">
        <f>GETPIVOTDATA("Sum of quantiy",$S$4)</f>
        <v>5018</v>
      </c>
      <c r="Q12" s="49"/>
      <c r="R12" s="9" t="s">
        <v>191</v>
      </c>
      <c r="S12" s="68">
        <v>16110</v>
      </c>
      <c r="T12" s="68">
        <v>13111.8</v>
      </c>
      <c r="W12" s="8" t="s">
        <v>18</v>
      </c>
      <c r="X12" s="68">
        <v>183665</v>
      </c>
      <c r="Y12" s="68">
        <v>403</v>
      </c>
    </row>
    <row r="13" spans="1:27">
      <c r="P13" s="53"/>
      <c r="Q13" s="53"/>
      <c r="R13" s="9" t="s">
        <v>192</v>
      </c>
      <c r="S13" s="68">
        <v>24505</v>
      </c>
      <c r="T13" s="68">
        <v>20929.750000000004</v>
      </c>
      <c r="W13" s="8" t="s">
        <v>21</v>
      </c>
      <c r="X13" s="68">
        <v>200305</v>
      </c>
      <c r="Y13" s="68">
        <v>455</v>
      </c>
    </row>
    <row r="14" spans="1:27">
      <c r="P14" s="51">
        <f>GETPIVOTDATA("transactions_id",$R$4)</f>
        <v>1997</v>
      </c>
      <c r="R14" s="9" t="s">
        <v>193</v>
      </c>
      <c r="S14" s="68">
        <v>28705</v>
      </c>
      <c r="T14" s="68">
        <v>23671.100000000002</v>
      </c>
      <c r="W14" s="8" t="s">
        <v>28</v>
      </c>
      <c r="X14" s="68">
        <v>158430</v>
      </c>
      <c r="Y14" s="68">
        <v>384</v>
      </c>
    </row>
    <row r="15" spans="1:27">
      <c r="P15" s="49"/>
      <c r="Q15" s="49"/>
      <c r="R15" s="9" t="s">
        <v>194</v>
      </c>
      <c r="S15" s="68">
        <v>24980</v>
      </c>
      <c r="T15" s="68">
        <v>21028.199999999997</v>
      </c>
      <c r="W15" s="8" t="s">
        <v>49</v>
      </c>
      <c r="X15" s="68">
        <v>3490</v>
      </c>
      <c r="Y15" s="68">
        <v>10</v>
      </c>
    </row>
    <row r="16" spans="1:27">
      <c r="P16" s="62"/>
      <c r="Q16" s="62"/>
      <c r="R16" s="9" t="s">
        <v>195</v>
      </c>
      <c r="S16" s="68">
        <v>20700</v>
      </c>
      <c r="T16" s="68">
        <v>17138.949999999997</v>
      </c>
      <c r="W16" s="8" t="s">
        <v>189</v>
      </c>
      <c r="X16" s="68">
        <v>911720</v>
      </c>
      <c r="Y16" s="68">
        <v>1997</v>
      </c>
    </row>
    <row r="17" spans="18:24">
      <c r="R17" s="9" t="s">
        <v>199</v>
      </c>
      <c r="S17" s="68">
        <v>22195</v>
      </c>
      <c r="T17" s="68">
        <v>18403.3</v>
      </c>
    </row>
    <row r="18" spans="18:24">
      <c r="R18" s="9" t="s">
        <v>200</v>
      </c>
      <c r="S18" s="68">
        <v>21195</v>
      </c>
      <c r="T18" s="68">
        <v>18058.299999999996</v>
      </c>
    </row>
    <row r="19" spans="18:24">
      <c r="R19" s="9" t="s">
        <v>201</v>
      </c>
      <c r="S19" s="68">
        <v>61770</v>
      </c>
      <c r="T19" s="68">
        <v>47290.400000000001</v>
      </c>
      <c r="W19" t="s">
        <v>300</v>
      </c>
    </row>
    <row r="20" spans="18:24">
      <c r="R20" s="9" t="s">
        <v>196</v>
      </c>
      <c r="S20" s="68">
        <v>68235</v>
      </c>
      <c r="T20" s="68">
        <v>49709.35</v>
      </c>
      <c r="W20">
        <v>456.54481722583876</v>
      </c>
    </row>
    <row r="21" spans="18:24">
      <c r="R21" s="9" t="s">
        <v>197</v>
      </c>
      <c r="S21" s="68">
        <v>68915</v>
      </c>
      <c r="T21" s="68">
        <v>53119.249999999985</v>
      </c>
    </row>
    <row r="22" spans="18:24">
      <c r="R22" s="9" t="s">
        <v>198</v>
      </c>
      <c r="S22" s="68">
        <v>72880</v>
      </c>
      <c r="T22" s="68">
        <v>54926.9</v>
      </c>
      <c r="W22" s="7" t="s">
        <v>186</v>
      </c>
      <c r="X22" t="s">
        <v>181</v>
      </c>
    </row>
    <row r="23" spans="18:24">
      <c r="R23" s="8" t="s">
        <v>188</v>
      </c>
      <c r="S23" s="68"/>
      <c r="T23" s="68"/>
      <c r="W23" s="8" t="s">
        <v>31</v>
      </c>
      <c r="X23">
        <v>168960</v>
      </c>
    </row>
    <row r="24" spans="18:24">
      <c r="R24" s="9" t="s">
        <v>190</v>
      </c>
      <c r="S24" s="68">
        <v>23790</v>
      </c>
      <c r="T24" s="68">
        <v>20016.249999999996</v>
      </c>
      <c r="W24" s="8" t="s">
        <v>39</v>
      </c>
      <c r="X24">
        <v>196870</v>
      </c>
    </row>
    <row r="25" spans="18:24">
      <c r="R25" s="9" t="s">
        <v>191</v>
      </c>
      <c r="S25" s="68">
        <v>25170</v>
      </c>
      <c r="T25" s="68">
        <v>21424.45</v>
      </c>
      <c r="W25" s="8" t="s">
        <v>18</v>
      </c>
      <c r="X25">
        <v>183665</v>
      </c>
    </row>
    <row r="26" spans="18:24">
      <c r="R26" s="9" t="s">
        <v>192</v>
      </c>
      <c r="S26" s="68">
        <v>20530</v>
      </c>
      <c r="T26" s="68">
        <v>16809.349999999999</v>
      </c>
      <c r="W26" s="8" t="s">
        <v>21</v>
      </c>
      <c r="X26">
        <v>200305</v>
      </c>
    </row>
    <row r="27" spans="18:24">
      <c r="R27" s="9" t="s">
        <v>193</v>
      </c>
      <c r="S27" s="68">
        <v>21925</v>
      </c>
      <c r="T27" s="68">
        <v>18563.55</v>
      </c>
      <c r="W27" s="8" t="s">
        <v>28</v>
      </c>
      <c r="X27">
        <v>158430</v>
      </c>
    </row>
    <row r="28" spans="18:24">
      <c r="R28" s="9" t="s">
        <v>194</v>
      </c>
      <c r="S28" s="68">
        <v>27010</v>
      </c>
      <c r="T28" s="68">
        <v>22525.249999999996</v>
      </c>
      <c r="W28" s="8" t="s">
        <v>49</v>
      </c>
      <c r="X28">
        <v>3490</v>
      </c>
    </row>
    <row r="29" spans="18:24">
      <c r="R29" s="9" t="s">
        <v>195</v>
      </c>
      <c r="S29" s="68">
        <v>24555</v>
      </c>
      <c r="T29" s="68">
        <v>20317.399999999998</v>
      </c>
      <c r="W29" s="8" t="s">
        <v>189</v>
      </c>
      <c r="X29">
        <v>911720</v>
      </c>
    </row>
    <row r="30" spans="18:24">
      <c r="R30" s="9" t="s">
        <v>199</v>
      </c>
      <c r="S30" s="68">
        <v>35925</v>
      </c>
      <c r="T30" s="68">
        <v>30161.699999999997</v>
      </c>
    </row>
    <row r="31" spans="18:24">
      <c r="R31" s="9" t="s">
        <v>200</v>
      </c>
      <c r="S31" s="68">
        <v>28270</v>
      </c>
      <c r="T31" s="68">
        <v>23022.6</v>
      </c>
    </row>
    <row r="32" spans="18:24">
      <c r="R32" s="9" t="s">
        <v>201</v>
      </c>
      <c r="S32" s="68">
        <v>67560</v>
      </c>
      <c r="T32" s="68">
        <v>51755.80000000001</v>
      </c>
    </row>
    <row r="33" spans="18:25">
      <c r="R33" s="9" t="s">
        <v>196</v>
      </c>
      <c r="S33" s="68">
        <v>57880</v>
      </c>
      <c r="T33" s="68">
        <v>42040.549999999996</v>
      </c>
    </row>
    <row r="34" spans="18:25">
      <c r="R34" s="9" t="s">
        <v>197</v>
      </c>
      <c r="S34" s="68">
        <v>57135</v>
      </c>
      <c r="T34" s="68">
        <v>44396.200000000012</v>
      </c>
      <c r="W34" s="7" t="s">
        <v>186</v>
      </c>
      <c r="X34" t="s">
        <v>181</v>
      </c>
    </row>
    <row r="35" spans="18:25">
      <c r="R35" s="9" t="s">
        <v>198</v>
      </c>
      <c r="S35" s="68">
        <v>69145</v>
      </c>
      <c r="T35" s="68">
        <v>54108.600000000006</v>
      </c>
      <c r="W35" s="8" t="s">
        <v>23</v>
      </c>
      <c r="X35" s="68">
        <v>465400</v>
      </c>
    </row>
    <row r="36" spans="18:25">
      <c r="R36" s="8" t="s">
        <v>189</v>
      </c>
      <c r="S36" s="68">
        <v>911720</v>
      </c>
      <c r="T36" s="68">
        <v>721957.30000000016</v>
      </c>
      <c r="W36" s="8" t="s">
        <v>16</v>
      </c>
      <c r="X36" s="68">
        <v>446320</v>
      </c>
    </row>
    <row r="37" spans="18:25">
      <c r="W37" s="8" t="s">
        <v>189</v>
      </c>
      <c r="X37" s="68">
        <v>911720</v>
      </c>
    </row>
    <row r="40" spans="18:25">
      <c r="R40" s="7" t="s">
        <v>186</v>
      </c>
      <c r="S40" t="s">
        <v>181</v>
      </c>
      <c r="T40" t="s">
        <v>183</v>
      </c>
      <c r="U40" t="s">
        <v>182</v>
      </c>
      <c r="W40" s="7" t="s">
        <v>186</v>
      </c>
      <c r="X40" t="s">
        <v>181</v>
      </c>
      <c r="Y40" t="s">
        <v>182</v>
      </c>
    </row>
    <row r="41" spans="18:25">
      <c r="R41" s="8" t="s">
        <v>20</v>
      </c>
      <c r="S41" s="68">
        <v>286840</v>
      </c>
      <c r="T41" s="68">
        <v>1535</v>
      </c>
      <c r="U41" s="68">
        <v>228630.14999999991</v>
      </c>
      <c r="W41" s="8" t="s">
        <v>20</v>
      </c>
      <c r="X41" s="68">
        <v>286840</v>
      </c>
      <c r="Y41" s="68">
        <v>228630.14999999991</v>
      </c>
    </row>
    <row r="42" spans="18:25">
      <c r="R42" s="8" t="s">
        <v>17</v>
      </c>
      <c r="S42" s="68">
        <v>311070</v>
      </c>
      <c r="T42" s="68">
        <v>1785</v>
      </c>
      <c r="U42" s="68">
        <v>246679.49999999991</v>
      </c>
      <c r="W42" s="8" t="s">
        <v>17</v>
      </c>
      <c r="X42" s="68">
        <v>311070</v>
      </c>
      <c r="Y42" s="68">
        <v>246679.49999999991</v>
      </c>
    </row>
    <row r="43" spans="18:25">
      <c r="R43" s="8" t="s">
        <v>30</v>
      </c>
      <c r="S43" s="68">
        <v>313810</v>
      </c>
      <c r="T43" s="68">
        <v>1698</v>
      </c>
      <c r="U43" s="68">
        <v>246647.64999999997</v>
      </c>
      <c r="W43" s="8" t="s">
        <v>30</v>
      </c>
      <c r="X43" s="68">
        <v>313810</v>
      </c>
      <c r="Y43" s="68">
        <v>246647.64999999997</v>
      </c>
    </row>
    <row r="44" spans="18:25">
      <c r="R44" s="8" t="s">
        <v>189</v>
      </c>
      <c r="S44" s="68">
        <v>911720</v>
      </c>
      <c r="T44" s="68">
        <v>5018</v>
      </c>
      <c r="U44" s="68">
        <v>721957.29999999981</v>
      </c>
      <c r="W44" s="8" t="s">
        <v>189</v>
      </c>
      <c r="X44" s="68">
        <v>911720</v>
      </c>
      <c r="Y44" s="68">
        <v>721957.29999999981</v>
      </c>
    </row>
  </sheetData>
  <mergeCells count="7">
    <mergeCell ref="P16:Q16"/>
    <mergeCell ref="P4:Q4"/>
    <mergeCell ref="P9:Q9"/>
    <mergeCell ref="A5:C5"/>
    <mergeCell ref="D5:G5"/>
    <mergeCell ref="H5:J5"/>
    <mergeCell ref="K5:M5"/>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A0038E-CF46-41E4-8C8C-78E514026F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BUSINESS QUESTION</vt:lpstr>
      <vt:lpstr>RETAIL_SALES_CLEANED</vt:lpstr>
      <vt:lpstr>ANALYSIS </vt:lpstr>
      <vt:lpstr>INTERPRETATION </vt:lpstr>
      <vt:lpstr>EXECUTIVE 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dcterms:created xsi:type="dcterms:W3CDTF">2026-09-04T12:31:20Z</dcterms:created>
  <dcterms:modified xsi:type="dcterms:W3CDTF">2026-09-15T17:28:33Z</dcterms:modified>
</cp:coreProperties>
</file>